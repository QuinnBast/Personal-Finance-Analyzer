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theme/themeOverride1.xml" ContentType="application/vnd.openxmlformats-officedocument.themeOverride+xml"/>
  <Override PartName="/xl/charts/chart18.xml" ContentType="application/vnd.openxmlformats-officedocument.drawingml.chart+xml"/>
  <Override PartName="/xl/theme/themeOverride2.xml" ContentType="application/vnd.openxmlformats-officedocument.themeOverride+xml"/>
  <Override PartName="/xl/charts/chart19.xml" ContentType="application/vnd.openxmlformats-officedocument.drawingml.chart+xml"/>
  <Override PartName="/xl/theme/themeOverride3.xml" ContentType="application/vnd.openxmlformats-officedocument.themeOverride+xml"/>
  <Override PartName="/xl/charts/chart20.xml" ContentType="application/vnd.openxmlformats-officedocument.drawingml.chart+xml"/>
  <Override PartName="/xl/theme/themeOverride4.xml" ContentType="application/vnd.openxmlformats-officedocument.themeOverride+xml"/>
  <Override PartName="/xl/drawings/drawing4.xml" ContentType="application/vnd.openxmlformats-officedocument.drawing+xml"/>
  <Override PartName="/xl/charts/chart21.xml" ContentType="application/vnd.openxmlformats-officedocument.drawingml.chart+xml"/>
  <Override PartName="/xl/drawings/drawing5.xml" ContentType="application/vnd.openxmlformats-officedocument.drawing+xml"/>
  <Override PartName="/xl/charts/chart2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05" windowWidth="27795" windowHeight="12600" tabRatio="773" activeTab="6"/>
  </bookViews>
  <sheets>
    <sheet name="Instruction" sheetId="35" r:id="rId1"/>
    <sheet name="Overview" sheetId="1" r:id="rId2"/>
    <sheet name="Overview Percentage" sheetId="33" r:id="rId3"/>
    <sheet name="Spending Over Time" sheetId="109" r:id="rId4"/>
    <sheet name="Stacked Graph" sheetId="132" r:id="rId5"/>
    <sheet name="Budget History" sheetId="72" r:id="rId6"/>
    <sheet name="POS Categories" sheetId="5" r:id="rId7"/>
    <sheet name="March 2024" sheetId="137" r:id="rId8"/>
    <sheet name="February 2024" sheetId="136" r:id="rId9"/>
    <sheet name="January 2024" sheetId="135" r:id="rId10"/>
    <sheet name="December 2023" sheetId="134" r:id="rId11"/>
    <sheet name="November 2023" sheetId="133" r:id="rId12"/>
    <sheet name="October 2023" sheetId="131" r:id="rId13"/>
    <sheet name="September 2023" sheetId="130" r:id="rId14"/>
    <sheet name="August 2023" sheetId="129" r:id="rId15"/>
    <sheet name="July 2023" sheetId="128" r:id="rId16"/>
    <sheet name="June 2023" sheetId="127" r:id="rId17"/>
    <sheet name="May 2023" sheetId="126" r:id="rId18"/>
    <sheet name="April 2023" sheetId="125" r:id="rId19"/>
    <sheet name="March 2023" sheetId="124" r:id="rId20"/>
    <sheet name="February 2023" sheetId="123" r:id="rId21"/>
    <sheet name="January 2023" sheetId="122" r:id="rId22"/>
    <sheet name="December 2022" sheetId="121" r:id="rId23"/>
    <sheet name="November 2022" sheetId="120" r:id="rId24"/>
    <sheet name="October 2022" sheetId="119" r:id="rId25"/>
    <sheet name="September 2022" sheetId="118" r:id="rId26"/>
    <sheet name="August 2022" sheetId="117" r:id="rId27"/>
    <sheet name="July 2022" sheetId="116" r:id="rId28"/>
    <sheet name="June 2022" sheetId="115" r:id="rId29"/>
    <sheet name="May 2022" sheetId="114" r:id="rId30"/>
    <sheet name="April 2022" sheetId="113" r:id="rId31"/>
    <sheet name="March 2022" sheetId="112" r:id="rId32"/>
    <sheet name="February 2022" sheetId="108" r:id="rId33"/>
    <sheet name="January 2022" sheetId="73" r:id="rId34"/>
    <sheet name="December 2021" sheetId="74" r:id="rId35"/>
    <sheet name="November 2021" sheetId="75" r:id="rId36"/>
    <sheet name="October 2021" sheetId="76" r:id="rId37"/>
    <sheet name="September 2021" sheetId="77" r:id="rId38"/>
    <sheet name="August 2021" sheetId="78" r:id="rId39"/>
    <sheet name="July 2021" sheetId="79" r:id="rId40"/>
    <sheet name="June 2021" sheetId="80" r:id="rId41"/>
    <sheet name="May 2021" sheetId="81" r:id="rId42"/>
    <sheet name="April 2021" sheetId="82" r:id="rId43"/>
    <sheet name="March 2021" sheetId="83" r:id="rId44"/>
    <sheet name="February 2021" sheetId="84" r:id="rId45"/>
    <sheet name="January 2021" sheetId="85" r:id="rId46"/>
    <sheet name="December 2020" sheetId="86" r:id="rId47"/>
    <sheet name="November 2020" sheetId="87" r:id="rId48"/>
    <sheet name="October 2020" sheetId="88" r:id="rId49"/>
    <sheet name="September 2020" sheetId="89" r:id="rId50"/>
    <sheet name="August 2020" sheetId="90" r:id="rId51"/>
    <sheet name="July 2020" sheetId="91" r:id="rId52"/>
    <sheet name="June 2020" sheetId="92" r:id="rId53"/>
    <sheet name="May 2020" sheetId="93" r:id="rId54"/>
    <sheet name="April 2020" sheetId="94" r:id="rId55"/>
    <sheet name="March 2020" sheetId="95" r:id="rId56"/>
    <sheet name="February 2020" sheetId="96" r:id="rId57"/>
    <sheet name="January 2020" sheetId="97" r:id="rId58"/>
    <sheet name="December 2019" sheetId="98" r:id="rId59"/>
    <sheet name="November 2019" sheetId="99" r:id="rId60"/>
    <sheet name="October 2019" sheetId="100" r:id="rId61"/>
    <sheet name="September 2019" sheetId="101" r:id="rId62"/>
    <sheet name="August 2019" sheetId="102" r:id="rId63"/>
    <sheet name="July 2019" sheetId="103" r:id="rId64"/>
    <sheet name="June 2019" sheetId="104" r:id="rId65"/>
    <sheet name="May 2019" sheetId="105" r:id="rId66"/>
    <sheet name="April 2019" sheetId="106" r:id="rId67"/>
    <sheet name="March 2019" sheetId="107" r:id="rId68"/>
    <sheet name="February 2019" sheetId="110" r:id="rId69"/>
    <sheet name="January 2019" sheetId="111" r:id="rId70"/>
  </sheets>
  <externalReferences>
    <externalReference r:id="rId71"/>
  </externalReferences>
  <calcPr calcId="144525"/>
</workbook>
</file>

<file path=xl/calcChain.xml><?xml version="1.0" encoding="utf-8"?>
<calcChain xmlns="http://schemas.openxmlformats.org/spreadsheetml/2006/main">
  <c r="F1" i="73" l="1"/>
  <c r="F18" i="111" l="1"/>
  <c r="F17" i="111"/>
  <c r="F16" i="111"/>
  <c r="F15" i="111"/>
  <c r="F14" i="111"/>
  <c r="F13" i="111"/>
  <c r="F12" i="111"/>
  <c r="F11" i="111"/>
  <c r="F10" i="111"/>
  <c r="F9" i="111"/>
  <c r="F8" i="111"/>
  <c r="F7" i="111"/>
  <c r="F6" i="111"/>
  <c r="F5" i="111"/>
  <c r="F4" i="111"/>
  <c r="F3" i="111"/>
  <c r="F2" i="111"/>
  <c r="F1" i="111"/>
  <c r="F27" i="110"/>
  <c r="F26" i="110"/>
  <c r="F25" i="110"/>
  <c r="F24" i="110"/>
  <c r="F23" i="110"/>
  <c r="F22" i="110"/>
  <c r="F21" i="110"/>
  <c r="F19" i="110"/>
  <c r="F18" i="110"/>
  <c r="F17" i="110"/>
  <c r="F16" i="110"/>
  <c r="F15" i="110"/>
  <c r="F14" i="110"/>
  <c r="F13" i="110"/>
  <c r="F12" i="110"/>
  <c r="F11" i="110"/>
  <c r="F10" i="110"/>
  <c r="F9" i="110"/>
  <c r="F8" i="110"/>
  <c r="F7" i="110"/>
  <c r="F6" i="110"/>
  <c r="F5" i="110"/>
  <c r="F4" i="110"/>
  <c r="F3" i="110"/>
  <c r="F2" i="110"/>
  <c r="F1" i="110"/>
  <c r="F40" i="107" l="1"/>
  <c r="F39" i="107"/>
  <c r="F38" i="107"/>
  <c r="F37" i="107"/>
  <c r="F36" i="107"/>
  <c r="F35" i="107"/>
  <c r="F34" i="107"/>
  <c r="F33" i="107"/>
  <c r="F32" i="107"/>
  <c r="F31" i="107"/>
  <c r="F29" i="107"/>
  <c r="F28" i="107"/>
  <c r="F27" i="107"/>
  <c r="F26" i="107"/>
  <c r="F25" i="107"/>
  <c r="F24" i="107"/>
  <c r="F23" i="107"/>
  <c r="F22" i="107"/>
  <c r="F20" i="107"/>
  <c r="F19" i="107"/>
  <c r="F18" i="107"/>
  <c r="F17" i="107"/>
  <c r="F16" i="107"/>
  <c r="F15" i="107"/>
  <c r="F14" i="107"/>
  <c r="F13" i="107"/>
  <c r="F12" i="107"/>
  <c r="F11" i="107"/>
  <c r="F10" i="107"/>
  <c r="F9" i="107"/>
  <c r="F8" i="107"/>
  <c r="F7" i="107"/>
  <c r="F6" i="107"/>
  <c r="F5" i="107"/>
  <c r="F4" i="107"/>
  <c r="F3" i="107"/>
  <c r="F2" i="107"/>
  <c r="F1" i="107"/>
  <c r="F31" i="106"/>
  <c r="F30" i="106"/>
  <c r="F29" i="106"/>
  <c r="F28" i="106"/>
  <c r="F27" i="106"/>
  <c r="F26" i="106"/>
  <c r="F25" i="106"/>
  <c r="F24" i="106"/>
  <c r="F23" i="106"/>
  <c r="F22" i="106"/>
  <c r="F21" i="106"/>
  <c r="F20" i="106"/>
  <c r="F19" i="106"/>
  <c r="F18" i="106"/>
  <c r="F17" i="106"/>
  <c r="F16" i="106"/>
  <c r="F15" i="106"/>
  <c r="F14" i="106"/>
  <c r="F13" i="106"/>
  <c r="F12" i="106"/>
  <c r="F11" i="106"/>
  <c r="F10" i="106"/>
  <c r="F9" i="106"/>
  <c r="F8" i="106"/>
  <c r="F7" i="106"/>
  <c r="F6" i="106"/>
  <c r="F5" i="106"/>
  <c r="F4" i="106"/>
  <c r="F3" i="106"/>
  <c r="F2" i="106"/>
  <c r="F1" i="106"/>
  <c r="F37" i="105"/>
  <c r="F36" i="105"/>
  <c r="F35" i="105"/>
  <c r="F34" i="105"/>
  <c r="F33" i="105"/>
  <c r="F32" i="105"/>
  <c r="F31" i="105"/>
  <c r="F30" i="105"/>
  <c r="F29" i="105"/>
  <c r="F28" i="105"/>
  <c r="F27" i="105"/>
  <c r="F26" i="105"/>
  <c r="F25" i="105"/>
  <c r="F24" i="105"/>
  <c r="F23" i="105"/>
  <c r="F22" i="105"/>
  <c r="F21" i="105"/>
  <c r="F20" i="105"/>
  <c r="F19" i="105"/>
  <c r="F18" i="105"/>
  <c r="F17" i="105"/>
  <c r="F16" i="105"/>
  <c r="F15" i="105"/>
  <c r="F14" i="105"/>
  <c r="F13" i="105"/>
  <c r="F12" i="105"/>
  <c r="F11" i="105"/>
  <c r="F10" i="105"/>
  <c r="F9" i="105"/>
  <c r="F8" i="105"/>
  <c r="F6" i="105"/>
  <c r="F5" i="105"/>
  <c r="F4" i="105"/>
  <c r="F3" i="105"/>
  <c r="F44" i="104"/>
  <c r="F43" i="104"/>
  <c r="F41" i="104"/>
  <c r="F40" i="104"/>
  <c r="F39" i="104"/>
  <c r="F38" i="104"/>
  <c r="F37" i="104"/>
  <c r="F36" i="104"/>
  <c r="F35" i="104"/>
  <c r="F34" i="104"/>
  <c r="F33" i="104"/>
  <c r="F31" i="104"/>
  <c r="F30" i="104"/>
  <c r="F29" i="104"/>
  <c r="F28" i="104"/>
  <c r="F27" i="104"/>
  <c r="F26" i="104"/>
  <c r="F25" i="104"/>
  <c r="F24" i="104"/>
  <c r="F22" i="104"/>
  <c r="F21" i="104"/>
  <c r="F20" i="104"/>
  <c r="F19" i="104"/>
  <c r="F18" i="104"/>
  <c r="F17" i="104"/>
  <c r="F16" i="104"/>
  <c r="F15" i="104"/>
  <c r="F14" i="104"/>
  <c r="F13" i="104"/>
  <c r="F12" i="104"/>
  <c r="F11" i="104"/>
  <c r="F10" i="104"/>
  <c r="F9" i="104"/>
  <c r="F8" i="104"/>
  <c r="F7" i="104"/>
  <c r="F6" i="104"/>
  <c r="F5" i="104"/>
  <c r="F4" i="104"/>
  <c r="F3" i="104"/>
  <c r="F1" i="104"/>
  <c r="F47" i="103"/>
  <c r="F46" i="103"/>
  <c r="F45" i="103"/>
  <c r="F44" i="103"/>
  <c r="F43" i="103"/>
  <c r="F42" i="103"/>
  <c r="F41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7" i="103"/>
  <c r="F16" i="103"/>
  <c r="F15" i="103"/>
  <c r="F14" i="103"/>
  <c r="F13" i="103"/>
  <c r="F12" i="103"/>
  <c r="F11" i="103"/>
  <c r="F10" i="103"/>
  <c r="F9" i="103"/>
  <c r="F8" i="103"/>
  <c r="F7" i="103"/>
  <c r="F6" i="103"/>
  <c r="F5" i="103"/>
  <c r="F4" i="103"/>
  <c r="F3" i="103"/>
  <c r="F2" i="103"/>
  <c r="F1" i="103"/>
  <c r="F47" i="102"/>
  <c r="F46" i="102"/>
  <c r="F45" i="102"/>
  <c r="F44" i="102"/>
  <c r="F43" i="102"/>
  <c r="F42" i="102"/>
  <c r="F41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F13" i="102"/>
  <c r="F12" i="102"/>
  <c r="F11" i="102"/>
  <c r="F10" i="102"/>
  <c r="F9" i="102"/>
  <c r="F8" i="102"/>
  <c r="F7" i="102"/>
  <c r="F6" i="102"/>
  <c r="F5" i="102"/>
  <c r="F4" i="102"/>
  <c r="F3" i="102"/>
  <c r="F2" i="102"/>
  <c r="F1" i="102"/>
  <c r="F44" i="101"/>
  <c r="F43" i="101"/>
  <c r="F42" i="101"/>
  <c r="F41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19" i="101"/>
  <c r="F18" i="101"/>
  <c r="F17" i="101"/>
  <c r="F16" i="101"/>
  <c r="F15" i="101"/>
  <c r="F14" i="101"/>
  <c r="F13" i="101"/>
  <c r="F12" i="101"/>
  <c r="F11" i="101"/>
  <c r="F10" i="101"/>
  <c r="F9" i="101"/>
  <c r="F8" i="101"/>
  <c r="F7" i="101"/>
  <c r="F5" i="101"/>
  <c r="F4" i="101"/>
  <c r="F3" i="101"/>
  <c r="F2" i="101"/>
  <c r="F1" i="101"/>
  <c r="F45" i="100"/>
  <c r="F44" i="100"/>
  <c r="F43" i="100"/>
  <c r="F42" i="100"/>
  <c r="F41" i="100"/>
  <c r="F40" i="100"/>
  <c r="F39" i="100"/>
  <c r="F38" i="100"/>
  <c r="F36" i="100"/>
  <c r="F35" i="100"/>
  <c r="F34" i="100"/>
  <c r="F32" i="100"/>
  <c r="F31" i="100"/>
  <c r="F30" i="100"/>
  <c r="F29" i="100"/>
  <c r="F28" i="100"/>
  <c r="F27" i="100"/>
  <c r="F25" i="100"/>
  <c r="F24" i="100"/>
  <c r="F23" i="100"/>
  <c r="F22" i="100"/>
  <c r="F21" i="100"/>
  <c r="F20" i="100"/>
  <c r="F19" i="100"/>
  <c r="F18" i="100"/>
  <c r="F16" i="100"/>
  <c r="F15" i="100"/>
  <c r="F14" i="100"/>
  <c r="F13" i="100"/>
  <c r="F12" i="100"/>
  <c r="F11" i="100"/>
  <c r="F10" i="100"/>
  <c r="F9" i="100"/>
  <c r="F8" i="100"/>
  <c r="F7" i="100"/>
  <c r="F6" i="100"/>
  <c r="F5" i="100"/>
  <c r="F4" i="100"/>
  <c r="F2" i="100"/>
  <c r="F1" i="100"/>
  <c r="F42" i="99"/>
  <c r="F41" i="99"/>
  <c r="F40" i="99"/>
  <c r="F39" i="99"/>
  <c r="F38" i="99"/>
  <c r="F37" i="99"/>
  <c r="F36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F13" i="99"/>
  <c r="F12" i="99"/>
  <c r="F11" i="99"/>
  <c r="F10" i="99"/>
  <c r="F9" i="99"/>
  <c r="F8" i="99"/>
  <c r="F7" i="99"/>
  <c r="F6" i="99"/>
  <c r="F5" i="99"/>
  <c r="F4" i="99"/>
  <c r="F3" i="99"/>
  <c r="F2" i="99"/>
  <c r="F1" i="99"/>
  <c r="F51" i="98"/>
  <c r="F50" i="98"/>
  <c r="F49" i="98"/>
  <c r="F48" i="98"/>
  <c r="F47" i="98"/>
  <c r="F46" i="98"/>
  <c r="F45" i="98"/>
  <c r="F44" i="98"/>
  <c r="F43" i="98"/>
  <c r="F42" i="98"/>
  <c r="F41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1" i="98"/>
  <c r="F20" i="98"/>
  <c r="F19" i="98"/>
  <c r="F18" i="98"/>
  <c r="F17" i="98"/>
  <c r="F16" i="98"/>
  <c r="F15" i="98"/>
  <c r="F14" i="98"/>
  <c r="F13" i="98"/>
  <c r="F12" i="98"/>
  <c r="F11" i="98"/>
  <c r="F10" i="98"/>
  <c r="F9" i="98"/>
  <c r="F8" i="98"/>
  <c r="F7" i="98"/>
  <c r="F6" i="98"/>
  <c r="F5" i="98"/>
  <c r="F4" i="98"/>
  <c r="F3" i="98"/>
  <c r="F2" i="98"/>
  <c r="F1" i="98"/>
  <c r="F45" i="97"/>
  <c r="F44" i="97"/>
  <c r="F43" i="97"/>
  <c r="F42" i="97"/>
  <c r="F41" i="97"/>
  <c r="F40" i="97"/>
  <c r="F39" i="97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6" i="97"/>
  <c r="F15" i="97"/>
  <c r="F14" i="97"/>
  <c r="F12" i="97"/>
  <c r="F11" i="97"/>
  <c r="F10" i="97"/>
  <c r="F9" i="97"/>
  <c r="F8" i="97"/>
  <c r="F7" i="97"/>
  <c r="F6" i="97"/>
  <c r="F5" i="97"/>
  <c r="F4" i="97"/>
  <c r="F3" i="97"/>
  <c r="F2" i="97"/>
  <c r="F1" i="97"/>
  <c r="F42" i="96"/>
  <c r="F41" i="96"/>
  <c r="F40" i="96"/>
  <c r="F39" i="96"/>
  <c r="F38" i="96"/>
  <c r="F37" i="96"/>
  <c r="F36" i="96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F16" i="96"/>
  <c r="F15" i="96"/>
  <c r="F14" i="96"/>
  <c r="F13" i="96"/>
  <c r="F12" i="96"/>
  <c r="F11" i="96"/>
  <c r="F10" i="96"/>
  <c r="F9" i="96"/>
  <c r="F8" i="96"/>
  <c r="F7" i="96"/>
  <c r="F6" i="96"/>
  <c r="F5" i="96"/>
  <c r="F4" i="96"/>
  <c r="F3" i="96"/>
  <c r="F2" i="96"/>
  <c r="F1" i="96"/>
  <c r="F30" i="95"/>
  <c r="F29" i="95"/>
  <c r="F28" i="95"/>
  <c r="F27" i="95"/>
  <c r="F26" i="95"/>
  <c r="F25" i="95"/>
  <c r="F24" i="95"/>
  <c r="F23" i="95"/>
  <c r="F22" i="95"/>
  <c r="F21" i="95"/>
  <c r="F20" i="95"/>
  <c r="F19" i="95"/>
  <c r="F18" i="95"/>
  <c r="F17" i="95"/>
  <c r="F16" i="95"/>
  <c r="F15" i="95"/>
  <c r="F14" i="95"/>
  <c r="F13" i="95"/>
  <c r="F12" i="95"/>
  <c r="F11" i="95"/>
  <c r="F10" i="95"/>
  <c r="F9" i="95"/>
  <c r="F8" i="95"/>
  <c r="F7" i="95"/>
  <c r="F6" i="95"/>
  <c r="F5" i="95"/>
  <c r="F4" i="95"/>
  <c r="F3" i="95"/>
  <c r="F2" i="95"/>
  <c r="F1" i="95"/>
  <c r="F18" i="94"/>
  <c r="F17" i="94"/>
  <c r="F16" i="94"/>
  <c r="F15" i="94"/>
  <c r="F14" i="94"/>
  <c r="F13" i="94"/>
  <c r="F12" i="94"/>
  <c r="F10" i="94"/>
  <c r="F9" i="94"/>
  <c r="F8" i="94"/>
  <c r="F7" i="94"/>
  <c r="F6" i="94"/>
  <c r="F5" i="94"/>
  <c r="F4" i="94"/>
  <c r="F3" i="94"/>
  <c r="F2" i="94"/>
  <c r="F1" i="94"/>
  <c r="F25" i="93"/>
  <c r="F24" i="93"/>
  <c r="F23" i="93"/>
  <c r="F22" i="93"/>
  <c r="F21" i="93"/>
  <c r="F20" i="93"/>
  <c r="F19" i="93"/>
  <c r="F18" i="93"/>
  <c r="F17" i="93"/>
  <c r="F16" i="93"/>
  <c r="F15" i="93"/>
  <c r="F14" i="93"/>
  <c r="F13" i="93"/>
  <c r="F12" i="93"/>
  <c r="F11" i="93"/>
  <c r="F10" i="93"/>
  <c r="F9" i="93"/>
  <c r="F8" i="93"/>
  <c r="F7" i="93"/>
  <c r="F6" i="93"/>
  <c r="F5" i="93"/>
  <c r="F4" i="93"/>
  <c r="F3" i="93"/>
  <c r="F2" i="93"/>
  <c r="F1" i="93"/>
  <c r="F37" i="92"/>
  <c r="F36" i="92"/>
  <c r="F35" i="92"/>
  <c r="F34" i="92"/>
  <c r="F33" i="92"/>
  <c r="F32" i="92"/>
  <c r="F31" i="92"/>
  <c r="F30" i="92"/>
  <c r="F29" i="92"/>
  <c r="F28" i="92"/>
  <c r="F27" i="92"/>
  <c r="F26" i="92"/>
  <c r="F25" i="92"/>
  <c r="F24" i="92"/>
  <c r="F23" i="92"/>
  <c r="F22" i="92"/>
  <c r="F21" i="92"/>
  <c r="F20" i="92"/>
  <c r="F19" i="92"/>
  <c r="F18" i="92"/>
  <c r="F17" i="92"/>
  <c r="F16" i="92"/>
  <c r="F15" i="92"/>
  <c r="F14" i="92"/>
  <c r="F13" i="92"/>
  <c r="F12" i="92"/>
  <c r="F11" i="92"/>
  <c r="F10" i="92"/>
  <c r="F9" i="92"/>
  <c r="F8" i="92"/>
  <c r="F7" i="92"/>
  <c r="F6" i="92"/>
  <c r="F5" i="92"/>
  <c r="F4" i="92"/>
  <c r="F3" i="92"/>
  <c r="F2" i="92"/>
  <c r="F1" i="92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F19" i="91"/>
  <c r="F18" i="91"/>
  <c r="F17" i="91"/>
  <c r="F16" i="91"/>
  <c r="F15" i="91"/>
  <c r="F14" i="91"/>
  <c r="F13" i="91"/>
  <c r="F12" i="91"/>
  <c r="F11" i="91"/>
  <c r="F10" i="91"/>
  <c r="F9" i="91"/>
  <c r="F8" i="91"/>
  <c r="F7" i="91"/>
  <c r="F6" i="91"/>
  <c r="F5" i="91"/>
  <c r="F4" i="91"/>
  <c r="F3" i="91"/>
  <c r="F2" i="91"/>
  <c r="F1" i="91"/>
  <c r="F49" i="90"/>
  <c r="F48" i="90"/>
  <c r="F47" i="90"/>
  <c r="F46" i="90"/>
  <c r="F45" i="90"/>
  <c r="F44" i="90"/>
  <c r="F43" i="90"/>
  <c r="F42" i="90"/>
  <c r="F41" i="90"/>
  <c r="F40" i="90"/>
  <c r="F39" i="90"/>
  <c r="F38" i="90"/>
  <c r="F37" i="90"/>
  <c r="F36" i="90"/>
  <c r="F35" i="90"/>
  <c r="F33" i="90"/>
  <c r="F32" i="90"/>
  <c r="F31" i="90"/>
  <c r="F30" i="90"/>
  <c r="F29" i="90"/>
  <c r="F28" i="90"/>
  <c r="F27" i="90"/>
  <c r="F26" i="90"/>
  <c r="F25" i="90"/>
  <c r="F24" i="90"/>
  <c r="F23" i="90"/>
  <c r="F22" i="90"/>
  <c r="F21" i="90"/>
  <c r="F20" i="90"/>
  <c r="F19" i="90"/>
  <c r="F18" i="90"/>
  <c r="F17" i="90"/>
  <c r="F16" i="90"/>
  <c r="F15" i="90"/>
  <c r="F14" i="90"/>
  <c r="F13" i="90"/>
  <c r="F12" i="90"/>
  <c r="F11" i="90"/>
  <c r="F10" i="90"/>
  <c r="F9" i="90"/>
  <c r="F8" i="90"/>
  <c r="F7" i="90"/>
  <c r="F6" i="90"/>
  <c r="F5" i="90"/>
  <c r="F4" i="90"/>
  <c r="F3" i="90"/>
  <c r="F2" i="90"/>
  <c r="F1" i="90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F16" i="89"/>
  <c r="F15" i="89"/>
  <c r="F14" i="89"/>
  <c r="F13" i="89"/>
  <c r="F12" i="89"/>
  <c r="F10" i="89"/>
  <c r="F9" i="89"/>
  <c r="F8" i="89"/>
  <c r="F7" i="89"/>
  <c r="F6" i="89"/>
  <c r="F5" i="89"/>
  <c r="F4" i="89"/>
  <c r="F3" i="89"/>
  <c r="F2" i="89"/>
  <c r="F1" i="89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F16" i="88"/>
  <c r="F15" i="88"/>
  <c r="F14" i="88"/>
  <c r="F13" i="88"/>
  <c r="F12" i="88"/>
  <c r="F11" i="88"/>
  <c r="F10" i="88"/>
  <c r="F9" i="88"/>
  <c r="F8" i="88"/>
  <c r="F7" i="88"/>
  <c r="F6" i="88"/>
  <c r="F5" i="88"/>
  <c r="F4" i="88"/>
  <c r="F3" i="88"/>
  <c r="F2" i="88"/>
  <c r="F1" i="88"/>
  <c r="F42" i="87"/>
  <c r="F41" i="87"/>
  <c r="F40" i="87"/>
  <c r="F39" i="87"/>
  <c r="F38" i="87"/>
  <c r="F37" i="87"/>
  <c r="F36" i="87"/>
  <c r="F35" i="87"/>
  <c r="F34" i="87"/>
  <c r="F33" i="87"/>
  <c r="F32" i="87"/>
  <c r="F31" i="87"/>
  <c r="F30" i="87"/>
  <c r="F29" i="87"/>
  <c r="F28" i="87"/>
  <c r="F27" i="87"/>
  <c r="F26" i="87"/>
  <c r="F25" i="87"/>
  <c r="F24" i="87"/>
  <c r="F23" i="87"/>
  <c r="F22" i="87"/>
  <c r="F21" i="87"/>
  <c r="F20" i="87"/>
  <c r="F19" i="87"/>
  <c r="F18" i="87"/>
  <c r="F17" i="87"/>
  <c r="F16" i="87"/>
  <c r="F15" i="87"/>
  <c r="F14" i="87"/>
  <c r="F13" i="87"/>
  <c r="F12" i="87"/>
  <c r="F11" i="87"/>
  <c r="F10" i="87"/>
  <c r="F9" i="87"/>
  <c r="F8" i="87"/>
  <c r="F7" i="87"/>
  <c r="F6" i="87"/>
  <c r="F5" i="87"/>
  <c r="F4" i="87"/>
  <c r="F3" i="87"/>
  <c r="F2" i="87"/>
  <c r="F1" i="87"/>
  <c r="F51" i="86"/>
  <c r="F50" i="86"/>
  <c r="F49" i="86"/>
  <c r="F48" i="86"/>
  <c r="F47" i="86"/>
  <c r="F46" i="86"/>
  <c r="F45" i="86"/>
  <c r="F44" i="86"/>
  <c r="F43" i="86"/>
  <c r="F42" i="86"/>
  <c r="F41" i="86"/>
  <c r="F40" i="86"/>
  <c r="F37" i="86"/>
  <c r="F36" i="86"/>
  <c r="F35" i="86"/>
  <c r="F34" i="86"/>
  <c r="F33" i="86"/>
  <c r="F32" i="86"/>
  <c r="F31" i="86"/>
  <c r="F30" i="86"/>
  <c r="F29" i="86"/>
  <c r="F27" i="86"/>
  <c r="F26" i="86"/>
  <c r="F25" i="86"/>
  <c r="F24" i="86"/>
  <c r="F23" i="86"/>
  <c r="F22" i="86"/>
  <c r="F21" i="86"/>
  <c r="F20" i="86"/>
  <c r="F19" i="86"/>
  <c r="F18" i="86"/>
  <c r="F17" i="86"/>
  <c r="F16" i="86"/>
  <c r="F15" i="86"/>
  <c r="F14" i="86"/>
  <c r="F13" i="86"/>
  <c r="F12" i="86"/>
  <c r="F11" i="86"/>
  <c r="F10" i="86"/>
  <c r="F9" i="86"/>
  <c r="F8" i="86"/>
  <c r="F7" i="86"/>
  <c r="F6" i="86"/>
  <c r="F5" i="86"/>
  <c r="F4" i="86"/>
  <c r="F3" i="86"/>
  <c r="F2" i="86"/>
  <c r="F1" i="86"/>
  <c r="F45" i="85"/>
  <c r="F44" i="85"/>
  <c r="F43" i="85"/>
  <c r="F42" i="85"/>
  <c r="F41" i="85"/>
  <c r="F40" i="85"/>
  <c r="F39" i="85"/>
  <c r="F38" i="85"/>
  <c r="F37" i="85"/>
  <c r="F36" i="85"/>
  <c r="F35" i="85"/>
  <c r="F34" i="85"/>
  <c r="F33" i="85"/>
  <c r="F32" i="85"/>
  <c r="F31" i="85"/>
  <c r="F30" i="85"/>
  <c r="F29" i="85"/>
  <c r="F28" i="85"/>
  <c r="F27" i="85"/>
  <c r="F26" i="85"/>
  <c r="F25" i="85"/>
  <c r="F24" i="85"/>
  <c r="F23" i="85"/>
  <c r="F22" i="85"/>
  <c r="F21" i="85"/>
  <c r="F20" i="85"/>
  <c r="F19" i="85"/>
  <c r="F18" i="85"/>
  <c r="F17" i="85"/>
  <c r="F16" i="85"/>
  <c r="F15" i="85"/>
  <c r="F14" i="85"/>
  <c r="F13" i="85"/>
  <c r="F12" i="85"/>
  <c r="F11" i="85"/>
  <c r="F10" i="85"/>
  <c r="F9" i="85"/>
  <c r="F8" i="85"/>
  <c r="F7" i="85"/>
  <c r="F6" i="85"/>
  <c r="F5" i="85"/>
  <c r="F4" i="85"/>
  <c r="F3" i="85"/>
  <c r="F2" i="85"/>
  <c r="F1" i="85"/>
  <c r="F41" i="84"/>
  <c r="F40" i="84"/>
  <c r="F39" i="84"/>
  <c r="F38" i="84"/>
  <c r="F37" i="84"/>
  <c r="F36" i="84"/>
  <c r="F35" i="84"/>
  <c r="F34" i="84"/>
  <c r="F33" i="84"/>
  <c r="F32" i="84"/>
  <c r="F31" i="84"/>
  <c r="F30" i="84"/>
  <c r="F29" i="84"/>
  <c r="F28" i="84"/>
  <c r="F27" i="84"/>
  <c r="F26" i="84"/>
  <c r="F25" i="84"/>
  <c r="F24" i="84"/>
  <c r="F23" i="84"/>
  <c r="F22" i="84"/>
  <c r="F21" i="84"/>
  <c r="F20" i="84"/>
  <c r="F19" i="84"/>
  <c r="F18" i="84"/>
  <c r="F17" i="84"/>
  <c r="F16" i="84"/>
  <c r="F15" i="84"/>
  <c r="F14" i="84"/>
  <c r="F13" i="84"/>
  <c r="F12" i="84"/>
  <c r="F11" i="84"/>
  <c r="F10" i="84"/>
  <c r="F9" i="84"/>
  <c r="F8" i="84"/>
  <c r="F7" i="84"/>
  <c r="F6" i="84"/>
  <c r="F5" i="84"/>
  <c r="F4" i="84"/>
  <c r="F3" i="84"/>
  <c r="F2" i="84"/>
  <c r="F1" i="84"/>
  <c r="F36" i="83"/>
  <c r="F35" i="83"/>
  <c r="F34" i="83"/>
  <c r="F33" i="83"/>
  <c r="F32" i="83"/>
  <c r="F31" i="83"/>
  <c r="F30" i="83"/>
  <c r="F29" i="83"/>
  <c r="F28" i="83"/>
  <c r="F27" i="83"/>
  <c r="F26" i="83"/>
  <c r="F25" i="83"/>
  <c r="F24" i="83"/>
  <c r="F23" i="83"/>
  <c r="F22" i="83"/>
  <c r="F21" i="83"/>
  <c r="F20" i="83"/>
  <c r="F19" i="83"/>
  <c r="F18" i="83"/>
  <c r="F17" i="83"/>
  <c r="F16" i="83"/>
  <c r="F15" i="83"/>
  <c r="F14" i="83"/>
  <c r="F13" i="83"/>
  <c r="F12" i="83"/>
  <c r="F11" i="83"/>
  <c r="F10" i="83"/>
  <c r="F9" i="83"/>
  <c r="F8" i="83"/>
  <c r="F7" i="83"/>
  <c r="F6" i="83"/>
  <c r="F5" i="83"/>
  <c r="F4" i="83"/>
  <c r="F3" i="83"/>
  <c r="F2" i="83"/>
  <c r="F1" i="83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F13" i="82"/>
  <c r="F12" i="82"/>
  <c r="F11" i="82"/>
  <c r="F10" i="82"/>
  <c r="F9" i="82"/>
  <c r="F8" i="82"/>
  <c r="F7" i="82"/>
  <c r="F6" i="82"/>
  <c r="F5" i="82"/>
  <c r="F4" i="82"/>
  <c r="F3" i="82"/>
  <c r="F2" i="82"/>
  <c r="F1" i="82"/>
  <c r="F59" i="81"/>
  <c r="F58" i="81"/>
  <c r="F57" i="81"/>
  <c r="F56" i="81"/>
  <c r="F55" i="81"/>
  <c r="F54" i="81"/>
  <c r="F53" i="81"/>
  <c r="F52" i="81"/>
  <c r="F51" i="81"/>
  <c r="F50" i="81"/>
  <c r="F49" i="81"/>
  <c r="F48" i="81"/>
  <c r="F47" i="81"/>
  <c r="F46" i="81"/>
  <c r="F45" i="81"/>
  <c r="F44" i="81"/>
  <c r="F43" i="81"/>
  <c r="F42" i="81"/>
  <c r="F41" i="81"/>
  <c r="F40" i="81"/>
  <c r="F39" i="81"/>
  <c r="F38" i="81"/>
  <c r="F37" i="81"/>
  <c r="F36" i="81"/>
  <c r="F35" i="81"/>
  <c r="F34" i="81"/>
  <c r="F33" i="81"/>
  <c r="F32" i="81"/>
  <c r="F31" i="81"/>
  <c r="F30" i="81"/>
  <c r="F29" i="81"/>
  <c r="F28" i="81"/>
  <c r="F27" i="81"/>
  <c r="F26" i="81"/>
  <c r="F25" i="81"/>
  <c r="F24" i="81"/>
  <c r="F23" i="81"/>
  <c r="F22" i="81"/>
  <c r="F21" i="81"/>
  <c r="F20" i="81"/>
  <c r="F19" i="81"/>
  <c r="F18" i="81"/>
  <c r="F17" i="81"/>
  <c r="F16" i="81"/>
  <c r="F15" i="81"/>
  <c r="F14" i="81"/>
  <c r="F13" i="81"/>
  <c r="F12" i="81"/>
  <c r="F11" i="81"/>
  <c r="F10" i="81"/>
  <c r="F9" i="81"/>
  <c r="F8" i="81"/>
  <c r="F7" i="81"/>
  <c r="F6" i="81"/>
  <c r="F5" i="81"/>
  <c r="F4" i="81"/>
  <c r="F3" i="81"/>
  <c r="F2" i="81"/>
  <c r="F1" i="81"/>
  <c r="F61" i="80"/>
  <c r="F60" i="80"/>
  <c r="F59" i="80"/>
  <c r="F58" i="80"/>
  <c r="F57" i="80"/>
  <c r="F56" i="80"/>
  <c r="F55" i="80"/>
  <c r="F54" i="80"/>
  <c r="F53" i="80"/>
  <c r="F52" i="80"/>
  <c r="F51" i="80"/>
  <c r="F50" i="80"/>
  <c r="F49" i="80"/>
  <c r="F48" i="80"/>
  <c r="F47" i="80"/>
  <c r="F46" i="80"/>
  <c r="F45" i="80"/>
  <c r="F44" i="80"/>
  <c r="F43" i="80"/>
  <c r="F42" i="80"/>
  <c r="F41" i="80"/>
  <c r="F40" i="80"/>
  <c r="F39" i="80"/>
  <c r="F38" i="80"/>
  <c r="F37" i="80"/>
  <c r="F36" i="80"/>
  <c r="F35" i="80"/>
  <c r="F34" i="80"/>
  <c r="F33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9" i="80"/>
  <c r="F8" i="80"/>
  <c r="F7" i="80"/>
  <c r="F6" i="80"/>
  <c r="F5" i="80"/>
  <c r="F4" i="80"/>
  <c r="F3" i="80"/>
  <c r="F2" i="80"/>
  <c r="F1" i="80"/>
  <c r="F79" i="79"/>
  <c r="F78" i="79"/>
  <c r="F77" i="79"/>
  <c r="F76" i="79"/>
  <c r="F75" i="79"/>
  <c r="F74" i="79"/>
  <c r="F73" i="79"/>
  <c r="F72" i="79"/>
  <c r="F71" i="79"/>
  <c r="F70" i="79"/>
  <c r="F69" i="79"/>
  <c r="F68" i="79"/>
  <c r="F66" i="79"/>
  <c r="F65" i="79"/>
  <c r="F64" i="79"/>
  <c r="F63" i="79"/>
  <c r="F62" i="79"/>
  <c r="F61" i="79"/>
  <c r="F60" i="79"/>
  <c r="F59" i="79"/>
  <c r="F58" i="79"/>
  <c r="F57" i="79"/>
  <c r="F56" i="79"/>
  <c r="F55" i="79"/>
  <c r="F54" i="79"/>
  <c r="F53" i="79"/>
  <c r="F52" i="79"/>
  <c r="F51" i="79"/>
  <c r="F50" i="79"/>
  <c r="F49" i="79"/>
  <c r="F48" i="79"/>
  <c r="F47" i="79"/>
  <c r="F46" i="79"/>
  <c r="F45" i="79"/>
  <c r="F44" i="79"/>
  <c r="F43" i="79"/>
  <c r="F42" i="79"/>
  <c r="F41" i="79"/>
  <c r="F40" i="79"/>
  <c r="F39" i="79"/>
  <c r="F38" i="79"/>
  <c r="F37" i="79"/>
  <c r="F36" i="79"/>
  <c r="F35" i="79"/>
  <c r="F34" i="79"/>
  <c r="F33" i="79"/>
  <c r="F32" i="79"/>
  <c r="F31" i="79"/>
  <c r="F30" i="79"/>
  <c r="F29" i="79"/>
  <c r="F28" i="79"/>
  <c r="F26" i="79"/>
  <c r="F19" i="79"/>
  <c r="F14" i="79"/>
  <c r="F11" i="79"/>
  <c r="F9" i="79"/>
  <c r="F8" i="79"/>
  <c r="F6" i="79"/>
  <c r="F4" i="79"/>
  <c r="F3" i="79"/>
  <c r="F2" i="79"/>
  <c r="F1" i="79"/>
  <c r="F58" i="78"/>
  <c r="F57" i="78"/>
  <c r="F56" i="78"/>
  <c r="F55" i="78"/>
  <c r="F54" i="78"/>
  <c r="F53" i="78"/>
  <c r="F52" i="78"/>
  <c r="F51" i="78"/>
  <c r="F50" i="78"/>
  <c r="F49" i="78"/>
  <c r="F48" i="78"/>
  <c r="F47" i="78"/>
  <c r="F46" i="78"/>
  <c r="F45" i="78"/>
  <c r="F44" i="78"/>
  <c r="F43" i="78"/>
  <c r="F42" i="78"/>
  <c r="F41" i="78"/>
  <c r="F40" i="78"/>
  <c r="F39" i="78"/>
  <c r="F38" i="78"/>
  <c r="F37" i="78"/>
  <c r="F36" i="78"/>
  <c r="F35" i="78"/>
  <c r="F34" i="78"/>
  <c r="F33" i="78"/>
  <c r="F32" i="78"/>
  <c r="F31" i="78"/>
  <c r="F30" i="78"/>
  <c r="F29" i="78"/>
  <c r="F28" i="78"/>
  <c r="F27" i="78"/>
  <c r="F26" i="78"/>
  <c r="F25" i="78"/>
  <c r="F24" i="78"/>
  <c r="F23" i="78"/>
  <c r="F22" i="78"/>
  <c r="F21" i="78"/>
  <c r="F20" i="78"/>
  <c r="F19" i="78"/>
  <c r="F18" i="78"/>
  <c r="F17" i="78"/>
  <c r="F16" i="78"/>
  <c r="F15" i="78"/>
  <c r="F14" i="78"/>
  <c r="F13" i="78"/>
  <c r="F12" i="78"/>
  <c r="F11" i="78"/>
  <c r="F10" i="78"/>
  <c r="F9" i="78"/>
  <c r="F8" i="78"/>
  <c r="F7" i="78"/>
  <c r="F6" i="78"/>
  <c r="F5" i="78"/>
  <c r="F4" i="78"/>
  <c r="F3" i="78"/>
  <c r="F2" i="78"/>
  <c r="F1" i="78"/>
  <c r="F67" i="77"/>
  <c r="F66" i="77"/>
  <c r="F65" i="77"/>
  <c r="F64" i="77"/>
  <c r="F63" i="77"/>
  <c r="F62" i="77"/>
  <c r="F61" i="77"/>
  <c r="F60" i="77"/>
  <c r="F58" i="77"/>
  <c r="F57" i="77"/>
  <c r="F56" i="77"/>
  <c r="F55" i="77"/>
  <c r="F54" i="77"/>
  <c r="F53" i="77"/>
  <c r="F52" i="77"/>
  <c r="F51" i="77"/>
  <c r="F50" i="77"/>
  <c r="F49" i="77"/>
  <c r="F48" i="77"/>
  <c r="F47" i="77"/>
  <c r="F46" i="77"/>
  <c r="F45" i="77"/>
  <c r="F44" i="77"/>
  <c r="F43" i="77"/>
  <c r="F42" i="77"/>
  <c r="F41" i="77"/>
  <c r="F40" i="77"/>
  <c r="F39" i="77"/>
  <c r="F38" i="77"/>
  <c r="F37" i="77"/>
  <c r="F36" i="77"/>
  <c r="F35" i="77"/>
  <c r="F34" i="77"/>
  <c r="F33" i="77"/>
  <c r="F32" i="77"/>
  <c r="F31" i="77"/>
  <c r="F30" i="77"/>
  <c r="F29" i="77"/>
  <c r="F28" i="77"/>
  <c r="F27" i="77"/>
  <c r="F26" i="77"/>
  <c r="F25" i="77"/>
  <c r="F24" i="77"/>
  <c r="F23" i="77"/>
  <c r="F22" i="77"/>
  <c r="F21" i="77"/>
  <c r="F20" i="77"/>
  <c r="F19" i="77"/>
  <c r="F18" i="77"/>
  <c r="F17" i="77"/>
  <c r="F16" i="77"/>
  <c r="F15" i="77"/>
  <c r="F14" i="77"/>
  <c r="F13" i="77"/>
  <c r="F12" i="77"/>
  <c r="F11" i="77"/>
  <c r="F10" i="77"/>
  <c r="F9" i="77"/>
  <c r="F8" i="77"/>
  <c r="F7" i="77"/>
  <c r="F6" i="77"/>
  <c r="F5" i="77"/>
  <c r="F4" i="77"/>
  <c r="F3" i="77"/>
  <c r="F2" i="77"/>
  <c r="F1" i="77"/>
  <c r="F72" i="76"/>
  <c r="F71" i="76"/>
  <c r="F70" i="76"/>
  <c r="F69" i="76"/>
  <c r="F68" i="76"/>
  <c r="F67" i="76"/>
  <c r="F66" i="76"/>
  <c r="F65" i="76"/>
  <c r="F64" i="76"/>
  <c r="F63" i="76"/>
  <c r="F62" i="76"/>
  <c r="F61" i="76"/>
  <c r="F60" i="76"/>
  <c r="F59" i="76"/>
  <c r="F58" i="76"/>
  <c r="F57" i="76"/>
  <c r="F56" i="76"/>
  <c r="F55" i="76"/>
  <c r="F54" i="76"/>
  <c r="F53" i="76"/>
  <c r="F52" i="76"/>
  <c r="F51" i="76"/>
  <c r="F50" i="76"/>
  <c r="F49" i="76"/>
  <c r="F48" i="76"/>
  <c r="F47" i="76"/>
  <c r="F46" i="76"/>
  <c r="F44" i="76"/>
  <c r="F43" i="76"/>
  <c r="F42" i="76"/>
  <c r="F41" i="76"/>
  <c r="F40" i="76"/>
  <c r="F39" i="76"/>
  <c r="F38" i="76"/>
  <c r="F37" i="76"/>
  <c r="F36" i="76"/>
  <c r="F35" i="76"/>
  <c r="F34" i="76"/>
  <c r="F33" i="76"/>
  <c r="F32" i="76"/>
  <c r="F31" i="76"/>
  <c r="F30" i="76"/>
  <c r="F29" i="76"/>
  <c r="F28" i="76"/>
  <c r="F27" i="76"/>
  <c r="F26" i="76"/>
  <c r="F25" i="76"/>
  <c r="F24" i="76"/>
  <c r="F23" i="76"/>
  <c r="F22" i="76"/>
  <c r="F21" i="76"/>
  <c r="F20" i="76"/>
  <c r="F19" i="76"/>
  <c r="F18" i="76"/>
  <c r="F17" i="76"/>
  <c r="F16" i="76"/>
  <c r="F15" i="76"/>
  <c r="F14" i="76"/>
  <c r="F13" i="76"/>
  <c r="F12" i="76"/>
  <c r="F11" i="76"/>
  <c r="F10" i="76"/>
  <c r="F9" i="76"/>
  <c r="F8" i="76"/>
  <c r="F7" i="76"/>
  <c r="F6" i="76"/>
  <c r="F5" i="76"/>
  <c r="F4" i="76"/>
  <c r="F3" i="76"/>
  <c r="F2" i="76"/>
  <c r="F1" i="76"/>
  <c r="F75" i="75"/>
  <c r="F74" i="75"/>
  <c r="F73" i="75"/>
  <c r="F72" i="75"/>
  <c r="F71" i="75"/>
  <c r="F66" i="75"/>
  <c r="F64" i="75"/>
  <c r="F60" i="75"/>
  <c r="F59" i="75"/>
  <c r="F55" i="75"/>
  <c r="F54" i="75"/>
  <c r="F53" i="75"/>
  <c r="F52" i="75"/>
  <c r="F51" i="75"/>
  <c r="F50" i="75"/>
  <c r="F49" i="75"/>
  <c r="F48" i="75"/>
  <c r="F47" i="75"/>
  <c r="F46" i="75"/>
  <c r="F45" i="75"/>
  <c r="F44" i="75"/>
  <c r="F43" i="75"/>
  <c r="F42" i="75"/>
  <c r="F41" i="75"/>
  <c r="F40" i="75"/>
  <c r="F39" i="75"/>
  <c r="F38" i="75"/>
  <c r="F37" i="75"/>
  <c r="F36" i="75"/>
  <c r="F35" i="75"/>
  <c r="F34" i="75"/>
  <c r="F33" i="75"/>
  <c r="F32" i="75"/>
  <c r="F31" i="75"/>
  <c r="F30" i="75"/>
  <c r="F29" i="75"/>
  <c r="F28" i="75"/>
  <c r="F27" i="75"/>
  <c r="F26" i="75"/>
  <c r="F25" i="75"/>
  <c r="F24" i="75"/>
  <c r="F23" i="75"/>
  <c r="F22" i="75"/>
  <c r="F21" i="75"/>
  <c r="F20" i="75"/>
  <c r="F19" i="75"/>
  <c r="F18" i="75"/>
  <c r="F17" i="75"/>
  <c r="F16" i="75"/>
  <c r="F15" i="75"/>
  <c r="F14" i="75"/>
  <c r="F13" i="75"/>
  <c r="F12" i="75"/>
  <c r="F11" i="75"/>
  <c r="F10" i="75"/>
  <c r="F9" i="75"/>
  <c r="F8" i="75"/>
  <c r="F7" i="75"/>
  <c r="F6" i="75"/>
  <c r="F5" i="75"/>
  <c r="F4" i="75"/>
  <c r="F3" i="75"/>
  <c r="F2" i="75"/>
  <c r="F1" i="75"/>
  <c r="F78" i="74"/>
  <c r="F77" i="74"/>
  <c r="F76" i="74"/>
  <c r="F75" i="74"/>
  <c r="F74" i="74"/>
  <c r="F73" i="74"/>
  <c r="F72" i="74"/>
  <c r="F71" i="74"/>
  <c r="F69" i="74"/>
  <c r="F68" i="74"/>
  <c r="F67" i="74"/>
  <c r="F66" i="74"/>
  <c r="F65" i="74"/>
  <c r="F64" i="74"/>
  <c r="F63" i="74"/>
  <c r="F62" i="74"/>
  <c r="F61" i="74"/>
  <c r="F60" i="74"/>
  <c r="F59" i="74"/>
  <c r="F58" i="74"/>
  <c r="F57" i="74"/>
  <c r="F56" i="74"/>
  <c r="F55" i="74"/>
  <c r="F54" i="74"/>
  <c r="F53" i="74"/>
  <c r="F52" i="74"/>
  <c r="F51" i="74"/>
  <c r="F50" i="74"/>
  <c r="F49" i="74"/>
  <c r="F48" i="74"/>
  <c r="F47" i="74"/>
  <c r="F46" i="74"/>
  <c r="F45" i="74"/>
  <c r="F44" i="74"/>
  <c r="F43" i="74"/>
  <c r="F42" i="74"/>
  <c r="F41" i="74"/>
  <c r="F40" i="74"/>
  <c r="F39" i="74"/>
  <c r="F38" i="74"/>
  <c r="F37" i="74"/>
  <c r="F36" i="74"/>
  <c r="F35" i="74"/>
  <c r="F34" i="74"/>
  <c r="F33" i="74"/>
  <c r="F32" i="74"/>
  <c r="F31" i="74"/>
  <c r="F30" i="74"/>
  <c r="F28" i="74"/>
  <c r="F27" i="74"/>
  <c r="F26" i="74"/>
  <c r="F25" i="74"/>
  <c r="F24" i="74"/>
  <c r="F23" i="74"/>
  <c r="F22" i="74"/>
  <c r="F21" i="74"/>
  <c r="F20" i="74"/>
  <c r="F19" i="74"/>
  <c r="F18" i="74"/>
  <c r="F17" i="74"/>
  <c r="F16" i="74"/>
  <c r="F15" i="74"/>
  <c r="F13" i="74"/>
  <c r="F12" i="74"/>
  <c r="F11" i="74"/>
  <c r="F10" i="74"/>
  <c r="F9" i="74"/>
  <c r="F8" i="74"/>
  <c r="F7" i="74"/>
  <c r="F6" i="74"/>
  <c r="F5" i="74"/>
  <c r="F4" i="74"/>
  <c r="F3" i="74"/>
  <c r="F2" i="74"/>
  <c r="F1" i="74"/>
  <c r="F67" i="73"/>
  <c r="F66" i="73"/>
  <c r="F65" i="73"/>
  <c r="F64" i="73"/>
  <c r="F63" i="73"/>
  <c r="F62" i="73"/>
  <c r="F61" i="73"/>
  <c r="F60" i="73"/>
  <c r="F59" i="73"/>
  <c r="F58" i="73"/>
  <c r="F57" i="73"/>
  <c r="F56" i="73"/>
  <c r="F55" i="73"/>
  <c r="F54" i="73"/>
  <c r="F53" i="73"/>
  <c r="F52" i="73"/>
  <c r="F51" i="73"/>
  <c r="F50" i="73"/>
  <c r="F49" i="73"/>
  <c r="F48" i="73"/>
  <c r="F47" i="73"/>
  <c r="F46" i="73"/>
  <c r="F45" i="73"/>
  <c r="F44" i="73"/>
  <c r="F43" i="73"/>
  <c r="F42" i="73"/>
  <c r="F41" i="73"/>
  <c r="F40" i="73"/>
  <c r="F39" i="73"/>
  <c r="F38" i="73"/>
  <c r="F37" i="73"/>
  <c r="F36" i="73"/>
  <c r="F35" i="73"/>
  <c r="F34" i="73"/>
  <c r="F33" i="73"/>
  <c r="F32" i="73"/>
  <c r="F31" i="73"/>
  <c r="F30" i="73"/>
  <c r="F29" i="73"/>
  <c r="F28" i="73"/>
  <c r="F27" i="73"/>
  <c r="F26" i="73"/>
  <c r="F25" i="73"/>
  <c r="F24" i="73"/>
  <c r="F23" i="73"/>
  <c r="F22" i="73"/>
  <c r="F21" i="73"/>
  <c r="F20" i="73"/>
  <c r="F19" i="73"/>
  <c r="F18" i="73"/>
  <c r="F17" i="73"/>
  <c r="F16" i="73"/>
  <c r="F15" i="73"/>
  <c r="F14" i="73"/>
  <c r="F13" i="73"/>
  <c r="F12" i="73"/>
  <c r="F11" i="73"/>
  <c r="F10" i="73"/>
  <c r="F9" i="73"/>
  <c r="F8" i="73"/>
  <c r="F7" i="73"/>
  <c r="F6" i="73"/>
  <c r="F5" i="73"/>
  <c r="F4" i="73"/>
  <c r="F3" i="73"/>
  <c r="F2" i="73"/>
  <c r="A59" i="5" l="1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2" i="5"/>
  <c r="F100" i="137" l="1"/>
  <c r="F17" i="137"/>
  <c r="F33" i="137"/>
  <c r="F49" i="137"/>
  <c r="F66" i="137"/>
  <c r="F82" i="137"/>
  <c r="F98" i="137"/>
  <c r="F115" i="137"/>
  <c r="F16" i="136"/>
  <c r="F32" i="136"/>
  <c r="F15" i="135"/>
  <c r="F31" i="135"/>
  <c r="F47" i="135"/>
  <c r="F63" i="135"/>
  <c r="F2" i="134"/>
  <c r="F18" i="134"/>
  <c r="F34" i="134"/>
  <c r="F50" i="134"/>
  <c r="F66" i="134"/>
  <c r="F82" i="134"/>
  <c r="F98" i="134"/>
  <c r="F14" i="133"/>
  <c r="F30" i="133"/>
  <c r="F46" i="133"/>
  <c r="F62" i="133"/>
  <c r="F78" i="133"/>
  <c r="F4" i="136"/>
  <c r="F67" i="135"/>
  <c r="F70" i="134"/>
  <c r="F50" i="133"/>
  <c r="F20" i="135"/>
  <c r="F7" i="134"/>
  <c r="F19" i="133"/>
  <c r="F5" i="135"/>
  <c r="F56" i="134"/>
  <c r="F45" i="134"/>
  <c r="F75" i="135"/>
  <c r="F27" i="133"/>
  <c r="F64" i="134"/>
  <c r="F2" i="137"/>
  <c r="F18" i="137"/>
  <c r="F34" i="137"/>
  <c r="F50" i="137"/>
  <c r="F67" i="137"/>
  <c r="F83" i="137"/>
  <c r="F99" i="137"/>
  <c r="F1" i="137"/>
  <c r="F17" i="136"/>
  <c r="F33" i="136"/>
  <c r="F16" i="135"/>
  <c r="F32" i="135"/>
  <c r="F48" i="135"/>
  <c r="F64" i="135"/>
  <c r="F3" i="134"/>
  <c r="F19" i="134"/>
  <c r="F35" i="134"/>
  <c r="F51" i="134"/>
  <c r="F67" i="134"/>
  <c r="F83" i="134"/>
  <c r="F99" i="134"/>
  <c r="F15" i="133"/>
  <c r="F31" i="133"/>
  <c r="F47" i="133"/>
  <c r="F63" i="133"/>
  <c r="F79" i="133"/>
  <c r="F86" i="137"/>
  <c r="F19" i="135"/>
  <c r="F38" i="134"/>
  <c r="F18" i="133"/>
  <c r="F5" i="136"/>
  <c r="F68" i="135"/>
  <c r="F87" i="134"/>
  <c r="F37" i="135"/>
  <c r="F72" i="134"/>
  <c r="F68" i="133"/>
  <c r="F57" i="133"/>
  <c r="F14" i="134"/>
  <c r="F59" i="133"/>
  <c r="F48" i="134"/>
  <c r="F3" i="137"/>
  <c r="F19" i="137"/>
  <c r="F35" i="137"/>
  <c r="F51" i="137"/>
  <c r="F68" i="137"/>
  <c r="F84" i="137"/>
  <c r="F101" i="137"/>
  <c r="F2" i="136"/>
  <c r="F18" i="136"/>
  <c r="F1" i="136"/>
  <c r="F17" i="135"/>
  <c r="F33" i="135"/>
  <c r="F49" i="135"/>
  <c r="F65" i="135"/>
  <c r="F4" i="134"/>
  <c r="F20" i="134"/>
  <c r="F36" i="134"/>
  <c r="F52" i="134"/>
  <c r="F68" i="134"/>
  <c r="F84" i="134"/>
  <c r="F100" i="134"/>
  <c r="F16" i="133"/>
  <c r="F32" i="133"/>
  <c r="F48" i="133"/>
  <c r="F64" i="133"/>
  <c r="F1" i="133"/>
  <c r="F103" i="137"/>
  <c r="F35" i="135"/>
  <c r="F22" i="134"/>
  <c r="F86" i="134"/>
  <c r="F66" i="133"/>
  <c r="F36" i="135"/>
  <c r="F55" i="134"/>
  <c r="F51" i="133"/>
  <c r="F53" i="135"/>
  <c r="F40" i="134"/>
  <c r="F52" i="133"/>
  <c r="F41" i="133"/>
  <c r="F42" i="133"/>
  <c r="F76" i="135"/>
  <c r="F13" i="133"/>
  <c r="F4" i="137"/>
  <c r="F20" i="137"/>
  <c r="F36" i="137"/>
  <c r="F52" i="137"/>
  <c r="F69" i="137"/>
  <c r="F85" i="137"/>
  <c r="F102" i="137"/>
  <c r="F3" i="136"/>
  <c r="F19" i="136"/>
  <c r="F2" i="135"/>
  <c r="F18" i="135"/>
  <c r="F34" i="135"/>
  <c r="F50" i="135"/>
  <c r="F66" i="135"/>
  <c r="F5" i="134"/>
  <c r="F21" i="134"/>
  <c r="F37" i="134"/>
  <c r="F53" i="134"/>
  <c r="F69" i="134"/>
  <c r="F85" i="134"/>
  <c r="F1" i="134"/>
  <c r="F17" i="133"/>
  <c r="F33" i="133"/>
  <c r="F49" i="133"/>
  <c r="F65" i="133"/>
  <c r="F53" i="137"/>
  <c r="F20" i="136"/>
  <c r="F51" i="135"/>
  <c r="F54" i="134"/>
  <c r="F34" i="133"/>
  <c r="F4" i="135"/>
  <c r="F39" i="134"/>
  <c r="F3" i="133"/>
  <c r="F21" i="135"/>
  <c r="F88" i="134"/>
  <c r="F29" i="134"/>
  <c r="F62" i="134"/>
  <c r="F63" i="134"/>
  <c r="F76" i="133"/>
  <c r="F5" i="137"/>
  <c r="F21" i="137"/>
  <c r="F37" i="137"/>
  <c r="F70" i="137"/>
  <c r="F3" i="135"/>
  <c r="F6" i="134"/>
  <c r="F2" i="133"/>
  <c r="F21" i="136"/>
  <c r="F23" i="134"/>
  <c r="F35" i="133"/>
  <c r="F69" i="135"/>
  <c r="F4" i="133"/>
  <c r="F25" i="133"/>
  <c r="F78" i="134"/>
  <c r="F43" i="133"/>
  <c r="F12" i="133"/>
  <c r="F6" i="137"/>
  <c r="F22" i="137"/>
  <c r="F38" i="137"/>
  <c r="F54" i="137"/>
  <c r="F71" i="137"/>
  <c r="F87" i="137"/>
  <c r="F104" i="137"/>
  <c r="F52" i="135"/>
  <c r="F71" i="134"/>
  <c r="F67" i="133"/>
  <c r="F8" i="134"/>
  <c r="F20" i="133"/>
  <c r="F93" i="134"/>
  <c r="F58" i="133"/>
  <c r="F47" i="134"/>
  <c r="F29" i="133"/>
  <c r="F7" i="137"/>
  <c r="F23" i="137"/>
  <c r="F39" i="137"/>
  <c r="F55" i="137"/>
  <c r="F72" i="137"/>
  <c r="F88" i="137"/>
  <c r="F105" i="137"/>
  <c r="F6" i="136"/>
  <c r="F22" i="136"/>
  <c r="F24" i="134"/>
  <c r="F36" i="133"/>
  <c r="F73" i="133"/>
  <c r="F94" i="134"/>
  <c r="F95" i="134"/>
  <c r="F28" i="133"/>
  <c r="F8" i="137"/>
  <c r="F24" i="137"/>
  <c r="F40" i="137"/>
  <c r="F56" i="137"/>
  <c r="F73" i="137"/>
  <c r="F89" i="137"/>
  <c r="F106" i="137"/>
  <c r="F7" i="136"/>
  <c r="F23" i="136"/>
  <c r="F6" i="135"/>
  <c r="F22" i="135"/>
  <c r="F38" i="135"/>
  <c r="F54" i="135"/>
  <c r="F70" i="135"/>
  <c r="F9" i="134"/>
  <c r="F25" i="134"/>
  <c r="F41" i="134"/>
  <c r="F57" i="134"/>
  <c r="F73" i="134"/>
  <c r="F89" i="134"/>
  <c r="F5" i="133"/>
  <c r="F21" i="133"/>
  <c r="F37" i="133"/>
  <c r="F53" i="133"/>
  <c r="F69" i="133"/>
  <c r="F54" i="133"/>
  <c r="F91" i="134"/>
  <c r="F39" i="133"/>
  <c r="F92" i="134"/>
  <c r="F74" i="135"/>
  <c r="F10" i="133"/>
  <c r="F11" i="133"/>
  <c r="F44" i="133"/>
  <c r="F61" i="133"/>
  <c r="F9" i="137"/>
  <c r="F25" i="137"/>
  <c r="F41" i="137"/>
  <c r="F57" i="137"/>
  <c r="F74" i="137"/>
  <c r="F90" i="137"/>
  <c r="F107" i="137"/>
  <c r="F8" i="136"/>
  <c r="F24" i="136"/>
  <c r="F7" i="135"/>
  <c r="F23" i="135"/>
  <c r="F39" i="135"/>
  <c r="F55" i="135"/>
  <c r="F71" i="135"/>
  <c r="F10" i="134"/>
  <c r="F26" i="134"/>
  <c r="F42" i="134"/>
  <c r="F58" i="134"/>
  <c r="F74" i="134"/>
  <c r="F90" i="134"/>
  <c r="F6" i="133"/>
  <c r="F22" i="133"/>
  <c r="F38" i="133"/>
  <c r="F70" i="133"/>
  <c r="F23" i="133"/>
  <c r="F71" i="133"/>
  <c r="F40" i="133"/>
  <c r="F72" i="133"/>
  <c r="F77" i="134"/>
  <c r="F26" i="133"/>
  <c r="F15" i="134"/>
  <c r="F32" i="134"/>
  <c r="F77" i="133"/>
  <c r="F10" i="137"/>
  <c r="F26" i="137"/>
  <c r="F42" i="137"/>
  <c r="F58" i="137"/>
  <c r="F75" i="137"/>
  <c r="F91" i="137"/>
  <c r="F108" i="137"/>
  <c r="F9" i="136"/>
  <c r="F25" i="136"/>
  <c r="F8" i="135"/>
  <c r="F24" i="135"/>
  <c r="F40" i="135"/>
  <c r="F56" i="135"/>
  <c r="F72" i="135"/>
  <c r="F11" i="134"/>
  <c r="F27" i="134"/>
  <c r="F43" i="134"/>
  <c r="F59" i="134"/>
  <c r="F75" i="134"/>
  <c r="F7" i="133"/>
  <c r="F55" i="133"/>
  <c r="F24" i="133"/>
  <c r="F13" i="134"/>
  <c r="F59" i="135"/>
  <c r="F61" i="135"/>
  <c r="F11" i="137"/>
  <c r="F27" i="137"/>
  <c r="F43" i="137"/>
  <c r="F59" i="137"/>
  <c r="F76" i="137"/>
  <c r="F92" i="137"/>
  <c r="F109" i="137"/>
  <c r="F10" i="136"/>
  <c r="F26" i="136"/>
  <c r="F9" i="135"/>
  <c r="F25" i="135"/>
  <c r="F41" i="135"/>
  <c r="F57" i="135"/>
  <c r="F73" i="135"/>
  <c r="F12" i="134"/>
  <c r="F28" i="134"/>
  <c r="F44" i="134"/>
  <c r="F60" i="134"/>
  <c r="F76" i="134"/>
  <c r="F8" i="133"/>
  <c r="F56" i="133"/>
  <c r="F9" i="133"/>
  <c r="F30" i="134"/>
  <c r="F75" i="133"/>
  <c r="F80" i="134"/>
  <c r="F12" i="137"/>
  <c r="F28" i="137"/>
  <c r="F44" i="137"/>
  <c r="F60" i="137"/>
  <c r="F77" i="137"/>
  <c r="F93" i="137"/>
  <c r="F110" i="137"/>
  <c r="F11" i="136"/>
  <c r="F27" i="136"/>
  <c r="F10" i="135"/>
  <c r="F26" i="135"/>
  <c r="F42" i="135"/>
  <c r="F58" i="135"/>
  <c r="F61" i="134"/>
  <c r="F46" i="134"/>
  <c r="F79" i="134"/>
  <c r="F60" i="133"/>
  <c r="F13" i="137"/>
  <c r="F29" i="137"/>
  <c r="F45" i="137"/>
  <c r="F61" i="137"/>
  <c r="F78" i="137"/>
  <c r="F94" i="137"/>
  <c r="F111" i="137"/>
  <c r="F12" i="136"/>
  <c r="F28" i="136"/>
  <c r="F11" i="135"/>
  <c r="F27" i="135"/>
  <c r="F43" i="135"/>
  <c r="F74" i="133"/>
  <c r="F77" i="135"/>
  <c r="F14" i="137"/>
  <c r="F30" i="137"/>
  <c r="F46" i="137"/>
  <c r="F62" i="137"/>
  <c r="F79" i="137"/>
  <c r="F95" i="137"/>
  <c r="F112" i="137"/>
  <c r="F13" i="136"/>
  <c r="F29" i="136"/>
  <c r="F12" i="135"/>
  <c r="F28" i="135"/>
  <c r="F44" i="135"/>
  <c r="F60" i="135"/>
  <c r="F31" i="134"/>
  <c r="F96" i="134"/>
  <c r="F15" i="137"/>
  <c r="F31" i="137"/>
  <c r="F47" i="137"/>
  <c r="F64" i="137"/>
  <c r="F80" i="137"/>
  <c r="F96" i="137"/>
  <c r="F113" i="137"/>
  <c r="F14" i="136"/>
  <c r="F30" i="136"/>
  <c r="F13" i="135"/>
  <c r="F29" i="135"/>
  <c r="F45" i="135"/>
  <c r="F16" i="134"/>
  <c r="F16" i="137"/>
  <c r="F32" i="137"/>
  <c r="F48" i="137"/>
  <c r="F65" i="137"/>
  <c r="F81" i="137"/>
  <c r="F97" i="137"/>
  <c r="F114" i="137"/>
  <c r="F15" i="136"/>
  <c r="F31" i="136"/>
  <c r="F14" i="135"/>
  <c r="F30" i="135"/>
  <c r="F46" i="135"/>
  <c r="F62" i="135"/>
  <c r="F1" i="135"/>
  <c r="F17" i="134"/>
  <c r="F33" i="134"/>
  <c r="F49" i="134"/>
  <c r="F65" i="134"/>
  <c r="F81" i="134"/>
  <c r="F97" i="134"/>
  <c r="F45" i="133"/>
  <c r="F2" i="131"/>
  <c r="F18" i="131"/>
  <c r="F34" i="131"/>
  <c r="F50" i="131"/>
  <c r="F66" i="131"/>
  <c r="F82" i="131"/>
  <c r="F9" i="130"/>
  <c r="F25" i="130"/>
  <c r="F41" i="130"/>
  <c r="F57" i="130"/>
  <c r="F73" i="130"/>
  <c r="F12" i="129"/>
  <c r="F28" i="129"/>
  <c r="F44" i="129"/>
  <c r="F60" i="129"/>
  <c r="F76" i="129"/>
  <c r="F92" i="129"/>
  <c r="F16" i="128"/>
  <c r="F32" i="128"/>
  <c r="F48" i="128"/>
  <c r="F64" i="128"/>
  <c r="F80" i="128"/>
  <c r="F14" i="127"/>
  <c r="F30" i="127"/>
  <c r="F46" i="127"/>
  <c r="F62" i="127"/>
  <c r="F78" i="127"/>
  <c r="F16" i="126"/>
  <c r="F32" i="126"/>
  <c r="F48" i="126"/>
  <c r="F64" i="126"/>
  <c r="F80" i="126"/>
  <c r="F96" i="126"/>
  <c r="F112" i="126"/>
  <c r="F7" i="125"/>
  <c r="F23" i="125"/>
  <c r="F55" i="125"/>
  <c r="F48" i="125"/>
  <c r="F3" i="131"/>
  <c r="F19" i="131"/>
  <c r="F35" i="131"/>
  <c r="F51" i="131"/>
  <c r="F67" i="131"/>
  <c r="F83" i="131"/>
  <c r="F10" i="130"/>
  <c r="F26" i="130"/>
  <c r="F42" i="130"/>
  <c r="F58" i="130"/>
  <c r="F74" i="130"/>
  <c r="F13" i="129"/>
  <c r="F29" i="129"/>
  <c r="F45" i="129"/>
  <c r="F61" i="129"/>
  <c r="F77" i="129"/>
  <c r="F1" i="129"/>
  <c r="F17" i="128"/>
  <c r="F33" i="128"/>
  <c r="F49" i="128"/>
  <c r="F65" i="128"/>
  <c r="F81" i="128"/>
  <c r="F15" i="127"/>
  <c r="F31" i="127"/>
  <c r="F47" i="127"/>
  <c r="F63" i="127"/>
  <c r="F1" i="127"/>
  <c r="F17" i="126"/>
  <c r="F33" i="126"/>
  <c r="F49" i="126"/>
  <c r="F65" i="126"/>
  <c r="F81" i="126"/>
  <c r="F97" i="126"/>
  <c r="F113" i="126"/>
  <c r="F8" i="125"/>
  <c r="F40" i="125"/>
  <c r="F4" i="131"/>
  <c r="F20" i="131"/>
  <c r="F36" i="131"/>
  <c r="F52" i="131"/>
  <c r="F68" i="131"/>
  <c r="F84" i="131"/>
  <c r="F11" i="130"/>
  <c r="F27" i="130"/>
  <c r="F43" i="130"/>
  <c r="F59" i="130"/>
  <c r="F75" i="130"/>
  <c r="F14" i="129"/>
  <c r="F30" i="129"/>
  <c r="F46" i="129"/>
  <c r="F62" i="129"/>
  <c r="F78" i="129"/>
  <c r="F2" i="128"/>
  <c r="F18" i="128"/>
  <c r="F34" i="128"/>
  <c r="F50" i="128"/>
  <c r="F66" i="128"/>
  <c r="F82" i="128"/>
  <c r="F16" i="127"/>
  <c r="F32" i="127"/>
  <c r="F48" i="127"/>
  <c r="F64" i="127"/>
  <c r="F2" i="126"/>
  <c r="F18" i="126"/>
  <c r="F34" i="126"/>
  <c r="F50" i="126"/>
  <c r="F66" i="126"/>
  <c r="F82" i="126"/>
  <c r="F98" i="126"/>
  <c r="F114" i="126"/>
  <c r="F9" i="125"/>
  <c r="F25" i="125"/>
  <c r="F41" i="125"/>
  <c r="F57" i="125"/>
  <c r="F73" i="125"/>
  <c r="F100" i="126"/>
  <c r="F27" i="125"/>
  <c r="F75" i="125"/>
  <c r="F62" i="125"/>
  <c r="F32" i="125"/>
  <c r="F5" i="131"/>
  <c r="F21" i="131"/>
  <c r="F37" i="131"/>
  <c r="F53" i="131"/>
  <c r="F69" i="131"/>
  <c r="F85" i="131"/>
  <c r="F12" i="130"/>
  <c r="F28" i="130"/>
  <c r="F44" i="130"/>
  <c r="F60" i="130"/>
  <c r="F76" i="130"/>
  <c r="F15" i="129"/>
  <c r="F31" i="129"/>
  <c r="F47" i="129"/>
  <c r="F63" i="129"/>
  <c r="F79" i="129"/>
  <c r="F3" i="128"/>
  <c r="F19" i="128"/>
  <c r="F35" i="128"/>
  <c r="F51" i="128"/>
  <c r="F67" i="128"/>
  <c r="F1" i="128"/>
  <c r="F17" i="127"/>
  <c r="F33" i="127"/>
  <c r="F49" i="127"/>
  <c r="F65" i="127"/>
  <c r="F3" i="126"/>
  <c r="F19" i="126"/>
  <c r="F35" i="126"/>
  <c r="F51" i="126"/>
  <c r="F67" i="126"/>
  <c r="F83" i="126"/>
  <c r="F99" i="126"/>
  <c r="F115" i="126"/>
  <c r="F10" i="125"/>
  <c r="F26" i="125"/>
  <c r="F42" i="125"/>
  <c r="F58" i="125"/>
  <c r="F74" i="125"/>
  <c r="F11" i="125"/>
  <c r="F59" i="125"/>
  <c r="F61" i="125"/>
  <c r="F47" i="125"/>
  <c r="F33" i="125"/>
  <c r="F6" i="131"/>
  <c r="F22" i="131"/>
  <c r="F38" i="131"/>
  <c r="F54" i="131"/>
  <c r="F70" i="131"/>
  <c r="F86" i="131"/>
  <c r="F13" i="130"/>
  <c r="F29" i="130"/>
  <c r="F45" i="130"/>
  <c r="F61" i="130"/>
  <c r="F77" i="130"/>
  <c r="F16" i="129"/>
  <c r="F32" i="129"/>
  <c r="F48" i="129"/>
  <c r="F64" i="129"/>
  <c r="F80" i="129"/>
  <c r="F4" i="128"/>
  <c r="F20" i="128"/>
  <c r="F36" i="128"/>
  <c r="F52" i="128"/>
  <c r="F68" i="128"/>
  <c r="F2" i="127"/>
  <c r="F18" i="127"/>
  <c r="F34" i="127"/>
  <c r="F50" i="127"/>
  <c r="F66" i="127"/>
  <c r="F4" i="126"/>
  <c r="F20" i="126"/>
  <c r="F36" i="126"/>
  <c r="F52" i="126"/>
  <c r="F68" i="126"/>
  <c r="F84" i="126"/>
  <c r="F116" i="126"/>
  <c r="F43" i="125"/>
  <c r="F15" i="125"/>
  <c r="F7" i="131"/>
  <c r="F23" i="131"/>
  <c r="F39" i="131"/>
  <c r="F55" i="131"/>
  <c r="F71" i="131"/>
  <c r="F87" i="131"/>
  <c r="F14" i="130"/>
  <c r="F30" i="130"/>
  <c r="F46" i="130"/>
  <c r="F62" i="130"/>
  <c r="F1" i="130"/>
  <c r="F17" i="129"/>
  <c r="F33" i="129"/>
  <c r="F49" i="129"/>
  <c r="F65" i="129"/>
  <c r="F81" i="129"/>
  <c r="F5" i="128"/>
  <c r="F21" i="128"/>
  <c r="F37" i="128"/>
  <c r="F53" i="128"/>
  <c r="F69" i="128"/>
  <c r="F3" i="127"/>
  <c r="F19" i="127"/>
  <c r="F35" i="127"/>
  <c r="F51" i="127"/>
  <c r="F67" i="127"/>
  <c r="F5" i="126"/>
  <c r="F21" i="126"/>
  <c r="F37" i="126"/>
  <c r="F53" i="126"/>
  <c r="F69" i="126"/>
  <c r="F85" i="126"/>
  <c r="F101" i="126"/>
  <c r="F117" i="126"/>
  <c r="F12" i="125"/>
  <c r="F28" i="125"/>
  <c r="F44" i="125"/>
  <c r="F60" i="125"/>
  <c r="F76" i="125"/>
  <c r="F102" i="126"/>
  <c r="F13" i="125"/>
  <c r="F45" i="125"/>
  <c r="F79" i="125"/>
  <c r="F65" i="125"/>
  <c r="F8" i="131"/>
  <c r="F24" i="131"/>
  <c r="F56" i="131"/>
  <c r="F72" i="131"/>
  <c r="F88" i="131"/>
  <c r="F15" i="130"/>
  <c r="F31" i="130"/>
  <c r="F47" i="130"/>
  <c r="F63" i="130"/>
  <c r="F2" i="129"/>
  <c r="F18" i="129"/>
  <c r="F34" i="129"/>
  <c r="F50" i="129"/>
  <c r="F66" i="129"/>
  <c r="F82" i="129"/>
  <c r="F6" i="128"/>
  <c r="F22" i="128"/>
  <c r="F38" i="128"/>
  <c r="F54" i="128"/>
  <c r="F70" i="128"/>
  <c r="F4" i="127"/>
  <c r="F20" i="127"/>
  <c r="F36" i="127"/>
  <c r="F52" i="127"/>
  <c r="F68" i="127"/>
  <c r="F6" i="126"/>
  <c r="F22" i="126"/>
  <c r="F38" i="126"/>
  <c r="F54" i="126"/>
  <c r="F70" i="126"/>
  <c r="F86" i="126"/>
  <c r="F118" i="126"/>
  <c r="F29" i="125"/>
  <c r="F77" i="125"/>
  <c r="F63" i="125"/>
  <c r="F80" i="125"/>
  <c r="F9" i="131"/>
  <c r="F25" i="131"/>
  <c r="F41" i="131"/>
  <c r="F57" i="131"/>
  <c r="F73" i="131"/>
  <c r="F89" i="131"/>
  <c r="F16" i="130"/>
  <c r="F32" i="130"/>
  <c r="F48" i="130"/>
  <c r="F64" i="130"/>
  <c r="F3" i="129"/>
  <c r="F19" i="129"/>
  <c r="F35" i="129"/>
  <c r="F51" i="129"/>
  <c r="F67" i="129"/>
  <c r="F83" i="129"/>
  <c r="F7" i="128"/>
  <c r="F23" i="128"/>
  <c r="F39" i="128"/>
  <c r="F55" i="128"/>
  <c r="F71" i="128"/>
  <c r="F5" i="127"/>
  <c r="F21" i="127"/>
  <c r="F37" i="127"/>
  <c r="F53" i="127"/>
  <c r="F69" i="127"/>
  <c r="F7" i="126"/>
  <c r="F23" i="126"/>
  <c r="F39" i="126"/>
  <c r="F55" i="126"/>
  <c r="F71" i="126"/>
  <c r="F87" i="126"/>
  <c r="F103" i="126"/>
  <c r="F119" i="126"/>
  <c r="F14" i="125"/>
  <c r="F30" i="125"/>
  <c r="F46" i="125"/>
  <c r="F78" i="125"/>
  <c r="F64" i="125"/>
  <c r="F10" i="131"/>
  <c r="F26" i="131"/>
  <c r="F42" i="131"/>
  <c r="F58" i="131"/>
  <c r="F74" i="131"/>
  <c r="F1" i="131"/>
  <c r="F17" i="130"/>
  <c r="F33" i="130"/>
  <c r="F49" i="130"/>
  <c r="F65" i="130"/>
  <c r="F4" i="129"/>
  <c r="F20" i="129"/>
  <c r="F36" i="129"/>
  <c r="F52" i="129"/>
  <c r="F68" i="129"/>
  <c r="F84" i="129"/>
  <c r="F8" i="128"/>
  <c r="F24" i="128"/>
  <c r="F40" i="128"/>
  <c r="F56" i="128"/>
  <c r="F72" i="128"/>
  <c r="F6" i="127"/>
  <c r="F22" i="127"/>
  <c r="F38" i="127"/>
  <c r="F54" i="127"/>
  <c r="F70" i="127"/>
  <c r="F8" i="126"/>
  <c r="F24" i="126"/>
  <c r="F40" i="126"/>
  <c r="F56" i="126"/>
  <c r="F72" i="126"/>
  <c r="F88" i="126"/>
  <c r="F104" i="126"/>
  <c r="F120" i="126"/>
  <c r="F31" i="125"/>
  <c r="F1" i="125"/>
  <c r="F11" i="131"/>
  <c r="F27" i="131"/>
  <c r="F43" i="131"/>
  <c r="F59" i="131"/>
  <c r="F75" i="131"/>
  <c r="F2" i="130"/>
  <c r="F18" i="130"/>
  <c r="F34" i="130"/>
  <c r="F50" i="130"/>
  <c r="F66" i="130"/>
  <c r="F5" i="129"/>
  <c r="F21" i="129"/>
  <c r="F37" i="129"/>
  <c r="F53" i="129"/>
  <c r="F69" i="129"/>
  <c r="F85" i="129"/>
  <c r="F9" i="128"/>
  <c r="F25" i="128"/>
  <c r="F41" i="128"/>
  <c r="F57" i="128"/>
  <c r="F73" i="128"/>
  <c r="F7" i="127"/>
  <c r="F23" i="127"/>
  <c r="F39" i="127"/>
  <c r="F55" i="127"/>
  <c r="F71" i="127"/>
  <c r="F9" i="126"/>
  <c r="F25" i="126"/>
  <c r="F41" i="126"/>
  <c r="F57" i="126"/>
  <c r="F73" i="126"/>
  <c r="F89" i="126"/>
  <c r="F105" i="126"/>
  <c r="F121" i="126"/>
  <c r="F16" i="125"/>
  <c r="F12" i="131"/>
  <c r="F28" i="131"/>
  <c r="F44" i="131"/>
  <c r="F60" i="131"/>
  <c r="F76" i="131"/>
  <c r="F3" i="130"/>
  <c r="F19" i="130"/>
  <c r="F35" i="130"/>
  <c r="F51" i="130"/>
  <c r="F67" i="130"/>
  <c r="F6" i="129"/>
  <c r="F22" i="129"/>
  <c r="F38" i="129"/>
  <c r="F54" i="129"/>
  <c r="F70" i="129"/>
  <c r="F86" i="129"/>
  <c r="F10" i="128"/>
  <c r="F26" i="128"/>
  <c r="F42" i="128"/>
  <c r="F58" i="128"/>
  <c r="F74" i="128"/>
  <c r="F8" i="127"/>
  <c r="F24" i="127"/>
  <c r="F40" i="127"/>
  <c r="F56" i="127"/>
  <c r="F72" i="127"/>
  <c r="F10" i="126"/>
  <c r="F26" i="126"/>
  <c r="F42" i="126"/>
  <c r="F58" i="126"/>
  <c r="F74" i="126"/>
  <c r="F90" i="126"/>
  <c r="F106" i="126"/>
  <c r="F1" i="126"/>
  <c r="F17" i="125"/>
  <c r="F13" i="131"/>
  <c r="F29" i="131"/>
  <c r="F45" i="131"/>
  <c r="F61" i="131"/>
  <c r="F77" i="131"/>
  <c r="F4" i="130"/>
  <c r="F20" i="130"/>
  <c r="F36" i="130"/>
  <c r="F52" i="130"/>
  <c r="F68" i="130"/>
  <c r="F7" i="129"/>
  <c r="F23" i="129"/>
  <c r="F39" i="129"/>
  <c r="F55" i="129"/>
  <c r="F71" i="129"/>
  <c r="F87" i="129"/>
  <c r="F11" i="128"/>
  <c r="F27" i="128"/>
  <c r="F43" i="128"/>
  <c r="F59" i="128"/>
  <c r="F75" i="128"/>
  <c r="F9" i="127"/>
  <c r="F25" i="127"/>
  <c r="F41" i="127"/>
  <c r="F57" i="127"/>
  <c r="F73" i="127"/>
  <c r="F11" i="126"/>
  <c r="F27" i="126"/>
  <c r="F43" i="126"/>
  <c r="F59" i="126"/>
  <c r="F75" i="126"/>
  <c r="F91" i="126"/>
  <c r="F107" i="126"/>
  <c r="F2" i="125"/>
  <c r="F18" i="125"/>
  <c r="F34" i="125"/>
  <c r="F50" i="125"/>
  <c r="F14" i="131"/>
  <c r="F30" i="131"/>
  <c r="F46" i="131"/>
  <c r="F62" i="131"/>
  <c r="F78" i="131"/>
  <c r="F5" i="130"/>
  <c r="F21" i="130"/>
  <c r="F37" i="130"/>
  <c r="F53" i="130"/>
  <c r="F69" i="130"/>
  <c r="F8" i="129"/>
  <c r="F24" i="129"/>
  <c r="F40" i="129"/>
  <c r="F56" i="129"/>
  <c r="F72" i="129"/>
  <c r="F88" i="129"/>
  <c r="F12" i="128"/>
  <c r="F28" i="128"/>
  <c r="F44" i="128"/>
  <c r="F60" i="128"/>
  <c r="F76" i="128"/>
  <c r="F10" i="127"/>
  <c r="F26" i="127"/>
  <c r="F42" i="127"/>
  <c r="F58" i="127"/>
  <c r="F74" i="127"/>
  <c r="F12" i="126"/>
  <c r="F28" i="126"/>
  <c r="F44" i="126"/>
  <c r="F60" i="126"/>
  <c r="F76" i="126"/>
  <c r="F92" i="126"/>
  <c r="F108" i="126"/>
  <c r="F3" i="125"/>
  <c r="F19" i="125"/>
  <c r="F35" i="125"/>
  <c r="F51" i="125"/>
  <c r="F67" i="125"/>
  <c r="F49" i="125"/>
  <c r="F15" i="131"/>
  <c r="F31" i="131"/>
  <c r="F47" i="131"/>
  <c r="F63" i="131"/>
  <c r="F79" i="131"/>
  <c r="F6" i="130"/>
  <c r="F22" i="130"/>
  <c r="F38" i="130"/>
  <c r="F54" i="130"/>
  <c r="F70" i="130"/>
  <c r="F9" i="129"/>
  <c r="F25" i="129"/>
  <c r="F41" i="129"/>
  <c r="F57" i="129"/>
  <c r="F73" i="129"/>
  <c r="F89" i="129"/>
  <c r="F13" i="128"/>
  <c r="F29" i="128"/>
  <c r="F45" i="128"/>
  <c r="F61" i="128"/>
  <c r="F77" i="128"/>
  <c r="F11" i="127"/>
  <c r="F27" i="127"/>
  <c r="F43" i="127"/>
  <c r="F59" i="127"/>
  <c r="F75" i="127"/>
  <c r="F13" i="126"/>
  <c r="F29" i="126"/>
  <c r="F45" i="126"/>
  <c r="F61" i="126"/>
  <c r="F77" i="126"/>
  <c r="F93" i="126"/>
  <c r="F109" i="126"/>
  <c r="F4" i="125"/>
  <c r="F20" i="125"/>
  <c r="F36" i="125"/>
  <c r="F52" i="125"/>
  <c r="F68" i="125"/>
  <c r="F6" i="125"/>
  <c r="F54" i="125"/>
  <c r="F71" i="125"/>
  <c r="F72" i="125"/>
  <c r="F66" i="125"/>
  <c r="F16" i="131"/>
  <c r="F32" i="131"/>
  <c r="F48" i="131"/>
  <c r="F64" i="131"/>
  <c r="F80" i="131"/>
  <c r="F7" i="130"/>
  <c r="F23" i="130"/>
  <c r="F39" i="130"/>
  <c r="F55" i="130"/>
  <c r="F71" i="130"/>
  <c r="F10" i="129"/>
  <c r="F26" i="129"/>
  <c r="F42" i="129"/>
  <c r="F58" i="129"/>
  <c r="F74" i="129"/>
  <c r="F90" i="129"/>
  <c r="F14" i="128"/>
  <c r="F30" i="128"/>
  <c r="F46" i="128"/>
  <c r="F62" i="128"/>
  <c r="F78" i="128"/>
  <c r="F12" i="127"/>
  <c r="F28" i="127"/>
  <c r="F44" i="127"/>
  <c r="F60" i="127"/>
  <c r="F76" i="127"/>
  <c r="F14" i="126"/>
  <c r="F30" i="126"/>
  <c r="F46" i="126"/>
  <c r="F62" i="126"/>
  <c r="F78" i="126"/>
  <c r="F94" i="126"/>
  <c r="F110" i="126"/>
  <c r="F5" i="125"/>
  <c r="F21" i="125"/>
  <c r="F37" i="125"/>
  <c r="F53" i="125"/>
  <c r="F69" i="125"/>
  <c r="F111" i="126"/>
  <c r="F38" i="125"/>
  <c r="F39" i="125"/>
  <c r="F56" i="125"/>
  <c r="F81" i="125"/>
  <c r="F17" i="131"/>
  <c r="F33" i="131"/>
  <c r="F49" i="131"/>
  <c r="F65" i="131"/>
  <c r="F81" i="131"/>
  <c r="F8" i="130"/>
  <c r="F24" i="130"/>
  <c r="F40" i="130"/>
  <c r="F56" i="130"/>
  <c r="F72" i="130"/>
  <c r="F11" i="129"/>
  <c r="F27" i="129"/>
  <c r="F43" i="129"/>
  <c r="F59" i="129"/>
  <c r="F75" i="129"/>
  <c r="F91" i="129"/>
  <c r="F15" i="128"/>
  <c r="F31" i="128"/>
  <c r="F47" i="128"/>
  <c r="F63" i="128"/>
  <c r="F79" i="128"/>
  <c r="F13" i="127"/>
  <c r="F29" i="127"/>
  <c r="F45" i="127"/>
  <c r="F61" i="127"/>
  <c r="F77" i="127"/>
  <c r="F15" i="126"/>
  <c r="F31" i="126"/>
  <c r="F47" i="126"/>
  <c r="F63" i="126"/>
  <c r="F79" i="126"/>
  <c r="F95" i="126"/>
  <c r="F22" i="125"/>
  <c r="F70" i="125"/>
  <c r="F24" i="125"/>
  <c r="F72" i="124"/>
  <c r="F17" i="124"/>
  <c r="F33" i="124"/>
  <c r="F49" i="124"/>
  <c r="F65" i="124"/>
  <c r="F82" i="124"/>
  <c r="F98" i="124"/>
  <c r="F15" i="123"/>
  <c r="F31" i="123"/>
  <c r="F47" i="123"/>
  <c r="F63" i="123"/>
  <c r="F3" i="122"/>
  <c r="F19" i="122"/>
  <c r="F35" i="122"/>
  <c r="F51" i="122"/>
  <c r="F3" i="121"/>
  <c r="F19" i="121"/>
  <c r="F35" i="121"/>
  <c r="F51" i="121"/>
  <c r="F67" i="121"/>
  <c r="F6" i="120"/>
  <c r="F22" i="120"/>
  <c r="F38" i="120"/>
  <c r="F54" i="120"/>
  <c r="F70" i="120"/>
  <c r="F11" i="119"/>
  <c r="F27" i="119"/>
  <c r="F43" i="119"/>
  <c r="F59" i="119"/>
  <c r="F75" i="119"/>
  <c r="F91" i="119"/>
  <c r="F8" i="118"/>
  <c r="F28" i="118"/>
  <c r="F44" i="118"/>
  <c r="F60" i="118"/>
  <c r="F76" i="118"/>
  <c r="F92" i="118"/>
  <c r="F16" i="117"/>
  <c r="F32" i="117"/>
  <c r="F48" i="117"/>
  <c r="F64" i="117"/>
  <c r="F80" i="117"/>
  <c r="F96" i="117"/>
  <c r="F13" i="116"/>
  <c r="F29" i="116"/>
  <c r="F45" i="116"/>
  <c r="F61" i="116"/>
  <c r="F77" i="116"/>
  <c r="F77" i="118"/>
  <c r="F17" i="117"/>
  <c r="F49" i="117"/>
  <c r="F65" i="117"/>
  <c r="F97" i="117"/>
  <c r="F30" i="116"/>
  <c r="F46" i="116"/>
  <c r="F78" i="116"/>
  <c r="F82" i="117"/>
  <c r="F31" i="116"/>
  <c r="F63" i="116"/>
  <c r="F16" i="116"/>
  <c r="F80" i="116"/>
  <c r="F66" i="116"/>
  <c r="F77" i="117"/>
  <c r="F11" i="116"/>
  <c r="F2" i="124"/>
  <c r="F18" i="124"/>
  <c r="F34" i="124"/>
  <c r="F50" i="124"/>
  <c r="F66" i="124"/>
  <c r="F83" i="124"/>
  <c r="F99" i="124"/>
  <c r="F16" i="123"/>
  <c r="F32" i="123"/>
  <c r="F48" i="123"/>
  <c r="F64" i="123"/>
  <c r="F4" i="122"/>
  <c r="F20" i="122"/>
  <c r="F36" i="122"/>
  <c r="F52" i="122"/>
  <c r="F4" i="121"/>
  <c r="F20" i="121"/>
  <c r="F36" i="121"/>
  <c r="F68" i="121"/>
  <c r="F7" i="120"/>
  <c r="F23" i="120"/>
  <c r="F39" i="120"/>
  <c r="F55" i="120"/>
  <c r="F71" i="120"/>
  <c r="F12" i="119"/>
  <c r="F28" i="119"/>
  <c r="F44" i="119"/>
  <c r="F60" i="119"/>
  <c r="F76" i="119"/>
  <c r="F92" i="119"/>
  <c r="F9" i="118"/>
  <c r="F29" i="118"/>
  <c r="F45" i="118"/>
  <c r="F61" i="118"/>
  <c r="F1" i="118"/>
  <c r="F33" i="117"/>
  <c r="F81" i="117"/>
  <c r="F14" i="116"/>
  <c r="F62" i="116"/>
  <c r="F98" i="117"/>
  <c r="F47" i="116"/>
  <c r="F48" i="116"/>
  <c r="F67" i="116"/>
  <c r="F62" i="117"/>
  <c r="F3" i="124"/>
  <c r="F19" i="124"/>
  <c r="F35" i="124"/>
  <c r="F51" i="124"/>
  <c r="F67" i="124"/>
  <c r="F84" i="124"/>
  <c r="F1" i="124"/>
  <c r="F17" i="123"/>
  <c r="F33" i="123"/>
  <c r="F49" i="123"/>
  <c r="F65" i="123"/>
  <c r="F5" i="122"/>
  <c r="F21" i="122"/>
  <c r="F37" i="122"/>
  <c r="F53" i="122"/>
  <c r="F5" i="121"/>
  <c r="F21" i="121"/>
  <c r="F37" i="121"/>
  <c r="F53" i="121"/>
  <c r="F69" i="121"/>
  <c r="F8" i="120"/>
  <c r="F24" i="120"/>
  <c r="F40" i="120"/>
  <c r="F56" i="120"/>
  <c r="F72" i="120"/>
  <c r="F13" i="119"/>
  <c r="F29" i="119"/>
  <c r="F45" i="119"/>
  <c r="F61" i="119"/>
  <c r="F77" i="119"/>
  <c r="F93" i="119"/>
  <c r="F10" i="118"/>
  <c r="F30" i="118"/>
  <c r="F46" i="118"/>
  <c r="F62" i="118"/>
  <c r="F78" i="118"/>
  <c r="F2" i="117"/>
  <c r="F18" i="117"/>
  <c r="F34" i="117"/>
  <c r="F50" i="117"/>
  <c r="F66" i="117"/>
  <c r="F15" i="116"/>
  <c r="F79" i="116"/>
  <c r="F65" i="116"/>
  <c r="F61" i="117"/>
  <c r="F4" i="124"/>
  <c r="F20" i="124"/>
  <c r="F36" i="124"/>
  <c r="F52" i="124"/>
  <c r="F68" i="124"/>
  <c r="F85" i="124"/>
  <c r="F2" i="123"/>
  <c r="F18" i="123"/>
  <c r="F34" i="123"/>
  <c r="F50" i="123"/>
  <c r="F66" i="123"/>
  <c r="F6" i="122"/>
  <c r="F22" i="122"/>
  <c r="F38" i="122"/>
  <c r="F54" i="122"/>
  <c r="F6" i="121"/>
  <c r="F22" i="121"/>
  <c r="F38" i="121"/>
  <c r="F54" i="121"/>
  <c r="F70" i="121"/>
  <c r="F9" i="120"/>
  <c r="F25" i="120"/>
  <c r="F41" i="120"/>
  <c r="F57" i="120"/>
  <c r="F73" i="120"/>
  <c r="F14" i="119"/>
  <c r="F30" i="119"/>
  <c r="F46" i="119"/>
  <c r="F62" i="119"/>
  <c r="F78" i="119"/>
  <c r="F94" i="119"/>
  <c r="F11" i="118"/>
  <c r="F31" i="118"/>
  <c r="F47" i="118"/>
  <c r="F63" i="118"/>
  <c r="F79" i="118"/>
  <c r="F3" i="117"/>
  <c r="F19" i="117"/>
  <c r="F35" i="117"/>
  <c r="F51" i="117"/>
  <c r="F67" i="117"/>
  <c r="F83" i="117"/>
  <c r="F99" i="117"/>
  <c r="F32" i="116"/>
  <c r="F83" i="116"/>
  <c r="F78" i="117"/>
  <c r="F5" i="124"/>
  <c r="F21" i="124"/>
  <c r="F37" i="124"/>
  <c r="F53" i="124"/>
  <c r="F69" i="124"/>
  <c r="F86" i="124"/>
  <c r="F3" i="123"/>
  <c r="F19" i="123"/>
  <c r="F35" i="123"/>
  <c r="F51" i="123"/>
  <c r="F67" i="123"/>
  <c r="F7" i="122"/>
  <c r="F23" i="122"/>
  <c r="F39" i="122"/>
  <c r="F55" i="122"/>
  <c r="F7" i="121"/>
  <c r="F23" i="121"/>
  <c r="F39" i="121"/>
  <c r="F55" i="121"/>
  <c r="F71" i="121"/>
  <c r="F10" i="120"/>
  <c r="F26" i="120"/>
  <c r="F42" i="120"/>
  <c r="F58" i="120"/>
  <c r="F74" i="120"/>
  <c r="F15" i="119"/>
  <c r="F31" i="119"/>
  <c r="F47" i="119"/>
  <c r="F63" i="119"/>
  <c r="F79" i="119"/>
  <c r="F95" i="119"/>
  <c r="F12" i="118"/>
  <c r="F32" i="118"/>
  <c r="F48" i="118"/>
  <c r="F64" i="118"/>
  <c r="F80" i="118"/>
  <c r="F4" i="117"/>
  <c r="F20" i="117"/>
  <c r="F36" i="117"/>
  <c r="F52" i="117"/>
  <c r="F68" i="117"/>
  <c r="F84" i="117"/>
  <c r="F1" i="117"/>
  <c r="F17" i="116"/>
  <c r="F33" i="116"/>
  <c r="F49" i="116"/>
  <c r="F81" i="116"/>
  <c r="F30" i="117"/>
  <c r="F6" i="124"/>
  <c r="F22" i="124"/>
  <c r="F38" i="124"/>
  <c r="F54" i="124"/>
  <c r="F70" i="124"/>
  <c r="F87" i="124"/>
  <c r="F4" i="123"/>
  <c r="F20" i="123"/>
  <c r="F36" i="123"/>
  <c r="F52" i="123"/>
  <c r="F68" i="123"/>
  <c r="F8" i="122"/>
  <c r="F24" i="122"/>
  <c r="F40" i="122"/>
  <c r="F56" i="122"/>
  <c r="F8" i="121"/>
  <c r="F24" i="121"/>
  <c r="F40" i="121"/>
  <c r="F56" i="121"/>
  <c r="F72" i="121"/>
  <c r="F11" i="120"/>
  <c r="F27" i="120"/>
  <c r="F43" i="120"/>
  <c r="F59" i="120"/>
  <c r="F75" i="120"/>
  <c r="F16" i="119"/>
  <c r="F32" i="119"/>
  <c r="F48" i="119"/>
  <c r="F64" i="119"/>
  <c r="F80" i="119"/>
  <c r="F96" i="119"/>
  <c r="F13" i="118"/>
  <c r="F33" i="118"/>
  <c r="F49" i="118"/>
  <c r="F65" i="118"/>
  <c r="F81" i="118"/>
  <c r="F5" i="117"/>
  <c r="F21" i="117"/>
  <c r="F37" i="117"/>
  <c r="F53" i="117"/>
  <c r="F69" i="117"/>
  <c r="F85" i="117"/>
  <c r="F2" i="116"/>
  <c r="F18" i="116"/>
  <c r="F34" i="116"/>
  <c r="F50" i="116"/>
  <c r="F10" i="116"/>
  <c r="F7" i="124"/>
  <c r="F23" i="124"/>
  <c r="F39" i="124"/>
  <c r="F55" i="124"/>
  <c r="F71" i="124"/>
  <c r="F88" i="124"/>
  <c r="F5" i="123"/>
  <c r="F21" i="123"/>
  <c r="F37" i="123"/>
  <c r="F53" i="123"/>
  <c r="F69" i="123"/>
  <c r="F9" i="122"/>
  <c r="F25" i="122"/>
  <c r="F41" i="122"/>
  <c r="F57" i="122"/>
  <c r="F9" i="121"/>
  <c r="F25" i="121"/>
  <c r="F41" i="121"/>
  <c r="F57" i="121"/>
  <c r="F73" i="121"/>
  <c r="F12" i="120"/>
  <c r="F28" i="120"/>
  <c r="F44" i="120"/>
  <c r="F60" i="120"/>
  <c r="F1" i="120"/>
  <c r="F17" i="119"/>
  <c r="F33" i="119"/>
  <c r="F49" i="119"/>
  <c r="F65" i="119"/>
  <c r="F81" i="119"/>
  <c r="F97" i="119"/>
  <c r="F17" i="118"/>
  <c r="F34" i="118"/>
  <c r="F50" i="118"/>
  <c r="F66" i="118"/>
  <c r="F82" i="118"/>
  <c r="F6" i="117"/>
  <c r="F22" i="117"/>
  <c r="F38" i="117"/>
  <c r="F54" i="117"/>
  <c r="F70" i="117"/>
  <c r="F86" i="117"/>
  <c r="F3" i="116"/>
  <c r="F19" i="116"/>
  <c r="F35" i="116"/>
  <c r="F51" i="116"/>
  <c r="F14" i="117"/>
  <c r="F8" i="124"/>
  <c r="F24" i="124"/>
  <c r="F40" i="124"/>
  <c r="F56" i="124"/>
  <c r="F73" i="124"/>
  <c r="F89" i="124"/>
  <c r="F6" i="123"/>
  <c r="F22" i="123"/>
  <c r="F38" i="123"/>
  <c r="F54" i="123"/>
  <c r="F70" i="123"/>
  <c r="F10" i="122"/>
  <c r="F26" i="122"/>
  <c r="F42" i="122"/>
  <c r="F58" i="122"/>
  <c r="F10" i="121"/>
  <c r="F26" i="121"/>
  <c r="F42" i="121"/>
  <c r="F58" i="121"/>
  <c r="F74" i="121"/>
  <c r="F13" i="120"/>
  <c r="F29" i="120"/>
  <c r="F45" i="120"/>
  <c r="F61" i="120"/>
  <c r="F2" i="119"/>
  <c r="F18" i="119"/>
  <c r="F34" i="119"/>
  <c r="F50" i="119"/>
  <c r="F66" i="119"/>
  <c r="F98" i="119"/>
  <c r="F18" i="118"/>
  <c r="F35" i="118"/>
  <c r="F51" i="118"/>
  <c r="F67" i="118"/>
  <c r="F83" i="118"/>
  <c r="F7" i="117"/>
  <c r="F23" i="117"/>
  <c r="F39" i="117"/>
  <c r="F55" i="117"/>
  <c r="F71" i="117"/>
  <c r="F87" i="117"/>
  <c r="F4" i="116"/>
  <c r="F20" i="116"/>
  <c r="F36" i="116"/>
  <c r="F52" i="116"/>
  <c r="F68" i="116"/>
  <c r="F84" i="116"/>
  <c r="F24" i="117"/>
  <c r="F56" i="117"/>
  <c r="F88" i="117"/>
  <c r="F5" i="116"/>
  <c r="F37" i="116"/>
  <c r="F69" i="116"/>
  <c r="F85" i="116"/>
  <c r="F6" i="116"/>
  <c r="F38" i="116"/>
  <c r="F86" i="116"/>
  <c r="F23" i="116"/>
  <c r="F71" i="116"/>
  <c r="F41" i="116"/>
  <c r="F45" i="117"/>
  <c r="F94" i="117"/>
  <c r="F9" i="124"/>
  <c r="F25" i="124"/>
  <c r="F41" i="124"/>
  <c r="F57" i="124"/>
  <c r="F74" i="124"/>
  <c r="F90" i="124"/>
  <c r="F7" i="123"/>
  <c r="F23" i="123"/>
  <c r="F39" i="123"/>
  <c r="F55" i="123"/>
  <c r="F71" i="123"/>
  <c r="F11" i="122"/>
  <c r="F27" i="122"/>
  <c r="F43" i="122"/>
  <c r="F59" i="122"/>
  <c r="F11" i="121"/>
  <c r="F27" i="121"/>
  <c r="F43" i="121"/>
  <c r="F59" i="121"/>
  <c r="F75" i="121"/>
  <c r="F14" i="120"/>
  <c r="F30" i="120"/>
  <c r="F46" i="120"/>
  <c r="F62" i="120"/>
  <c r="F3" i="119"/>
  <c r="F19" i="119"/>
  <c r="F35" i="119"/>
  <c r="F51" i="119"/>
  <c r="F99" i="119"/>
  <c r="F19" i="118"/>
  <c r="F36" i="118"/>
  <c r="F52" i="118"/>
  <c r="F68" i="118"/>
  <c r="F84" i="118"/>
  <c r="F8" i="117"/>
  <c r="F40" i="117"/>
  <c r="F72" i="117"/>
  <c r="F21" i="116"/>
  <c r="F53" i="116"/>
  <c r="F89" i="117"/>
  <c r="F70" i="116"/>
  <c r="F55" i="116"/>
  <c r="F57" i="116"/>
  <c r="F42" i="116"/>
  <c r="F59" i="116"/>
  <c r="F10" i="124"/>
  <c r="F26" i="124"/>
  <c r="F42" i="124"/>
  <c r="F58" i="124"/>
  <c r="F75" i="124"/>
  <c r="F91" i="124"/>
  <c r="F8" i="123"/>
  <c r="F24" i="123"/>
  <c r="F40" i="123"/>
  <c r="F56" i="123"/>
  <c r="F72" i="123"/>
  <c r="F12" i="122"/>
  <c r="F28" i="122"/>
  <c r="F44" i="122"/>
  <c r="F60" i="122"/>
  <c r="F12" i="121"/>
  <c r="F28" i="121"/>
  <c r="F44" i="121"/>
  <c r="F60" i="121"/>
  <c r="F76" i="121"/>
  <c r="F15" i="120"/>
  <c r="F31" i="120"/>
  <c r="F47" i="120"/>
  <c r="F63" i="120"/>
  <c r="F4" i="119"/>
  <c r="F20" i="119"/>
  <c r="F36" i="119"/>
  <c r="F52" i="119"/>
  <c r="F84" i="119"/>
  <c r="F1" i="119"/>
  <c r="F20" i="118"/>
  <c r="F37" i="118"/>
  <c r="F53" i="118"/>
  <c r="F69" i="118"/>
  <c r="F85" i="118"/>
  <c r="F9" i="117"/>
  <c r="F25" i="117"/>
  <c r="F41" i="117"/>
  <c r="F57" i="117"/>
  <c r="F73" i="117"/>
  <c r="F22" i="116"/>
  <c r="F54" i="116"/>
  <c r="F39" i="116"/>
  <c r="F92" i="117"/>
  <c r="F26" i="116"/>
  <c r="F75" i="116"/>
  <c r="F11" i="124"/>
  <c r="F27" i="124"/>
  <c r="F43" i="124"/>
  <c r="F59" i="124"/>
  <c r="F76" i="124"/>
  <c r="F92" i="124"/>
  <c r="F9" i="123"/>
  <c r="F25" i="123"/>
  <c r="F41" i="123"/>
  <c r="F57" i="123"/>
  <c r="F73" i="123"/>
  <c r="F13" i="122"/>
  <c r="F29" i="122"/>
  <c r="F45" i="122"/>
  <c r="F61" i="122"/>
  <c r="F13" i="121"/>
  <c r="F29" i="121"/>
  <c r="F45" i="121"/>
  <c r="F61" i="121"/>
  <c r="F77" i="121"/>
  <c r="F16" i="120"/>
  <c r="F32" i="120"/>
  <c r="F48" i="120"/>
  <c r="F64" i="120"/>
  <c r="F5" i="119"/>
  <c r="F21" i="119"/>
  <c r="F37" i="119"/>
  <c r="F53" i="119"/>
  <c r="F69" i="119"/>
  <c r="F85" i="119"/>
  <c r="F2" i="118"/>
  <c r="F21" i="118"/>
  <c r="F38" i="118"/>
  <c r="F54" i="118"/>
  <c r="F70" i="118"/>
  <c r="F86" i="118"/>
  <c r="F10" i="117"/>
  <c r="F26" i="117"/>
  <c r="F42" i="117"/>
  <c r="F58" i="117"/>
  <c r="F74" i="117"/>
  <c r="F90" i="117"/>
  <c r="F7" i="116"/>
  <c r="F87" i="116"/>
  <c r="F1" i="116"/>
  <c r="F46" i="117"/>
  <c r="F12" i="124"/>
  <c r="F28" i="124"/>
  <c r="F44" i="124"/>
  <c r="F60" i="124"/>
  <c r="F77" i="124"/>
  <c r="F93" i="124"/>
  <c r="F10" i="123"/>
  <c r="F26" i="123"/>
  <c r="F42" i="123"/>
  <c r="F58" i="123"/>
  <c r="F74" i="123"/>
  <c r="F14" i="122"/>
  <c r="F30" i="122"/>
  <c r="F46" i="122"/>
  <c r="F62" i="122"/>
  <c r="F14" i="121"/>
  <c r="F30" i="121"/>
  <c r="F46" i="121"/>
  <c r="F62" i="121"/>
  <c r="F1" i="121"/>
  <c r="F17" i="120"/>
  <c r="F33" i="120"/>
  <c r="F49" i="120"/>
  <c r="F65" i="120"/>
  <c r="F6" i="119"/>
  <c r="F22" i="119"/>
  <c r="F38" i="119"/>
  <c r="F54" i="119"/>
  <c r="F70" i="119"/>
  <c r="F86" i="119"/>
  <c r="F3" i="118"/>
  <c r="F22" i="118"/>
  <c r="F39" i="118"/>
  <c r="F55" i="118"/>
  <c r="F71" i="118"/>
  <c r="F87" i="118"/>
  <c r="F11" i="117"/>
  <c r="F27" i="117"/>
  <c r="F43" i="117"/>
  <c r="F59" i="117"/>
  <c r="F75" i="117"/>
  <c r="F91" i="117"/>
  <c r="F8" i="116"/>
  <c r="F24" i="116"/>
  <c r="F40" i="116"/>
  <c r="F56" i="116"/>
  <c r="F72" i="116"/>
  <c r="F88" i="116"/>
  <c r="F60" i="117"/>
  <c r="F9" i="116"/>
  <c r="F73" i="116"/>
  <c r="F90" i="118"/>
  <c r="F13" i="124"/>
  <c r="F29" i="124"/>
  <c r="F45" i="124"/>
  <c r="F61" i="124"/>
  <c r="F78" i="124"/>
  <c r="F94" i="124"/>
  <c r="F11" i="123"/>
  <c r="F27" i="123"/>
  <c r="F43" i="123"/>
  <c r="F59" i="123"/>
  <c r="F75" i="123"/>
  <c r="F15" i="122"/>
  <c r="F31" i="122"/>
  <c r="F47" i="122"/>
  <c r="F63" i="122"/>
  <c r="F15" i="121"/>
  <c r="F31" i="121"/>
  <c r="F47" i="121"/>
  <c r="F63" i="121"/>
  <c r="F2" i="120"/>
  <c r="F18" i="120"/>
  <c r="F34" i="120"/>
  <c r="F50" i="120"/>
  <c r="F66" i="120"/>
  <c r="F7" i="119"/>
  <c r="F23" i="119"/>
  <c r="F39" i="119"/>
  <c r="F55" i="119"/>
  <c r="F71" i="119"/>
  <c r="F87" i="119"/>
  <c r="F4" i="118"/>
  <c r="F23" i="118"/>
  <c r="F40" i="118"/>
  <c r="F56" i="118"/>
  <c r="F72" i="118"/>
  <c r="F88" i="118"/>
  <c r="F12" i="117"/>
  <c r="F28" i="117"/>
  <c r="F44" i="117"/>
  <c r="F76" i="117"/>
  <c r="F25" i="116"/>
  <c r="F14" i="124"/>
  <c r="F30" i="124"/>
  <c r="F46" i="124"/>
  <c r="F62" i="124"/>
  <c r="F79" i="124"/>
  <c r="F95" i="124"/>
  <c r="F12" i="123"/>
  <c r="F28" i="123"/>
  <c r="F44" i="123"/>
  <c r="F60" i="123"/>
  <c r="F76" i="123"/>
  <c r="F16" i="122"/>
  <c r="F32" i="122"/>
  <c r="F48" i="122"/>
  <c r="F64" i="122"/>
  <c r="F16" i="121"/>
  <c r="F32" i="121"/>
  <c r="F48" i="121"/>
  <c r="F64" i="121"/>
  <c r="F3" i="120"/>
  <c r="F19" i="120"/>
  <c r="F35" i="120"/>
  <c r="F51" i="120"/>
  <c r="F67" i="120"/>
  <c r="F8" i="119"/>
  <c r="F24" i="119"/>
  <c r="F40" i="119"/>
  <c r="F56" i="119"/>
  <c r="F72" i="119"/>
  <c r="F88" i="119"/>
  <c r="F5" i="118"/>
  <c r="F25" i="118"/>
  <c r="F41" i="118"/>
  <c r="F57" i="118"/>
  <c r="F73" i="118"/>
  <c r="F89" i="118"/>
  <c r="F13" i="117"/>
  <c r="F29" i="117"/>
  <c r="F74" i="116"/>
  <c r="F15" i="124"/>
  <c r="F31" i="124"/>
  <c r="F47" i="124"/>
  <c r="F63" i="124"/>
  <c r="F80" i="124"/>
  <c r="F96" i="124"/>
  <c r="F13" i="123"/>
  <c r="F29" i="123"/>
  <c r="F45" i="123"/>
  <c r="F61" i="123"/>
  <c r="F1" i="123"/>
  <c r="F17" i="122"/>
  <c r="F33" i="122"/>
  <c r="F49" i="122"/>
  <c r="F1" i="122"/>
  <c r="F17" i="121"/>
  <c r="F33" i="121"/>
  <c r="F49" i="121"/>
  <c r="F65" i="121"/>
  <c r="F4" i="120"/>
  <c r="F20" i="120"/>
  <c r="F36" i="120"/>
  <c r="F52" i="120"/>
  <c r="F68" i="120"/>
  <c r="F9" i="119"/>
  <c r="F25" i="119"/>
  <c r="F41" i="119"/>
  <c r="F57" i="119"/>
  <c r="F73" i="119"/>
  <c r="F89" i="119"/>
  <c r="F6" i="118"/>
  <c r="F26" i="118"/>
  <c r="F42" i="118"/>
  <c r="F58" i="118"/>
  <c r="F74" i="118"/>
  <c r="F43" i="116"/>
  <c r="F16" i="124"/>
  <c r="F32" i="124"/>
  <c r="F48" i="124"/>
  <c r="F64" i="124"/>
  <c r="F81" i="124"/>
  <c r="F97" i="124"/>
  <c r="F14" i="123"/>
  <c r="F30" i="123"/>
  <c r="F46" i="123"/>
  <c r="F62" i="123"/>
  <c r="F2" i="122"/>
  <c r="F18" i="122"/>
  <c r="F34" i="122"/>
  <c r="F50" i="122"/>
  <c r="F2" i="121"/>
  <c r="F18" i="121"/>
  <c r="F34" i="121"/>
  <c r="F50" i="121"/>
  <c r="F66" i="121"/>
  <c r="F5" i="120"/>
  <c r="F21" i="120"/>
  <c r="F37" i="120"/>
  <c r="F53" i="120"/>
  <c r="F69" i="120"/>
  <c r="F10" i="119"/>
  <c r="F26" i="119"/>
  <c r="F42" i="119"/>
  <c r="F58" i="119"/>
  <c r="F90" i="119"/>
  <c r="F7" i="118"/>
  <c r="F27" i="118"/>
  <c r="F43" i="118"/>
  <c r="F59" i="118"/>
  <c r="F75" i="118"/>
  <c r="F91" i="118"/>
  <c r="F15" i="117"/>
  <c r="F31" i="117"/>
  <c r="F47" i="117"/>
  <c r="F63" i="117"/>
  <c r="F79" i="117"/>
  <c r="F95" i="117"/>
  <c r="F12" i="116"/>
  <c r="F28" i="116"/>
  <c r="F44" i="116"/>
  <c r="F60" i="116"/>
  <c r="F76" i="116"/>
  <c r="F64" i="116"/>
  <c r="F82" i="116"/>
  <c r="F93" i="117"/>
  <c r="F27" i="116"/>
  <c r="F2" i="115"/>
  <c r="F19" i="115"/>
  <c r="F35" i="115"/>
  <c r="F52" i="115"/>
  <c r="F68" i="115"/>
  <c r="F2" i="114"/>
  <c r="F18" i="114"/>
  <c r="F35" i="114"/>
  <c r="F51" i="114"/>
  <c r="F4" i="113"/>
  <c r="F20" i="113"/>
  <c r="F37" i="113"/>
  <c r="F54" i="113"/>
  <c r="F70" i="113"/>
  <c r="F14" i="112"/>
  <c r="F31" i="112"/>
  <c r="F48" i="112"/>
  <c r="F45" i="112"/>
  <c r="F3" i="115"/>
  <c r="F20" i="115"/>
  <c r="F36" i="115"/>
  <c r="F53" i="115"/>
  <c r="F69" i="115"/>
  <c r="F3" i="114"/>
  <c r="F19" i="114"/>
  <c r="F36" i="114"/>
  <c r="F52" i="114"/>
  <c r="F5" i="113"/>
  <c r="F21" i="113"/>
  <c r="F38" i="113"/>
  <c r="F55" i="113"/>
  <c r="F1" i="113"/>
  <c r="F15" i="112"/>
  <c r="F32" i="112"/>
  <c r="F49" i="112"/>
  <c r="F33" i="112"/>
  <c r="F56" i="112"/>
  <c r="F4" i="115"/>
  <c r="F21" i="115"/>
  <c r="F38" i="115"/>
  <c r="F54" i="115"/>
  <c r="F70" i="115"/>
  <c r="F4" i="114"/>
  <c r="F20" i="114"/>
  <c r="F37" i="114"/>
  <c r="F53" i="114"/>
  <c r="F6" i="113"/>
  <c r="F22" i="113"/>
  <c r="F39" i="113"/>
  <c r="F56" i="113"/>
  <c r="F1" i="115"/>
  <c r="F17" i="112"/>
  <c r="F50" i="112"/>
  <c r="F58" i="112"/>
  <c r="F6" i="115"/>
  <c r="F22" i="115"/>
  <c r="F39" i="115"/>
  <c r="F55" i="115"/>
  <c r="F71" i="115"/>
  <c r="F5" i="114"/>
  <c r="F21" i="114"/>
  <c r="F38" i="114"/>
  <c r="F54" i="114"/>
  <c r="F7" i="113"/>
  <c r="F23" i="113"/>
  <c r="F40" i="113"/>
  <c r="F57" i="113"/>
  <c r="F1" i="114"/>
  <c r="F18" i="112"/>
  <c r="F34" i="112"/>
  <c r="F51" i="112"/>
  <c r="F61" i="112"/>
  <c r="F7" i="115"/>
  <c r="F23" i="115"/>
  <c r="F40" i="115"/>
  <c r="F56" i="115"/>
  <c r="F72" i="115"/>
  <c r="F6" i="114"/>
  <c r="F22" i="114"/>
  <c r="F39" i="114"/>
  <c r="F55" i="114"/>
  <c r="F8" i="113"/>
  <c r="F25" i="113"/>
  <c r="F41" i="113"/>
  <c r="F58" i="113"/>
  <c r="F2" i="112"/>
  <c r="F19" i="112"/>
  <c r="F35" i="112"/>
  <c r="F52" i="112"/>
  <c r="F8" i="115"/>
  <c r="F24" i="115"/>
  <c r="F41" i="115"/>
  <c r="F57" i="115"/>
  <c r="F73" i="115"/>
  <c r="F7" i="114"/>
  <c r="F24" i="114"/>
  <c r="F40" i="114"/>
  <c r="F56" i="114"/>
  <c r="F9" i="113"/>
  <c r="F26" i="113"/>
  <c r="F42" i="113"/>
  <c r="F59" i="113"/>
  <c r="F3" i="112"/>
  <c r="F20" i="112"/>
  <c r="F36" i="112"/>
  <c r="F53" i="112"/>
  <c r="F9" i="115"/>
  <c r="F25" i="115"/>
  <c r="F42" i="115"/>
  <c r="F58" i="115"/>
  <c r="F74" i="115"/>
  <c r="F8" i="114"/>
  <c r="F25" i="114"/>
  <c r="F41" i="114"/>
  <c r="F57" i="114"/>
  <c r="F10" i="113"/>
  <c r="F27" i="113"/>
  <c r="F43" i="113"/>
  <c r="F60" i="113"/>
  <c r="F4" i="112"/>
  <c r="F21" i="112"/>
  <c r="F37" i="112"/>
  <c r="F54" i="112"/>
  <c r="F23" i="112"/>
  <c r="F1" i="112"/>
  <c r="F10" i="115"/>
  <c r="F26" i="115"/>
  <c r="F43" i="115"/>
  <c r="F59" i="115"/>
  <c r="F75" i="115"/>
  <c r="F9" i="114"/>
  <c r="F26" i="114"/>
  <c r="F42" i="114"/>
  <c r="F59" i="114"/>
  <c r="F11" i="113"/>
  <c r="F28" i="113"/>
  <c r="F44" i="113"/>
  <c r="F61" i="113"/>
  <c r="F5" i="112"/>
  <c r="F22" i="112"/>
  <c r="F38" i="112"/>
  <c r="F55" i="112"/>
  <c r="F57" i="112"/>
  <c r="F11" i="115"/>
  <c r="F27" i="115"/>
  <c r="F44" i="115"/>
  <c r="F60" i="115"/>
  <c r="F76" i="115"/>
  <c r="F10" i="114"/>
  <c r="F27" i="114"/>
  <c r="F43" i="114"/>
  <c r="F60" i="114"/>
  <c r="F12" i="113"/>
  <c r="F29" i="113"/>
  <c r="F45" i="113"/>
  <c r="F62" i="113"/>
  <c r="F6" i="112"/>
  <c r="F39" i="112"/>
  <c r="F12" i="115"/>
  <c r="F28" i="115"/>
  <c r="F45" i="115"/>
  <c r="F61" i="115"/>
  <c r="F77" i="115"/>
  <c r="F11" i="114"/>
  <c r="F28" i="114"/>
  <c r="F44" i="114"/>
  <c r="F61" i="114"/>
  <c r="F13" i="113"/>
  <c r="F30" i="113"/>
  <c r="F46" i="113"/>
  <c r="F63" i="113"/>
  <c r="F7" i="112"/>
  <c r="F24" i="112"/>
  <c r="F40" i="112"/>
  <c r="F13" i="115"/>
  <c r="F29" i="115"/>
  <c r="F46" i="115"/>
  <c r="F62" i="115"/>
  <c r="F78" i="115"/>
  <c r="F12" i="114"/>
  <c r="F29" i="114"/>
  <c r="F45" i="114"/>
  <c r="F62" i="114"/>
  <c r="F14" i="113"/>
  <c r="F31" i="113"/>
  <c r="F47" i="113"/>
  <c r="F64" i="113"/>
  <c r="F8" i="112"/>
  <c r="F25" i="112"/>
  <c r="F42" i="112"/>
  <c r="F14" i="115"/>
  <c r="F30" i="115"/>
  <c r="F47" i="115"/>
  <c r="F63" i="115"/>
  <c r="F80" i="115"/>
  <c r="F13" i="114"/>
  <c r="F30" i="114"/>
  <c r="F46" i="114"/>
  <c r="F63" i="114"/>
  <c r="F15" i="113"/>
  <c r="F32" i="113"/>
  <c r="F48" i="113"/>
  <c r="F65" i="113"/>
  <c r="F9" i="112"/>
  <c r="F26" i="112"/>
  <c r="F43" i="112"/>
  <c r="F59" i="112"/>
  <c r="F15" i="115"/>
  <c r="F31" i="115"/>
  <c r="F48" i="115"/>
  <c r="F64" i="115"/>
  <c r="F81" i="115"/>
  <c r="F14" i="114"/>
  <c r="F31" i="114"/>
  <c r="F47" i="114"/>
  <c r="F64" i="114"/>
  <c r="F16" i="113"/>
  <c r="F33" i="113"/>
  <c r="F50" i="113"/>
  <c r="F66" i="113"/>
  <c r="F10" i="112"/>
  <c r="F27" i="112"/>
  <c r="F44" i="112"/>
  <c r="F60" i="112"/>
  <c r="F47" i="112"/>
  <c r="F16" i="115"/>
  <c r="F32" i="115"/>
  <c r="F49" i="115"/>
  <c r="F65" i="115"/>
  <c r="F82" i="115"/>
  <c r="F15" i="114"/>
  <c r="F32" i="114"/>
  <c r="F48" i="114"/>
  <c r="F65" i="114"/>
  <c r="F17" i="113"/>
  <c r="F34" i="113"/>
  <c r="F51" i="113"/>
  <c r="F67" i="113"/>
  <c r="F11" i="112"/>
  <c r="F28" i="112"/>
  <c r="F17" i="115"/>
  <c r="F33" i="115"/>
  <c r="F50" i="115"/>
  <c r="F66" i="115"/>
  <c r="F83" i="115"/>
  <c r="F16" i="114"/>
  <c r="F33" i="114"/>
  <c r="F49" i="114"/>
  <c r="F2" i="113"/>
  <c r="F18" i="113"/>
  <c r="F35" i="113"/>
  <c r="F52" i="113"/>
  <c r="F68" i="113"/>
  <c r="F12" i="112"/>
  <c r="F29" i="112"/>
  <c r="F46" i="112"/>
  <c r="F18" i="115"/>
  <c r="F34" i="115"/>
  <c r="F51" i="115"/>
  <c r="F67" i="115"/>
  <c r="F84" i="115"/>
  <c r="F17" i="114"/>
  <c r="F34" i="114"/>
  <c r="F50" i="114"/>
  <c r="F3" i="113"/>
  <c r="F19" i="113"/>
  <c r="F36" i="113"/>
  <c r="F53" i="113"/>
  <c r="F69" i="113"/>
  <c r="F13" i="112"/>
  <c r="F30" i="112"/>
  <c r="F2" i="108"/>
  <c r="F18" i="108"/>
  <c r="F34" i="108"/>
  <c r="F50" i="108"/>
  <c r="F60" i="108"/>
  <c r="F62" i="108"/>
  <c r="F33" i="108"/>
  <c r="F3" i="108"/>
  <c r="F19" i="108"/>
  <c r="F35" i="108"/>
  <c r="F51" i="108"/>
  <c r="F44" i="108"/>
  <c r="F15" i="108"/>
  <c r="F4" i="108"/>
  <c r="F20" i="108"/>
  <c r="F36" i="108"/>
  <c r="F52" i="108"/>
  <c r="F53" i="108"/>
  <c r="F57" i="108"/>
  <c r="F27" i="108"/>
  <c r="F28" i="108"/>
  <c r="F46" i="108"/>
  <c r="F48" i="108"/>
  <c r="F5" i="108"/>
  <c r="F21" i="108"/>
  <c r="F37" i="108"/>
  <c r="F58" i="108"/>
  <c r="F45" i="108"/>
  <c r="F32" i="108"/>
  <c r="F6" i="108"/>
  <c r="F22" i="108"/>
  <c r="F38" i="108"/>
  <c r="F54" i="108"/>
  <c r="F55" i="108"/>
  <c r="F42" i="108"/>
  <c r="F12" i="108"/>
  <c r="F13" i="108"/>
  <c r="F47" i="108"/>
  <c r="F1" i="108"/>
  <c r="F7" i="108"/>
  <c r="F23" i="108"/>
  <c r="F39" i="108"/>
  <c r="F41" i="108"/>
  <c r="F11" i="108"/>
  <c r="F31" i="108"/>
  <c r="F8" i="108"/>
  <c r="F24" i="108"/>
  <c r="F40" i="108"/>
  <c r="F56" i="108"/>
  <c r="F26" i="108"/>
  <c r="F59" i="108"/>
  <c r="F30" i="108"/>
  <c r="F16" i="108"/>
  <c r="F9" i="108"/>
  <c r="F25" i="108"/>
  <c r="F43" i="108"/>
  <c r="F61" i="108"/>
  <c r="F63" i="108"/>
  <c r="F10" i="108"/>
  <c r="F14" i="108"/>
  <c r="F17" i="108"/>
  <c r="F29" i="108"/>
  <c r="F49" i="108"/>
  <c r="W11" i="33"/>
  <c r="W18" i="33" s="1"/>
  <c r="A3" i="33"/>
  <c r="A4" i="33" s="1"/>
  <c r="A5" i="33" l="1"/>
  <c r="B4" i="33"/>
  <c r="B3" i="33"/>
  <c r="L3" i="33"/>
  <c r="P4" i="33"/>
  <c r="J4" i="33"/>
  <c r="O4" i="33"/>
  <c r="G4" i="33"/>
  <c r="F3" i="33"/>
  <c r="H4" i="33"/>
  <c r="L4" i="33"/>
  <c r="O3" i="33"/>
  <c r="E3" i="33"/>
  <c r="F4" i="33"/>
  <c r="I3" i="33"/>
  <c r="Q4" i="33"/>
  <c r="S3" i="33"/>
  <c r="R3" i="33"/>
  <c r="C3" i="33"/>
  <c r="S4" i="33"/>
  <c r="G3" i="33"/>
  <c r="I4" i="33"/>
  <c r="Q3" i="33"/>
  <c r="P3" i="33"/>
  <c r="N3" i="33"/>
  <c r="E4" i="33"/>
  <c r="D3" i="33"/>
  <c r="M4" i="33"/>
  <c r="C4" i="33"/>
  <c r="N4" i="33"/>
  <c r="D4" i="33"/>
  <c r="K3" i="33"/>
  <c r="J3" i="33"/>
  <c r="K4" i="33"/>
  <c r="R4" i="33"/>
  <c r="H3" i="33"/>
  <c r="M3" i="33"/>
  <c r="B5" i="33" l="1"/>
  <c r="A6" i="33"/>
  <c r="T4" i="33"/>
  <c r="R5" i="33"/>
  <c r="E5" i="33"/>
  <c r="K5" i="33"/>
  <c r="P5" i="33"/>
  <c r="H5" i="33"/>
  <c r="G5" i="33"/>
  <c r="T3" i="33"/>
  <c r="D5" i="33"/>
  <c r="L5" i="33"/>
  <c r="S5" i="33"/>
  <c r="N5" i="33"/>
  <c r="O5" i="33"/>
  <c r="I5" i="33"/>
  <c r="F5" i="33"/>
  <c r="C5" i="33"/>
  <c r="M5" i="33"/>
  <c r="Q5" i="33"/>
  <c r="J5" i="33"/>
  <c r="B6" i="33" l="1"/>
  <c r="A7" i="33"/>
  <c r="I6" i="33"/>
  <c r="P6" i="33"/>
  <c r="T5" i="33"/>
  <c r="C6" i="33"/>
  <c r="R6" i="33"/>
  <c r="E6" i="33"/>
  <c r="N6" i="33"/>
  <c r="H6" i="33"/>
  <c r="J6" i="33"/>
  <c r="O6" i="33"/>
  <c r="D6" i="33"/>
  <c r="L6" i="33"/>
  <c r="Q6" i="33"/>
  <c r="M6" i="33"/>
  <c r="S6" i="33"/>
  <c r="F6" i="33"/>
  <c r="K6" i="33"/>
  <c r="G6" i="33"/>
  <c r="A8" i="33" l="1"/>
  <c r="B7" i="33"/>
  <c r="O7" i="33"/>
  <c r="E7" i="33"/>
  <c r="G7" i="33"/>
  <c r="Q7" i="33"/>
  <c r="I7" i="33"/>
  <c r="T6" i="33"/>
  <c r="F7" i="33"/>
  <c r="L7" i="33"/>
  <c r="H7" i="33"/>
  <c r="S7" i="33"/>
  <c r="R7" i="33"/>
  <c r="C7" i="33"/>
  <c r="D7" i="33"/>
  <c r="P7" i="33"/>
  <c r="N7" i="33"/>
  <c r="K7" i="33"/>
  <c r="M7" i="33"/>
  <c r="J7" i="33"/>
  <c r="B8" i="33" l="1"/>
  <c r="A9" i="33"/>
  <c r="X10" i="1"/>
  <c r="T7" i="33"/>
  <c r="Q8" i="33"/>
  <c r="O8" i="33"/>
  <c r="H8" i="33"/>
  <c r="L8" i="33"/>
  <c r="N8" i="33"/>
  <c r="P8" i="33"/>
  <c r="G8" i="33"/>
  <c r="J8" i="33"/>
  <c r="C8" i="33"/>
  <c r="M8" i="33"/>
  <c r="R8" i="33"/>
  <c r="K8" i="33"/>
  <c r="I8" i="33"/>
  <c r="S8" i="33"/>
  <c r="F8" i="33"/>
  <c r="E8" i="33"/>
  <c r="D8" i="33"/>
  <c r="A10" i="33" l="1"/>
  <c r="B9" i="33"/>
  <c r="A4" i="1"/>
  <c r="A5" i="1" s="1"/>
  <c r="H9" i="33"/>
  <c r="L9" i="33"/>
  <c r="J9" i="33"/>
  <c r="G9" i="33"/>
  <c r="M9" i="33"/>
  <c r="E9" i="33"/>
  <c r="F9" i="33"/>
  <c r="P9" i="33"/>
  <c r="R9" i="33"/>
  <c r="D9" i="33"/>
  <c r="C9" i="33"/>
  <c r="I9" i="33"/>
  <c r="S9" i="33"/>
  <c r="N9" i="33"/>
  <c r="O9" i="33"/>
  <c r="T8" i="33"/>
  <c r="Q9" i="33"/>
  <c r="K9" i="33"/>
  <c r="B10" i="33" l="1"/>
  <c r="A11" i="33"/>
  <c r="B5" i="1"/>
  <c r="A6" i="1"/>
  <c r="B6" i="1" s="1"/>
  <c r="B4" i="1"/>
  <c r="N6" i="1"/>
  <c r="P6" i="1"/>
  <c r="T5" i="1"/>
  <c r="E10" i="33"/>
  <c r="R4" i="1"/>
  <c r="M6" i="1"/>
  <c r="M4" i="1"/>
  <c r="R6" i="1"/>
  <c r="M5" i="1"/>
  <c r="Q10" i="33"/>
  <c r="Q5" i="1"/>
  <c r="P5" i="1"/>
  <c r="N4" i="1"/>
  <c r="L5" i="1"/>
  <c r="C10" i="33"/>
  <c r="S5" i="1"/>
  <c r="C4" i="1"/>
  <c r="S6" i="1"/>
  <c r="T4" i="1"/>
  <c r="J10" i="33"/>
  <c r="M10" i="33"/>
  <c r="H10" i="33"/>
  <c r="L10" i="33"/>
  <c r="R10" i="33"/>
  <c r="D10" i="33"/>
  <c r="F10" i="33"/>
  <c r="R5" i="1"/>
  <c r="G10" i="33"/>
  <c r="Q6" i="1"/>
  <c r="P10" i="33"/>
  <c r="N5" i="1"/>
  <c r="Q4" i="1"/>
  <c r="K10" i="33"/>
  <c r="N10" i="33"/>
  <c r="J5" i="1"/>
  <c r="I10" i="33"/>
  <c r="O10" i="33"/>
  <c r="S10" i="33"/>
  <c r="S4" i="1"/>
  <c r="U4" i="1" l="1"/>
  <c r="U5" i="1" s="1"/>
  <c r="F4" i="1"/>
  <c r="E4" i="1"/>
  <c r="J6" i="1"/>
  <c r="T6" i="1"/>
  <c r="I4" i="1"/>
  <c r="T9" i="33"/>
  <c r="K5" i="1"/>
  <c r="C5" i="1"/>
  <c r="P4" i="1"/>
  <c r="J4" i="1"/>
  <c r="O5" i="1"/>
  <c r="O4" i="1"/>
  <c r="G4" i="1"/>
  <c r="K4" i="1"/>
  <c r="K6" i="1"/>
  <c r="L4" i="1"/>
  <c r="H4" i="1"/>
  <c r="O6" i="1"/>
  <c r="D4" i="1"/>
  <c r="L6" i="1"/>
  <c r="U6" i="1" l="1"/>
  <c r="A12" i="33"/>
  <c r="B11" i="33"/>
  <c r="A7" i="1"/>
  <c r="G11" i="33"/>
  <c r="M11" i="33"/>
  <c r="C6" i="1"/>
  <c r="T10" i="33"/>
  <c r="O11" i="33"/>
  <c r="N11" i="33"/>
  <c r="F11" i="33"/>
  <c r="H5" i="1"/>
  <c r="D5" i="1"/>
  <c r="D6" i="1"/>
  <c r="I5" i="1"/>
  <c r="L11" i="33"/>
  <c r="E5" i="1"/>
  <c r="H6" i="1"/>
  <c r="D11" i="33"/>
  <c r="J11" i="33"/>
  <c r="E6" i="1"/>
  <c r="S11" i="33"/>
  <c r="K11" i="33"/>
  <c r="F5" i="1"/>
  <c r="I6" i="1"/>
  <c r="G5" i="1"/>
  <c r="F6" i="1"/>
  <c r="C11" i="33"/>
  <c r="H11" i="33"/>
  <c r="I11" i="33"/>
  <c r="G6" i="1"/>
  <c r="R11" i="33"/>
  <c r="P11" i="33"/>
  <c r="E11" i="33"/>
  <c r="Q11" i="33"/>
  <c r="B7" i="1" l="1"/>
  <c r="A8" i="1"/>
  <c r="B8" i="1" s="1"/>
  <c r="B12" i="33"/>
  <c r="A13" i="33"/>
  <c r="J12" i="33"/>
  <c r="N7" i="1"/>
  <c r="M8" i="1"/>
  <c r="K8" i="1"/>
  <c r="I12" i="33"/>
  <c r="P8" i="1"/>
  <c r="D7" i="1"/>
  <c r="T8" i="1"/>
  <c r="F12" i="33"/>
  <c r="C12" i="33"/>
  <c r="G7" i="1"/>
  <c r="S12" i="33"/>
  <c r="J8" i="1"/>
  <c r="R12" i="33"/>
  <c r="M7" i="1"/>
  <c r="E7" i="1"/>
  <c r="J7" i="1"/>
  <c r="Q12" i="33"/>
  <c r="H8" i="1"/>
  <c r="E8" i="1"/>
  <c r="N12" i="33"/>
  <c r="P12" i="33"/>
  <c r="S7" i="1"/>
  <c r="D8" i="1"/>
  <c r="M12" i="33"/>
  <c r="C7" i="1"/>
  <c r="R7" i="1"/>
  <c r="G8" i="1"/>
  <c r="F8" i="1"/>
  <c r="P7" i="1"/>
  <c r="L12" i="33"/>
  <c r="D12" i="33"/>
  <c r="I7" i="1"/>
  <c r="N8" i="1"/>
  <c r="K12" i="33"/>
  <c r="O12" i="33"/>
  <c r="L8" i="1"/>
  <c r="Q8" i="1"/>
  <c r="L7" i="1"/>
  <c r="H12" i="33"/>
  <c r="K7" i="1"/>
  <c r="T7" i="1"/>
  <c r="I8" i="1"/>
  <c r="O7" i="1"/>
  <c r="T11" i="33"/>
  <c r="S8" i="1"/>
  <c r="O8" i="1"/>
  <c r="E12" i="33"/>
  <c r="C8" i="1"/>
  <c r="G12" i="33"/>
  <c r="Q7" i="1"/>
  <c r="R8" i="1"/>
  <c r="F7" i="1"/>
  <c r="H7" i="1"/>
  <c r="U7" i="1" l="1"/>
  <c r="U8" i="1" s="1"/>
  <c r="A9" i="1"/>
  <c r="B9" i="1" s="1"/>
  <c r="B13" i="33"/>
  <c r="A14" i="33"/>
  <c r="Q9" i="1"/>
  <c r="L9" i="1"/>
  <c r="D13" i="33"/>
  <c r="G9" i="1"/>
  <c r="D9" i="1"/>
  <c r="O9" i="1"/>
  <c r="I13" i="33"/>
  <c r="E13" i="33"/>
  <c r="F13" i="33"/>
  <c r="R13" i="33"/>
  <c r="C9" i="1"/>
  <c r="K13" i="33"/>
  <c r="C13" i="33"/>
  <c r="H9" i="1"/>
  <c r="J13" i="33"/>
  <c r="R9" i="1"/>
  <c r="G13" i="33"/>
  <c r="N13" i="33"/>
  <c r="L13" i="33"/>
  <c r="I9" i="1"/>
  <c r="H13" i="33"/>
  <c r="S9" i="1"/>
  <c r="T9" i="1"/>
  <c r="K9" i="1"/>
  <c r="O13" i="33"/>
  <c r="M9" i="1"/>
  <c r="T12" i="33"/>
  <c r="S13" i="33"/>
  <c r="P13" i="33"/>
  <c r="M13" i="33"/>
  <c r="F9" i="1"/>
  <c r="E9" i="1"/>
  <c r="N9" i="1"/>
  <c r="Q13" i="33"/>
  <c r="U9" i="1" l="1"/>
  <c r="A10" i="1"/>
  <c r="B10" i="1" s="1"/>
  <c r="A15" i="33"/>
  <c r="B14" i="33"/>
  <c r="J9" i="1"/>
  <c r="J14" i="33"/>
  <c r="K10" i="1"/>
  <c r="T13" i="33"/>
  <c r="G14" i="33"/>
  <c r="D14" i="33"/>
  <c r="G10" i="1"/>
  <c r="K14" i="33"/>
  <c r="T10" i="1"/>
  <c r="N14" i="33"/>
  <c r="D10" i="1"/>
  <c r="I14" i="33"/>
  <c r="L14" i="33"/>
  <c r="S14" i="33"/>
  <c r="O10" i="1"/>
  <c r="Q10" i="1"/>
  <c r="O14" i="33"/>
  <c r="P9" i="1"/>
  <c r="I10" i="1"/>
  <c r="M10" i="1"/>
  <c r="P14" i="33"/>
  <c r="H10" i="1"/>
  <c r="N10" i="1"/>
  <c r="F10" i="1"/>
  <c r="R14" i="33"/>
  <c r="F14" i="33"/>
  <c r="C10" i="1"/>
  <c r="L10" i="1"/>
  <c r="Q14" i="33"/>
  <c r="E10" i="1"/>
  <c r="M14" i="33"/>
  <c r="S10" i="1"/>
  <c r="C14" i="33"/>
  <c r="E14" i="33"/>
  <c r="H14" i="33"/>
  <c r="R10" i="1"/>
  <c r="U10" i="1" l="1"/>
  <c r="A11" i="1"/>
  <c r="B11" i="1" s="1"/>
  <c r="A16" i="33"/>
  <c r="B15" i="33"/>
  <c r="T11" i="1"/>
  <c r="M15" i="33"/>
  <c r="I15" i="33"/>
  <c r="T14" i="33"/>
  <c r="K11" i="1"/>
  <c r="O15" i="33"/>
  <c r="O11" i="1"/>
  <c r="L11" i="1"/>
  <c r="P10" i="1"/>
  <c r="C11" i="1"/>
  <c r="H15" i="33"/>
  <c r="M11" i="1"/>
  <c r="C15" i="33"/>
  <c r="J15" i="33"/>
  <c r="Q11" i="1"/>
  <c r="I11" i="1"/>
  <c r="R15" i="33"/>
  <c r="F11" i="1"/>
  <c r="E15" i="33"/>
  <c r="F15" i="33"/>
  <c r="D15" i="33"/>
  <c r="N11" i="1"/>
  <c r="K15" i="33"/>
  <c r="G15" i="33"/>
  <c r="D11" i="1"/>
  <c r="E11" i="1"/>
  <c r="N15" i="33"/>
  <c r="G11" i="1"/>
  <c r="Q15" i="33"/>
  <c r="S11" i="1"/>
  <c r="R11" i="1"/>
  <c r="J10" i="1"/>
  <c r="P15" i="33"/>
  <c r="S15" i="33"/>
  <c r="H11" i="1"/>
  <c r="L15" i="33"/>
  <c r="U11" i="1" l="1"/>
  <c r="A12" i="1"/>
  <c r="B12" i="1" s="1"/>
  <c r="A17" i="33"/>
  <c r="B16" i="33"/>
  <c r="H12" i="1"/>
  <c r="G12" i="1"/>
  <c r="L16" i="33"/>
  <c r="L12" i="1"/>
  <c r="H16" i="33"/>
  <c r="N16" i="33"/>
  <c r="S16" i="33"/>
  <c r="N12" i="1"/>
  <c r="C12" i="1"/>
  <c r="C16" i="33"/>
  <c r="G16" i="33"/>
  <c r="R12" i="1"/>
  <c r="I12" i="1"/>
  <c r="P16" i="33"/>
  <c r="T15" i="33"/>
  <c r="J16" i="33"/>
  <c r="F16" i="33"/>
  <c r="D12" i="1"/>
  <c r="E12" i="1"/>
  <c r="R16" i="33"/>
  <c r="O12" i="1"/>
  <c r="I16" i="33"/>
  <c r="S12" i="1"/>
  <c r="J11" i="1"/>
  <c r="P11" i="1"/>
  <c r="T12" i="1"/>
  <c r="Q16" i="33"/>
  <c r="D16" i="33"/>
  <c r="M12" i="1"/>
  <c r="Q12" i="1"/>
  <c r="O16" i="33"/>
  <c r="K12" i="1"/>
  <c r="M16" i="33"/>
  <c r="K16" i="33"/>
  <c r="E16" i="33"/>
  <c r="F12" i="1"/>
  <c r="U12" i="1" l="1"/>
  <c r="A13" i="1"/>
  <c r="B13" i="1" s="1"/>
  <c r="B17" i="33"/>
  <c r="A18" i="33"/>
  <c r="C13" i="1"/>
  <c r="S13" i="1"/>
  <c r="Q17" i="33"/>
  <c r="C17" i="33"/>
  <c r="R13" i="1"/>
  <c r="O17" i="33"/>
  <c r="L13" i="1"/>
  <c r="F13" i="1"/>
  <c r="I17" i="33"/>
  <c r="P17" i="33"/>
  <c r="D17" i="33"/>
  <c r="S17" i="33"/>
  <c r="K17" i="33"/>
  <c r="E13" i="1"/>
  <c r="N17" i="33"/>
  <c r="H17" i="33"/>
  <c r="D13" i="1"/>
  <c r="G13" i="1"/>
  <c r="J12" i="1"/>
  <c r="E17" i="33"/>
  <c r="T13" i="1"/>
  <c r="N13" i="1"/>
  <c r="O13" i="1"/>
  <c r="J17" i="33"/>
  <c r="P12" i="1"/>
  <c r="I13" i="1"/>
  <c r="F17" i="33"/>
  <c r="T16" i="33"/>
  <c r="G17" i="33"/>
  <c r="M17" i="33"/>
  <c r="H13" i="1"/>
  <c r="L17" i="33"/>
  <c r="Q13" i="1"/>
  <c r="R17" i="33"/>
  <c r="M13" i="1"/>
  <c r="K13" i="1"/>
  <c r="U13" i="1" l="1"/>
  <c r="A14" i="1"/>
  <c r="B14" i="1" s="1"/>
  <c r="A19" i="33"/>
  <c r="B18" i="33"/>
  <c r="F18" i="33"/>
  <c r="K18" i="33"/>
  <c r="S14" i="1"/>
  <c r="E18" i="33"/>
  <c r="D14" i="1"/>
  <c r="N18" i="33"/>
  <c r="I18" i="33"/>
  <c r="P18" i="33"/>
  <c r="D18" i="33"/>
  <c r="T17" i="33"/>
  <c r="F14" i="1"/>
  <c r="C14" i="1"/>
  <c r="H18" i="33"/>
  <c r="Q18" i="33"/>
  <c r="O14" i="1"/>
  <c r="J13" i="1"/>
  <c r="G14" i="1"/>
  <c r="T14" i="1"/>
  <c r="L18" i="33"/>
  <c r="J18" i="33"/>
  <c r="I14" i="1"/>
  <c r="G18" i="33"/>
  <c r="K14" i="1"/>
  <c r="M18" i="33"/>
  <c r="N14" i="1"/>
  <c r="L14" i="1"/>
  <c r="R18" i="33"/>
  <c r="M14" i="1"/>
  <c r="R14" i="1"/>
  <c r="Q14" i="1"/>
  <c r="O18" i="33"/>
  <c r="S18" i="33"/>
  <c r="H14" i="1"/>
  <c r="P13" i="1"/>
  <c r="C18" i="33"/>
  <c r="E14" i="1"/>
  <c r="U14" i="1" l="1"/>
  <c r="A15" i="1"/>
  <c r="B15" i="1" s="1"/>
  <c r="A20" i="33"/>
  <c r="B19" i="33"/>
  <c r="R15" i="1"/>
  <c r="N19" i="33"/>
  <c r="O19" i="33"/>
  <c r="H19" i="33"/>
  <c r="T15" i="1"/>
  <c r="G15" i="1"/>
  <c r="S15" i="1"/>
  <c r="M15" i="1"/>
  <c r="G19" i="33"/>
  <c r="I19" i="33"/>
  <c r="C15" i="1"/>
  <c r="Q19" i="33"/>
  <c r="D15" i="1"/>
  <c r="E19" i="33"/>
  <c r="F15" i="1"/>
  <c r="O15" i="1"/>
  <c r="P19" i="33"/>
  <c r="P14" i="1"/>
  <c r="K19" i="33"/>
  <c r="Q15" i="1"/>
  <c r="I15" i="1"/>
  <c r="R19" i="33"/>
  <c r="E15" i="1"/>
  <c r="S19" i="33"/>
  <c r="J14" i="1"/>
  <c r="L15" i="1"/>
  <c r="C19" i="33"/>
  <c r="K15" i="1"/>
  <c r="N15" i="1"/>
  <c r="F19" i="33"/>
  <c r="D19" i="33"/>
  <c r="T18" i="33"/>
  <c r="M19" i="33"/>
  <c r="J19" i="33"/>
  <c r="L19" i="33"/>
  <c r="H15" i="1"/>
  <c r="U15" i="1" l="1"/>
  <c r="A16" i="1"/>
  <c r="B16" i="1" s="1"/>
  <c r="A21" i="33"/>
  <c r="B20" i="33"/>
  <c r="T16" i="1"/>
  <c r="G16" i="1"/>
  <c r="F20" i="33"/>
  <c r="P15" i="1"/>
  <c r="I16" i="1"/>
  <c r="M20" i="33"/>
  <c r="O16" i="1"/>
  <c r="E20" i="33"/>
  <c r="S20" i="33"/>
  <c r="R16" i="1"/>
  <c r="N20" i="33"/>
  <c r="T19" i="33"/>
  <c r="N16" i="1"/>
  <c r="C16" i="1"/>
  <c r="J15" i="1"/>
  <c r="H16" i="1"/>
  <c r="E16" i="1"/>
  <c r="O20" i="33"/>
  <c r="H20" i="33"/>
  <c r="M16" i="1"/>
  <c r="L20" i="33"/>
  <c r="C20" i="33"/>
  <c r="L16" i="1"/>
  <c r="Q20" i="33"/>
  <c r="K20" i="33"/>
  <c r="R20" i="33"/>
  <c r="G20" i="33"/>
  <c r="K16" i="1"/>
  <c r="J20" i="33"/>
  <c r="P20" i="33"/>
  <c r="F16" i="1"/>
  <c r="S16" i="1"/>
  <c r="D16" i="1"/>
  <c r="D20" i="33"/>
  <c r="I20" i="33"/>
  <c r="Q16" i="1"/>
  <c r="U16" i="1" l="1"/>
  <c r="A17" i="1"/>
  <c r="B17" i="1" s="1"/>
  <c r="A22" i="33"/>
  <c r="B21" i="33"/>
  <c r="P16" i="1"/>
  <c r="E17" i="1"/>
  <c r="G21" i="33"/>
  <c r="N21" i="33"/>
  <c r="O17" i="1"/>
  <c r="I21" i="33"/>
  <c r="G17" i="1"/>
  <c r="M17" i="1"/>
  <c r="T17" i="1"/>
  <c r="K21" i="33"/>
  <c r="N17" i="1"/>
  <c r="S17" i="1"/>
  <c r="H17" i="1"/>
  <c r="T20" i="33"/>
  <c r="R17" i="1"/>
  <c r="F17" i="1"/>
  <c r="K17" i="1"/>
  <c r="H21" i="33"/>
  <c r="E21" i="33"/>
  <c r="D21" i="33"/>
  <c r="P21" i="33"/>
  <c r="C17" i="1"/>
  <c r="O21" i="33"/>
  <c r="J16" i="1"/>
  <c r="R21" i="33"/>
  <c r="L17" i="1"/>
  <c r="Q17" i="1"/>
  <c r="F21" i="33"/>
  <c r="J21" i="33"/>
  <c r="D17" i="1"/>
  <c r="C21" i="33"/>
  <c r="Q21" i="33"/>
  <c r="S21" i="33"/>
  <c r="L21" i="33"/>
  <c r="I17" i="1"/>
  <c r="M21" i="33"/>
  <c r="U17" i="1" l="1"/>
  <c r="A18" i="1"/>
  <c r="B18" i="1" s="1"/>
  <c r="B22" i="33"/>
  <c r="A23" i="33"/>
  <c r="O22" i="33"/>
  <c r="Q18" i="1"/>
  <c r="K22" i="33"/>
  <c r="M22" i="33"/>
  <c r="D18" i="1"/>
  <c r="H18" i="1"/>
  <c r="S22" i="33"/>
  <c r="E22" i="33"/>
  <c r="L22" i="33"/>
  <c r="F18" i="1"/>
  <c r="K18" i="1"/>
  <c r="J17" i="1"/>
  <c r="G18" i="1"/>
  <c r="H22" i="33"/>
  <c r="F22" i="33"/>
  <c r="R18" i="1"/>
  <c r="T18" i="1"/>
  <c r="P17" i="1"/>
  <c r="J22" i="33"/>
  <c r="P22" i="33"/>
  <c r="R22" i="33"/>
  <c r="M18" i="1"/>
  <c r="T21" i="33"/>
  <c r="N18" i="1"/>
  <c r="D22" i="33"/>
  <c r="C18" i="1"/>
  <c r="I22" i="33"/>
  <c r="N22" i="33"/>
  <c r="L18" i="1"/>
  <c r="Q22" i="33"/>
  <c r="E18" i="1"/>
  <c r="C22" i="33"/>
  <c r="O18" i="1"/>
  <c r="G22" i="33"/>
  <c r="I18" i="1"/>
  <c r="S18" i="1"/>
  <c r="U18" i="1" l="1"/>
  <c r="A19" i="1"/>
  <c r="B19" i="1" s="1"/>
  <c r="B23" i="33"/>
  <c r="A24" i="33"/>
  <c r="L23" i="33"/>
  <c r="C23" i="33"/>
  <c r="G23" i="33"/>
  <c r="L19" i="1"/>
  <c r="M23" i="33"/>
  <c r="K23" i="33"/>
  <c r="R23" i="33"/>
  <c r="E23" i="33"/>
  <c r="D23" i="33"/>
  <c r="P23" i="33"/>
  <c r="O23" i="33"/>
  <c r="S19" i="1"/>
  <c r="N23" i="33"/>
  <c r="F23" i="33"/>
  <c r="M19" i="1"/>
  <c r="O19" i="1"/>
  <c r="Q23" i="33"/>
  <c r="Q19" i="1"/>
  <c r="N19" i="1"/>
  <c r="S23" i="33"/>
  <c r="J23" i="33"/>
  <c r="I23" i="33"/>
  <c r="H23" i="33"/>
  <c r="R19" i="1"/>
  <c r="A20" i="1" l="1"/>
  <c r="B20" i="1" s="1"/>
  <c r="J18" i="1"/>
  <c r="T19" i="1"/>
  <c r="M20" i="1"/>
  <c r="L20" i="1"/>
  <c r="P18" i="1"/>
  <c r="G19" i="1"/>
  <c r="K19" i="1"/>
  <c r="F19" i="1"/>
  <c r="H19" i="1"/>
  <c r="E19" i="1"/>
  <c r="Q20" i="1"/>
  <c r="N20" i="1"/>
  <c r="I19" i="1"/>
  <c r="O20" i="1"/>
  <c r="D19" i="1"/>
  <c r="R20" i="1"/>
  <c r="C19" i="1"/>
  <c r="T22" i="33"/>
  <c r="S20" i="1"/>
  <c r="K20" i="1"/>
  <c r="U19" i="1" l="1"/>
  <c r="A25" i="33"/>
  <c r="B24" i="33"/>
  <c r="A21" i="1"/>
  <c r="B21" i="1" s="1"/>
  <c r="O24" i="33"/>
  <c r="F20" i="1"/>
  <c r="T20" i="1"/>
  <c r="J24" i="33"/>
  <c r="S24" i="33"/>
  <c r="P24" i="33"/>
  <c r="D20" i="1"/>
  <c r="J19" i="1"/>
  <c r="E24" i="33"/>
  <c r="C24" i="33"/>
  <c r="K21" i="1"/>
  <c r="L21" i="1"/>
  <c r="K24" i="33"/>
  <c r="C20" i="1"/>
  <c r="R24" i="33"/>
  <c r="D24" i="33"/>
  <c r="G20" i="1"/>
  <c r="T23" i="33"/>
  <c r="H20" i="1"/>
  <c r="I20" i="1"/>
  <c r="M24" i="33"/>
  <c r="Q24" i="33"/>
  <c r="N21" i="1"/>
  <c r="N24" i="33"/>
  <c r="R21" i="1"/>
  <c r="S21" i="1"/>
  <c r="O21" i="1"/>
  <c r="G24" i="33"/>
  <c r="F24" i="33"/>
  <c r="Q21" i="1"/>
  <c r="L24" i="33"/>
  <c r="P19" i="1"/>
  <c r="E20" i="1"/>
  <c r="H24" i="33"/>
  <c r="I24" i="33"/>
  <c r="M21" i="1"/>
  <c r="U20" i="1" l="1"/>
  <c r="A26" i="33"/>
  <c r="B25" i="33"/>
  <c r="A22" i="1"/>
  <c r="B22" i="1" s="1"/>
  <c r="N25" i="33"/>
  <c r="T24" i="33"/>
  <c r="J25" i="33"/>
  <c r="O25" i="33"/>
  <c r="K25" i="33"/>
  <c r="K22" i="1"/>
  <c r="S25" i="33"/>
  <c r="N22" i="1"/>
  <c r="Q25" i="33"/>
  <c r="J20" i="1"/>
  <c r="C25" i="33"/>
  <c r="D25" i="33"/>
  <c r="Q22" i="1"/>
  <c r="R22" i="1"/>
  <c r="P25" i="33"/>
  <c r="I25" i="33"/>
  <c r="I21" i="1"/>
  <c r="E21" i="1"/>
  <c r="R25" i="33"/>
  <c r="M25" i="33"/>
  <c r="H21" i="1"/>
  <c r="F25" i="33"/>
  <c r="C21" i="1"/>
  <c r="E25" i="33"/>
  <c r="G21" i="1"/>
  <c r="G25" i="33"/>
  <c r="P20" i="1"/>
  <c r="O22" i="1"/>
  <c r="T21" i="1"/>
  <c r="F21" i="1"/>
  <c r="S22" i="1"/>
  <c r="M22" i="1"/>
  <c r="D21" i="1"/>
  <c r="L22" i="1"/>
  <c r="L25" i="33"/>
  <c r="H25" i="33"/>
  <c r="U21" i="1" l="1"/>
  <c r="A27" i="33"/>
  <c r="B26" i="33"/>
  <c r="A23" i="1"/>
  <c r="B23" i="1" s="1"/>
  <c r="N23" i="1"/>
  <c r="M23" i="1"/>
  <c r="Q26" i="33"/>
  <c r="C22" i="1"/>
  <c r="H26" i="33"/>
  <c r="P21" i="1"/>
  <c r="P26" i="33"/>
  <c r="G22" i="1"/>
  <c r="J21" i="1"/>
  <c r="E26" i="33"/>
  <c r="I22" i="1"/>
  <c r="K23" i="1"/>
  <c r="M26" i="33"/>
  <c r="E22" i="1"/>
  <c r="G26" i="33"/>
  <c r="L23" i="1"/>
  <c r="S23" i="1"/>
  <c r="Q23" i="1"/>
  <c r="H22" i="1"/>
  <c r="O26" i="33"/>
  <c r="I26" i="33"/>
  <c r="L26" i="33"/>
  <c r="N26" i="33"/>
  <c r="R26" i="33"/>
  <c r="F22" i="1"/>
  <c r="S26" i="33"/>
  <c r="D22" i="1"/>
  <c r="C26" i="33"/>
  <c r="O23" i="1"/>
  <c r="T25" i="33"/>
  <c r="F26" i="33"/>
  <c r="K26" i="33"/>
  <c r="D26" i="33"/>
  <c r="J26" i="33"/>
  <c r="R23" i="1"/>
  <c r="B27" i="33" l="1"/>
  <c r="A28" i="33"/>
  <c r="A24" i="1"/>
  <c r="B24" i="1" s="1"/>
  <c r="L24" i="1"/>
  <c r="T26" i="33"/>
  <c r="K27" i="33"/>
  <c r="M24" i="1"/>
  <c r="S27" i="33"/>
  <c r="N27" i="33"/>
  <c r="T22" i="1"/>
  <c r="Q27" i="33"/>
  <c r="C23" i="1"/>
  <c r="O27" i="33"/>
  <c r="P27" i="33"/>
  <c r="H23" i="1"/>
  <c r="R27" i="33"/>
  <c r="J27" i="33"/>
  <c r="D27" i="33"/>
  <c r="J22" i="1"/>
  <c r="Q24" i="1"/>
  <c r="E27" i="33"/>
  <c r="S24" i="1"/>
  <c r="F27" i="33"/>
  <c r="H27" i="33"/>
  <c r="L27" i="33"/>
  <c r="C27" i="33"/>
  <c r="R24" i="1"/>
  <c r="G27" i="33"/>
  <c r="N24" i="1"/>
  <c r="I27" i="33"/>
  <c r="M27" i="33"/>
  <c r="U22" i="1" l="1"/>
  <c r="T23" i="1"/>
  <c r="K24" i="1"/>
  <c r="P22" i="1"/>
  <c r="G23" i="1"/>
  <c r="E23" i="1"/>
  <c r="I23" i="1"/>
  <c r="F23" i="1"/>
  <c r="D23" i="1"/>
  <c r="O24" i="1"/>
  <c r="U23" i="1" l="1"/>
  <c r="B28" i="33"/>
  <c r="A29" i="33"/>
  <c r="A25" i="1"/>
  <c r="P28" i="33"/>
  <c r="E28" i="33"/>
  <c r="I28" i="33"/>
  <c r="C24" i="1"/>
  <c r="G28" i="33"/>
  <c r="C28" i="33"/>
  <c r="G24" i="1"/>
  <c r="J28" i="33"/>
  <c r="F24" i="1"/>
  <c r="K28" i="33"/>
  <c r="R28" i="33"/>
  <c r="T27" i="33"/>
  <c r="S28" i="33"/>
  <c r="H28" i="33"/>
  <c r="M28" i="33"/>
  <c r="H24" i="1"/>
  <c r="E24" i="1"/>
  <c r="I24" i="1"/>
  <c r="N28" i="33"/>
  <c r="D24" i="1"/>
  <c r="P23" i="1"/>
  <c r="O28" i="33"/>
  <c r="D28" i="33"/>
  <c r="T24" i="1"/>
  <c r="J23" i="1"/>
  <c r="L28" i="33"/>
  <c r="Q28" i="33"/>
  <c r="F28" i="33"/>
  <c r="U24" i="1" l="1"/>
  <c r="A30" i="33"/>
  <c r="B29" i="33"/>
  <c r="A26" i="1"/>
  <c r="B25" i="1"/>
  <c r="F29" i="33"/>
  <c r="S29" i="33"/>
  <c r="O25" i="1"/>
  <c r="L29" i="33"/>
  <c r="C29" i="33"/>
  <c r="L25" i="1"/>
  <c r="S25" i="1"/>
  <c r="N25" i="1"/>
  <c r="R29" i="33"/>
  <c r="K25" i="1"/>
  <c r="N29" i="33"/>
  <c r="P29" i="33"/>
  <c r="I29" i="33"/>
  <c r="P24" i="1"/>
  <c r="J29" i="33"/>
  <c r="K29" i="33"/>
  <c r="Q25" i="1"/>
  <c r="T28" i="33"/>
  <c r="O29" i="33"/>
  <c r="D29" i="33"/>
  <c r="T25" i="1"/>
  <c r="E29" i="33"/>
  <c r="H29" i="33"/>
  <c r="M29" i="33"/>
  <c r="J24" i="1"/>
  <c r="Q29" i="33"/>
  <c r="G29" i="33"/>
  <c r="R25" i="1"/>
  <c r="M25" i="1"/>
  <c r="U25" i="1" l="1"/>
  <c r="B30" i="33"/>
  <c r="A31" i="33"/>
  <c r="A27" i="1"/>
  <c r="B26" i="1"/>
  <c r="I25" i="1"/>
  <c r="L26" i="1"/>
  <c r="K30" i="33"/>
  <c r="M26" i="1"/>
  <c r="R26" i="1"/>
  <c r="E30" i="33"/>
  <c r="S30" i="33"/>
  <c r="K26" i="1"/>
  <c r="P25" i="1"/>
  <c r="L30" i="33"/>
  <c r="I30" i="33"/>
  <c r="N30" i="33"/>
  <c r="F25" i="1"/>
  <c r="H30" i="33"/>
  <c r="P30" i="33"/>
  <c r="G30" i="33"/>
  <c r="T29" i="33"/>
  <c r="F30" i="33"/>
  <c r="M30" i="33"/>
  <c r="D30" i="33"/>
  <c r="C30" i="33"/>
  <c r="J25" i="1"/>
  <c r="Q30" i="33"/>
  <c r="R30" i="33"/>
  <c r="O30" i="33"/>
  <c r="O26" i="1"/>
  <c r="T26" i="1"/>
  <c r="Q26" i="1"/>
  <c r="C25" i="1"/>
  <c r="J30" i="33"/>
  <c r="N26" i="1"/>
  <c r="E25" i="1"/>
  <c r="D25" i="1"/>
  <c r="G25" i="1"/>
  <c r="H25" i="1"/>
  <c r="S26" i="1"/>
  <c r="U26" i="1" l="1"/>
  <c r="B31" i="33"/>
  <c r="A32" i="33"/>
  <c r="A28" i="1"/>
  <c r="B27" i="1"/>
  <c r="T30" i="33"/>
  <c r="H26" i="1"/>
  <c r="D31" i="33"/>
  <c r="I31" i="33"/>
  <c r="F26" i="1"/>
  <c r="R27" i="1"/>
  <c r="N31" i="33"/>
  <c r="G31" i="33"/>
  <c r="M27" i="1"/>
  <c r="C31" i="33"/>
  <c r="R31" i="33"/>
  <c r="K27" i="1"/>
  <c r="M31" i="33"/>
  <c r="E31" i="33"/>
  <c r="O31" i="33"/>
  <c r="T27" i="1"/>
  <c r="L31" i="33"/>
  <c r="G26" i="1"/>
  <c r="S31" i="33"/>
  <c r="I26" i="1"/>
  <c r="E26" i="1"/>
  <c r="P31" i="33"/>
  <c r="P26" i="1"/>
  <c r="C26" i="1"/>
  <c r="H31" i="33"/>
  <c r="D26" i="1"/>
  <c r="F31" i="33"/>
  <c r="K31" i="33"/>
  <c r="J26" i="1"/>
  <c r="Q31" i="33"/>
  <c r="J31" i="33"/>
  <c r="O27" i="1"/>
  <c r="S27" i="1"/>
  <c r="Q27" i="1"/>
  <c r="N27" i="1"/>
  <c r="L27" i="1"/>
  <c r="U27" i="1" l="1"/>
  <c r="A33" i="33"/>
  <c r="B32" i="33"/>
  <c r="A29" i="1"/>
  <c r="B28" i="1"/>
  <c r="K32" i="33"/>
  <c r="M32" i="33"/>
  <c r="R28" i="1"/>
  <c r="F32" i="33"/>
  <c r="H27" i="1"/>
  <c r="O28" i="1"/>
  <c r="M28" i="1"/>
  <c r="G32" i="33"/>
  <c r="E27" i="1"/>
  <c r="K28" i="1"/>
  <c r="S32" i="33"/>
  <c r="L28" i="1"/>
  <c r="L32" i="33"/>
  <c r="S28" i="1"/>
  <c r="T28" i="1"/>
  <c r="D32" i="33"/>
  <c r="I32" i="33"/>
  <c r="T31" i="33"/>
  <c r="J32" i="33"/>
  <c r="Q32" i="33"/>
  <c r="H32" i="33"/>
  <c r="G27" i="1"/>
  <c r="C32" i="33"/>
  <c r="Q28" i="1"/>
  <c r="P32" i="33"/>
  <c r="R32" i="33"/>
  <c r="C27" i="1"/>
  <c r="E32" i="33"/>
  <c r="N32" i="33"/>
  <c r="O32" i="33"/>
  <c r="P27" i="1"/>
  <c r="J27" i="1"/>
  <c r="N28" i="1"/>
  <c r="I27" i="1"/>
  <c r="D27" i="1"/>
  <c r="F27" i="1"/>
  <c r="U28" i="1" l="1"/>
  <c r="A34" i="33"/>
  <c r="B33" i="33"/>
  <c r="A30" i="1"/>
  <c r="B29" i="1"/>
  <c r="O33" i="33"/>
  <c r="I28" i="1"/>
  <c r="N29" i="1"/>
  <c r="Q33" i="33"/>
  <c r="L33" i="33"/>
  <c r="L29" i="1"/>
  <c r="R33" i="33"/>
  <c r="H33" i="33"/>
  <c r="H28" i="1"/>
  <c r="J28" i="1"/>
  <c r="G33" i="33"/>
  <c r="F28" i="1"/>
  <c r="K33" i="33"/>
  <c r="Q29" i="1"/>
  <c r="N33" i="33"/>
  <c r="R29" i="1"/>
  <c r="M29" i="1"/>
  <c r="D33" i="33"/>
  <c r="G28" i="1"/>
  <c r="S33" i="33"/>
  <c r="P33" i="33"/>
  <c r="E33" i="33"/>
  <c r="I33" i="33"/>
  <c r="C33" i="33"/>
  <c r="S29" i="1"/>
  <c r="F33" i="33"/>
  <c r="O29" i="1"/>
  <c r="J33" i="33"/>
  <c r="E28" i="1"/>
  <c r="D28" i="1"/>
  <c r="C28" i="1"/>
  <c r="T29" i="1"/>
  <c r="P28" i="1"/>
  <c r="T32" i="33"/>
  <c r="M33" i="33"/>
  <c r="K29" i="1"/>
  <c r="U29" i="1" l="1"/>
  <c r="A35" i="33"/>
  <c r="B34" i="33"/>
  <c r="A31" i="1"/>
  <c r="B30" i="1"/>
  <c r="H29" i="1"/>
  <c r="P34" i="33"/>
  <c r="C34" i="33"/>
  <c r="F34" i="33"/>
  <c r="M34" i="33"/>
  <c r="N34" i="33"/>
  <c r="K34" i="33"/>
  <c r="J34" i="33"/>
  <c r="C29" i="1"/>
  <c r="E34" i="33"/>
  <c r="D29" i="1"/>
  <c r="G29" i="1"/>
  <c r="J29" i="1"/>
  <c r="G34" i="33"/>
  <c r="H34" i="33"/>
  <c r="P29" i="1"/>
  <c r="N30" i="1"/>
  <c r="L34" i="33"/>
  <c r="S34" i="33"/>
  <c r="M30" i="1"/>
  <c r="L30" i="1"/>
  <c r="D34" i="33"/>
  <c r="I29" i="1"/>
  <c r="S30" i="1"/>
  <c r="O34" i="33"/>
  <c r="R34" i="33"/>
  <c r="Q30" i="1"/>
  <c r="F29" i="1"/>
  <c r="I34" i="33"/>
  <c r="K30" i="1"/>
  <c r="O30" i="1"/>
  <c r="T30" i="1"/>
  <c r="E29" i="1"/>
  <c r="T33" i="33"/>
  <c r="Q34" i="33"/>
  <c r="R30" i="1"/>
  <c r="U30" i="1" l="1"/>
  <c r="B35" i="33"/>
  <c r="A36" i="33"/>
  <c r="A32" i="1"/>
  <c r="B31" i="1"/>
  <c r="E35" i="33"/>
  <c r="S35" i="33"/>
  <c r="Q35" i="33"/>
  <c r="M31" i="1"/>
  <c r="T31" i="1"/>
  <c r="F35" i="33"/>
  <c r="S31" i="1"/>
  <c r="L31" i="1"/>
  <c r="C30" i="1"/>
  <c r="J35" i="33"/>
  <c r="E30" i="1"/>
  <c r="Q31" i="1"/>
  <c r="I30" i="1"/>
  <c r="R35" i="33"/>
  <c r="C35" i="33"/>
  <c r="N35" i="33"/>
  <c r="D30" i="1"/>
  <c r="O31" i="1"/>
  <c r="I35" i="33"/>
  <c r="F30" i="1"/>
  <c r="G30" i="1"/>
  <c r="J30" i="1"/>
  <c r="L35" i="33"/>
  <c r="P35" i="33"/>
  <c r="H30" i="1"/>
  <c r="T34" i="33"/>
  <c r="H35" i="33"/>
  <c r="M35" i="33"/>
  <c r="O35" i="33"/>
  <c r="K31" i="1"/>
  <c r="P30" i="1"/>
  <c r="D35" i="33"/>
  <c r="K35" i="33"/>
  <c r="G35" i="33"/>
  <c r="R31" i="1"/>
  <c r="N31" i="1"/>
  <c r="U31" i="1" l="1"/>
  <c r="B36" i="33"/>
  <c r="A37" i="33"/>
  <c r="A33" i="1"/>
  <c r="B32" i="1"/>
  <c r="C31" i="1"/>
  <c r="F31" i="1"/>
  <c r="J36" i="33"/>
  <c r="I36" i="33"/>
  <c r="H31" i="1"/>
  <c r="S36" i="33"/>
  <c r="Q36" i="33"/>
  <c r="N32" i="1"/>
  <c r="K32" i="1"/>
  <c r="J31" i="1"/>
  <c r="D31" i="1"/>
  <c r="Q32" i="1"/>
  <c r="H36" i="33"/>
  <c r="I31" i="1"/>
  <c r="P36" i="33"/>
  <c r="K36" i="33"/>
  <c r="R36" i="33"/>
  <c r="E31" i="1"/>
  <c r="G36" i="33"/>
  <c r="E36" i="33"/>
  <c r="O32" i="1"/>
  <c r="R32" i="1"/>
  <c r="M36" i="33"/>
  <c r="D36" i="33"/>
  <c r="T35" i="33"/>
  <c r="G31" i="1"/>
  <c r="L36" i="33"/>
  <c r="S32" i="1"/>
  <c r="N36" i="33"/>
  <c r="M32" i="1"/>
  <c r="P31" i="1"/>
  <c r="O36" i="33"/>
  <c r="T32" i="1"/>
  <c r="F36" i="33"/>
  <c r="C36" i="33"/>
  <c r="L32" i="1"/>
  <c r="U32" i="1" l="1"/>
  <c r="A38" i="33"/>
  <c r="B37" i="33"/>
  <c r="A34" i="1"/>
  <c r="B33" i="1"/>
  <c r="F37" i="33"/>
  <c r="M37" i="33"/>
  <c r="K33" i="1"/>
  <c r="M33" i="1"/>
  <c r="L37" i="33"/>
  <c r="D32" i="1"/>
  <c r="N37" i="33"/>
  <c r="R33" i="1"/>
  <c r="P32" i="1"/>
  <c r="D37" i="33"/>
  <c r="I37" i="33"/>
  <c r="D33" i="1"/>
  <c r="R37" i="33"/>
  <c r="E32" i="1"/>
  <c r="O37" i="33"/>
  <c r="H37" i="33"/>
  <c r="J37" i="33"/>
  <c r="S37" i="33"/>
  <c r="L33" i="1"/>
  <c r="Q33" i="1"/>
  <c r="N33" i="1"/>
  <c r="C37" i="33"/>
  <c r="O33" i="1"/>
  <c r="P33" i="1"/>
  <c r="J33" i="1"/>
  <c r="E33" i="1"/>
  <c r="C33" i="1"/>
  <c r="H33" i="1"/>
  <c r="G37" i="33"/>
  <c r="T33" i="1"/>
  <c r="T36" i="33"/>
  <c r="C32" i="1"/>
  <c r="G33" i="1"/>
  <c r="J32" i="1"/>
  <c r="F33" i="1"/>
  <c r="H32" i="1"/>
  <c r="I32" i="1"/>
  <c r="E37" i="33"/>
  <c r="I33" i="1"/>
  <c r="F32" i="1"/>
  <c r="G32" i="1"/>
  <c r="Q37" i="33"/>
  <c r="K37" i="33"/>
  <c r="S33" i="1"/>
  <c r="P37" i="33"/>
  <c r="U33" i="1" l="1"/>
  <c r="B34" i="1"/>
  <c r="A35" i="1"/>
  <c r="B38" i="33"/>
  <c r="A39" i="33"/>
  <c r="P38" i="33"/>
  <c r="J38" i="33"/>
  <c r="S34" i="1"/>
  <c r="H34" i="1"/>
  <c r="T37" i="33"/>
  <c r="D38" i="33"/>
  <c r="P34" i="1"/>
  <c r="L34" i="1"/>
  <c r="M38" i="33"/>
  <c r="E34" i="1"/>
  <c r="O34" i="1"/>
  <c r="N38" i="33"/>
  <c r="C38" i="33"/>
  <c r="S38" i="33"/>
  <c r="K34" i="1"/>
  <c r="D34" i="1"/>
  <c r="C34" i="1"/>
  <c r="Q38" i="33"/>
  <c r="J34" i="1"/>
  <c r="F34" i="1"/>
  <c r="F38" i="33"/>
  <c r="M34" i="1"/>
  <c r="N34" i="1"/>
  <c r="T34" i="1"/>
  <c r="K38" i="33"/>
  <c r="I34" i="1"/>
  <c r="H38" i="33"/>
  <c r="G38" i="33"/>
  <c r="G34" i="1"/>
  <c r="L38" i="33"/>
  <c r="R38" i="33"/>
  <c r="I38" i="33"/>
  <c r="R34" i="1"/>
  <c r="Q34" i="1"/>
  <c r="O38" i="33"/>
  <c r="E38" i="33"/>
  <c r="U34" i="1" l="1"/>
  <c r="A36" i="1"/>
  <c r="B35" i="1"/>
  <c r="B39" i="33"/>
  <c r="A40" i="33"/>
  <c r="R35" i="1"/>
  <c r="T38" i="33"/>
  <c r="K35" i="1"/>
  <c r="L39" i="33"/>
  <c r="I39" i="33"/>
  <c r="E35" i="1"/>
  <c r="H35" i="1"/>
  <c r="S39" i="33"/>
  <c r="H39" i="33"/>
  <c r="P39" i="33"/>
  <c r="D35" i="1"/>
  <c r="C35" i="1"/>
  <c r="J35" i="1"/>
  <c r="L35" i="1"/>
  <c r="N35" i="1"/>
  <c r="Q35" i="1"/>
  <c r="J39" i="33"/>
  <c r="O35" i="1"/>
  <c r="F35" i="1"/>
  <c r="E39" i="33"/>
  <c r="R39" i="33"/>
  <c r="I35" i="1"/>
  <c r="T35" i="1"/>
  <c r="S35" i="1"/>
  <c r="Q39" i="33"/>
  <c r="N39" i="33"/>
  <c r="D39" i="33"/>
  <c r="G39" i="33"/>
  <c r="G35" i="1"/>
  <c r="M39" i="33"/>
  <c r="K39" i="33"/>
  <c r="P35" i="1"/>
  <c r="M35" i="1"/>
  <c r="C39" i="33"/>
  <c r="O39" i="33"/>
  <c r="F39" i="33"/>
  <c r="U35" i="1" l="1"/>
  <c r="A37" i="1"/>
  <c r="B36" i="1"/>
  <c r="A41" i="33"/>
  <c r="B40" i="33"/>
  <c r="J36" i="1"/>
  <c r="Q40" i="33"/>
  <c r="I36" i="1"/>
  <c r="M40" i="33"/>
  <c r="T36" i="1"/>
  <c r="R40" i="33"/>
  <c r="D36" i="1"/>
  <c r="O36" i="1"/>
  <c r="I40" i="33"/>
  <c r="L40" i="33"/>
  <c r="H36" i="1"/>
  <c r="E40" i="33"/>
  <c r="C36" i="1"/>
  <c r="D40" i="33"/>
  <c r="R36" i="1"/>
  <c r="K40" i="33"/>
  <c r="C40" i="33"/>
  <c r="L36" i="1"/>
  <c r="K36" i="1"/>
  <c r="M36" i="1"/>
  <c r="F36" i="1"/>
  <c r="O40" i="33"/>
  <c r="G36" i="1"/>
  <c r="G40" i="33"/>
  <c r="T39" i="33"/>
  <c r="P40" i="33"/>
  <c r="Q36" i="1"/>
  <c r="S36" i="1"/>
  <c r="J40" i="33"/>
  <c r="S40" i="33"/>
  <c r="E36" i="1"/>
  <c r="F40" i="33"/>
  <c r="H40" i="33"/>
  <c r="N40" i="33"/>
  <c r="P36" i="1"/>
  <c r="N36" i="1"/>
  <c r="U36" i="1" l="1"/>
  <c r="A38" i="1"/>
  <c r="B37" i="1"/>
  <c r="A42" i="33"/>
  <c r="B41" i="33"/>
  <c r="Q41" i="33"/>
  <c r="L37" i="1"/>
  <c r="L41" i="33"/>
  <c r="M37" i="1"/>
  <c r="F41" i="33"/>
  <c r="N41" i="33"/>
  <c r="C41" i="33"/>
  <c r="T37" i="1"/>
  <c r="H37" i="1"/>
  <c r="K41" i="33"/>
  <c r="D41" i="33"/>
  <c r="J37" i="1"/>
  <c r="R37" i="1"/>
  <c r="E37" i="1"/>
  <c r="M41" i="33"/>
  <c r="D37" i="1"/>
  <c r="J41" i="33"/>
  <c r="O37" i="1"/>
  <c r="H41" i="33"/>
  <c r="S37" i="1"/>
  <c r="P37" i="1"/>
  <c r="K37" i="1"/>
  <c r="I37" i="1"/>
  <c r="T40" i="33"/>
  <c r="Q37" i="1"/>
  <c r="I41" i="33"/>
  <c r="E41" i="33"/>
  <c r="P41" i="33"/>
  <c r="O41" i="33"/>
  <c r="F37" i="1"/>
  <c r="G41" i="33"/>
  <c r="C37" i="1"/>
  <c r="G37" i="1"/>
  <c r="R41" i="33"/>
  <c r="S41" i="33"/>
  <c r="N37" i="1"/>
  <c r="U37" i="1" l="1"/>
  <c r="B38" i="1"/>
  <c r="A39" i="1"/>
  <c r="A43" i="33"/>
  <c r="B42" i="33"/>
  <c r="I42" i="33"/>
  <c r="M38" i="1"/>
  <c r="O42" i="33"/>
  <c r="E42" i="33"/>
  <c r="G42" i="33"/>
  <c r="F42" i="33"/>
  <c r="I38" i="1"/>
  <c r="S38" i="1"/>
  <c r="P42" i="33"/>
  <c r="T38" i="1"/>
  <c r="R42" i="33"/>
  <c r="K38" i="1"/>
  <c r="T41" i="33"/>
  <c r="Q42" i="33"/>
  <c r="M42" i="33"/>
  <c r="J42" i="33"/>
  <c r="D42" i="33"/>
  <c r="R38" i="1"/>
  <c r="K42" i="33"/>
  <c r="F38" i="1"/>
  <c r="C38" i="1"/>
  <c r="E38" i="1"/>
  <c r="P38" i="1"/>
  <c r="C42" i="33"/>
  <c r="J38" i="1"/>
  <c r="H42" i="33"/>
  <c r="Q38" i="1"/>
  <c r="S42" i="33"/>
  <c r="O38" i="1"/>
  <c r="L42" i="33"/>
  <c r="N42" i="33"/>
  <c r="D38" i="1"/>
  <c r="G38" i="1"/>
  <c r="N38" i="1"/>
  <c r="L38" i="1"/>
  <c r="H38" i="1"/>
  <c r="U38" i="1" l="1"/>
  <c r="A40" i="1"/>
  <c r="B39" i="1"/>
  <c r="B43" i="33"/>
  <c r="A44" i="33"/>
  <c r="D43" i="33"/>
  <c r="C43" i="33"/>
  <c r="C39" i="1"/>
  <c r="K39" i="1"/>
  <c r="G39" i="1"/>
  <c r="R43" i="33"/>
  <c r="Q39" i="1"/>
  <c r="O39" i="1"/>
  <c r="S39" i="1"/>
  <c r="N39" i="1"/>
  <c r="P43" i="33"/>
  <c r="M43" i="33"/>
  <c r="H39" i="1"/>
  <c r="R39" i="1"/>
  <c r="F39" i="1"/>
  <c r="E39" i="1"/>
  <c r="T39" i="1"/>
  <c r="L39" i="1"/>
  <c r="J43" i="33"/>
  <c r="E43" i="33"/>
  <c r="Q43" i="33"/>
  <c r="M39" i="1"/>
  <c r="S43" i="33"/>
  <c r="I43" i="33"/>
  <c r="F43" i="33"/>
  <c r="I39" i="1"/>
  <c r="D39" i="1"/>
  <c r="H43" i="33"/>
  <c r="P39" i="1"/>
  <c r="O43" i="33"/>
  <c r="L43" i="33"/>
  <c r="J39" i="1"/>
  <c r="N43" i="33"/>
  <c r="G43" i="33"/>
  <c r="K43" i="33"/>
  <c r="U39" i="1" l="1"/>
  <c r="A41" i="1"/>
  <c r="B40" i="1"/>
  <c r="B44" i="33"/>
  <c r="A45" i="33"/>
  <c r="C40" i="1"/>
  <c r="N44" i="33"/>
  <c r="H40" i="1"/>
  <c r="N40" i="1"/>
  <c r="L40" i="1"/>
  <c r="O44" i="33"/>
  <c r="C44" i="33"/>
  <c r="K40" i="1"/>
  <c r="O40" i="1"/>
  <c r="E40" i="1"/>
  <c r="R40" i="1"/>
  <c r="S40" i="1"/>
  <c r="R44" i="33"/>
  <c r="E44" i="33"/>
  <c r="K44" i="33"/>
  <c r="M44" i="33"/>
  <c r="L44" i="33"/>
  <c r="M40" i="1"/>
  <c r="I44" i="33"/>
  <c r="T42" i="33"/>
  <c r="H44" i="33"/>
  <c r="S44" i="33"/>
  <c r="D40" i="1"/>
  <c r="D44" i="33"/>
  <c r="T40" i="1"/>
  <c r="P44" i="33"/>
  <c r="P40" i="1"/>
  <c r="J40" i="1"/>
  <c r="Q40" i="1"/>
  <c r="F40" i="1"/>
  <c r="J44" i="33"/>
  <c r="Q44" i="33"/>
  <c r="F44" i="33"/>
  <c r="G44" i="33"/>
  <c r="G40" i="1"/>
  <c r="I40" i="1"/>
  <c r="U40" i="1" l="1"/>
  <c r="B41" i="1"/>
  <c r="A42" i="1"/>
  <c r="A46" i="33"/>
  <c r="B45" i="33"/>
  <c r="C45" i="33"/>
  <c r="Q41" i="1"/>
  <c r="I41" i="1"/>
  <c r="M45" i="33"/>
  <c r="S41" i="1"/>
  <c r="L41" i="1"/>
  <c r="S45" i="33"/>
  <c r="H45" i="33"/>
  <c r="F45" i="33"/>
  <c r="F41" i="1"/>
  <c r="G45" i="33"/>
  <c r="I45" i="33"/>
  <c r="O41" i="1"/>
  <c r="D45" i="33"/>
  <c r="E41" i="1"/>
  <c r="E45" i="33"/>
  <c r="D41" i="1"/>
  <c r="J41" i="1"/>
  <c r="T43" i="33"/>
  <c r="R41" i="1"/>
  <c r="P45" i="33"/>
  <c r="N45" i="33"/>
  <c r="N41" i="1"/>
  <c r="R45" i="33"/>
  <c r="L45" i="33"/>
  <c r="K41" i="1"/>
  <c r="G41" i="1"/>
  <c r="K45" i="33"/>
  <c r="C41" i="1"/>
  <c r="H41" i="1"/>
  <c r="T44" i="33"/>
  <c r="P41" i="1"/>
  <c r="O45" i="33"/>
  <c r="J45" i="33"/>
  <c r="Q45" i="33"/>
  <c r="M41" i="1"/>
  <c r="T41" i="1"/>
  <c r="U41" i="1" l="1"/>
  <c r="B42" i="1"/>
  <c r="A43" i="1"/>
  <c r="B46" i="33"/>
  <c r="A47" i="33"/>
  <c r="P46" i="33"/>
  <c r="O42" i="1"/>
  <c r="S42" i="1"/>
  <c r="D46" i="33"/>
  <c r="C46" i="33"/>
  <c r="H46" i="33"/>
  <c r="C42" i="1"/>
  <c r="Q46" i="33"/>
  <c r="K42" i="1"/>
  <c r="E46" i="33"/>
  <c r="R46" i="33"/>
  <c r="F42" i="1"/>
  <c r="G46" i="33"/>
  <c r="M42" i="1"/>
  <c r="N46" i="33"/>
  <c r="J42" i="1"/>
  <c r="H42" i="1"/>
  <c r="J46" i="33"/>
  <c r="M46" i="33"/>
  <c r="S46" i="33"/>
  <c r="R42" i="1"/>
  <c r="E42" i="1"/>
  <c r="F46" i="33"/>
  <c r="T45" i="33"/>
  <c r="K46" i="33"/>
  <c r="G42" i="1"/>
  <c r="O46" i="33"/>
  <c r="D42" i="1"/>
  <c r="L42" i="1"/>
  <c r="P42" i="1"/>
  <c r="I42" i="1"/>
  <c r="I46" i="33"/>
  <c r="T42" i="1"/>
  <c r="L46" i="33"/>
  <c r="Q42" i="1"/>
  <c r="N42" i="1"/>
  <c r="U42" i="1" l="1"/>
  <c r="A44" i="1"/>
  <c r="B43" i="1"/>
  <c r="B47" i="33"/>
  <c r="A48" i="33"/>
  <c r="H43" i="1"/>
  <c r="T43" i="1"/>
  <c r="E47" i="33"/>
  <c r="C43" i="1"/>
  <c r="G43" i="1"/>
  <c r="O47" i="33"/>
  <c r="M47" i="33"/>
  <c r="P47" i="33"/>
  <c r="C47" i="33"/>
  <c r="D47" i="33"/>
  <c r="E43" i="1"/>
  <c r="N43" i="1"/>
  <c r="K47" i="33"/>
  <c r="J43" i="1"/>
  <c r="M43" i="1"/>
  <c r="I43" i="1"/>
  <c r="I47" i="33"/>
  <c r="Q43" i="1"/>
  <c r="Q47" i="33"/>
  <c r="R43" i="1"/>
  <c r="F43" i="1"/>
  <c r="R47" i="33"/>
  <c r="D43" i="1"/>
  <c r="N47" i="33"/>
  <c r="F47" i="33"/>
  <c r="L47" i="33"/>
  <c r="S47" i="33"/>
  <c r="T46" i="33"/>
  <c r="K43" i="1"/>
  <c r="H47" i="33"/>
  <c r="G47" i="33"/>
  <c r="J47" i="33"/>
  <c r="S43" i="1"/>
  <c r="O43" i="1"/>
  <c r="L43" i="1"/>
  <c r="P43" i="1"/>
  <c r="U43" i="1" l="1"/>
  <c r="A45" i="1"/>
  <c r="B44" i="1"/>
  <c r="A49" i="33"/>
  <c r="B48" i="33"/>
  <c r="C44" i="1"/>
  <c r="J44" i="1"/>
  <c r="K48" i="33"/>
  <c r="P48" i="33"/>
  <c r="R48" i="33"/>
  <c r="G48" i="33"/>
  <c r="N44" i="1"/>
  <c r="R44" i="1"/>
  <c r="Q44" i="1"/>
  <c r="D44" i="1"/>
  <c r="N48" i="33"/>
  <c r="Q48" i="33"/>
  <c r="H44" i="1"/>
  <c r="I44" i="1"/>
  <c r="C48" i="33"/>
  <c r="O44" i="1"/>
  <c r="M44" i="1"/>
  <c r="O48" i="33"/>
  <c r="D48" i="33"/>
  <c r="E44" i="1"/>
  <c r="I48" i="33"/>
  <c r="G44" i="1"/>
  <c r="L44" i="1"/>
  <c r="H48" i="33"/>
  <c r="T44" i="1"/>
  <c r="F48" i="33"/>
  <c r="S44" i="1"/>
  <c r="S48" i="33"/>
  <c r="F44" i="1"/>
  <c r="E48" i="33"/>
  <c r="M48" i="33"/>
  <c r="T47" i="33"/>
  <c r="J48" i="33"/>
  <c r="L48" i="33"/>
  <c r="P44" i="1"/>
  <c r="K44" i="1"/>
  <c r="U44" i="1" l="1"/>
  <c r="B45" i="1"/>
  <c r="A46" i="1"/>
  <c r="A50" i="33"/>
  <c r="B49" i="33"/>
  <c r="F45" i="1"/>
  <c r="N49" i="33"/>
  <c r="G49" i="33"/>
  <c r="O45" i="1"/>
  <c r="Q49" i="33"/>
  <c r="S45" i="1"/>
  <c r="D45" i="1"/>
  <c r="H45" i="1"/>
  <c r="J49" i="33"/>
  <c r="T45" i="1"/>
  <c r="N45" i="1"/>
  <c r="I49" i="33"/>
  <c r="M49" i="33"/>
  <c r="M45" i="1"/>
  <c r="L49" i="33"/>
  <c r="R45" i="1"/>
  <c r="P45" i="1"/>
  <c r="T48" i="33"/>
  <c r="P49" i="33"/>
  <c r="S49" i="33"/>
  <c r="D49" i="33"/>
  <c r="G45" i="1"/>
  <c r="C45" i="1"/>
  <c r="L45" i="1"/>
  <c r="H49" i="33"/>
  <c r="E49" i="33"/>
  <c r="K45" i="1"/>
  <c r="J45" i="1"/>
  <c r="I45" i="1"/>
  <c r="C49" i="33"/>
  <c r="R49" i="33"/>
  <c r="K49" i="33"/>
  <c r="F49" i="33"/>
  <c r="Q45" i="1"/>
  <c r="E45" i="1"/>
  <c r="O49" i="33"/>
  <c r="U45" i="1" l="1"/>
  <c r="A47" i="1"/>
  <c r="B46" i="1"/>
  <c r="A51" i="33"/>
  <c r="B50" i="33"/>
  <c r="J50" i="33"/>
  <c r="K50" i="33"/>
  <c r="G46" i="1"/>
  <c r="M50" i="33"/>
  <c r="O46" i="1"/>
  <c r="E50" i="33"/>
  <c r="T49" i="33"/>
  <c r="N50" i="33"/>
  <c r="N46" i="1"/>
  <c r="T46" i="1"/>
  <c r="R46" i="1"/>
  <c r="M46" i="1"/>
  <c r="S50" i="33"/>
  <c r="S46" i="1"/>
  <c r="D50" i="33"/>
  <c r="I50" i="33"/>
  <c r="C46" i="1"/>
  <c r="P50" i="33"/>
  <c r="L46" i="1"/>
  <c r="K46" i="1"/>
  <c r="C50" i="33"/>
  <c r="H46" i="1"/>
  <c r="L50" i="33"/>
  <c r="E46" i="1"/>
  <c r="O50" i="33"/>
  <c r="R50" i="33"/>
  <c r="H50" i="33"/>
  <c r="I46" i="1"/>
  <c r="P46" i="1"/>
  <c r="G50" i="33"/>
  <c r="Q50" i="33"/>
  <c r="F46" i="1"/>
  <c r="Q46" i="1"/>
  <c r="F50" i="33"/>
  <c r="D46" i="1"/>
  <c r="J46" i="1"/>
  <c r="U46" i="1" l="1"/>
  <c r="A48" i="1"/>
  <c r="B47" i="1"/>
  <c r="B51" i="33"/>
  <c r="A52" i="33"/>
  <c r="M47" i="1"/>
  <c r="K47" i="1"/>
  <c r="H51" i="33"/>
  <c r="F47" i="1"/>
  <c r="R47" i="1"/>
  <c r="N47" i="1"/>
  <c r="O51" i="33"/>
  <c r="T47" i="1"/>
  <c r="K51" i="33"/>
  <c r="Q51" i="33"/>
  <c r="P51" i="33"/>
  <c r="L51" i="33"/>
  <c r="E47" i="1"/>
  <c r="I47" i="1"/>
  <c r="D51" i="33"/>
  <c r="P47" i="1"/>
  <c r="R51" i="33"/>
  <c r="S51" i="33"/>
  <c r="O47" i="1"/>
  <c r="I51" i="33"/>
  <c r="C51" i="33"/>
  <c r="J47" i="1"/>
  <c r="M51" i="33"/>
  <c r="G47" i="1"/>
  <c r="S47" i="1"/>
  <c r="C47" i="1"/>
  <c r="Q47" i="1"/>
  <c r="L47" i="1"/>
  <c r="N51" i="33"/>
  <c r="J51" i="33"/>
  <c r="F51" i="33"/>
  <c r="T50" i="33"/>
  <c r="E51" i="33"/>
  <c r="G51" i="33"/>
  <c r="H47" i="1"/>
  <c r="D47" i="1"/>
  <c r="U47" i="1" l="1"/>
  <c r="B48" i="1"/>
  <c r="A49" i="1"/>
  <c r="B52" i="33"/>
  <c r="A53" i="33"/>
  <c r="N48" i="1"/>
  <c r="S48" i="1"/>
  <c r="O48" i="1"/>
  <c r="M48" i="1"/>
  <c r="J48" i="1"/>
  <c r="E48" i="1"/>
  <c r="Q48" i="1"/>
  <c r="Q52" i="33"/>
  <c r="D52" i="33"/>
  <c r="P48" i="1"/>
  <c r="H52" i="33"/>
  <c r="K52" i="33"/>
  <c r="P52" i="33"/>
  <c r="G48" i="1"/>
  <c r="I48" i="1"/>
  <c r="L48" i="1"/>
  <c r="D48" i="1"/>
  <c r="T48" i="1"/>
  <c r="N52" i="33"/>
  <c r="F48" i="1"/>
  <c r="G52" i="33"/>
  <c r="E52" i="33"/>
  <c r="L52" i="33"/>
  <c r="F52" i="33"/>
  <c r="R48" i="1"/>
  <c r="O52" i="33"/>
  <c r="J52" i="33"/>
  <c r="I52" i="33"/>
  <c r="S52" i="33"/>
  <c r="M52" i="33"/>
  <c r="R52" i="33"/>
  <c r="T51" i="33"/>
  <c r="C52" i="33"/>
  <c r="H48" i="1"/>
  <c r="C48" i="1"/>
  <c r="K48" i="1"/>
  <c r="U48" i="1" l="1"/>
  <c r="B49" i="1"/>
  <c r="A50" i="1"/>
  <c r="A54" i="33"/>
  <c r="B53" i="33"/>
  <c r="S49" i="1"/>
  <c r="M53" i="33"/>
  <c r="I53" i="33"/>
  <c r="J53" i="33"/>
  <c r="G53" i="33"/>
  <c r="M49" i="1"/>
  <c r="Q49" i="1"/>
  <c r="S53" i="33"/>
  <c r="I49" i="1"/>
  <c r="P49" i="1"/>
  <c r="F49" i="1"/>
  <c r="O53" i="33"/>
  <c r="O49" i="1"/>
  <c r="G49" i="1"/>
  <c r="L53" i="33"/>
  <c r="K49" i="1"/>
  <c r="T49" i="1"/>
  <c r="E53" i="33"/>
  <c r="Q53" i="33"/>
  <c r="P53" i="33"/>
  <c r="C49" i="1"/>
  <c r="N53" i="33"/>
  <c r="T52" i="33"/>
  <c r="K53" i="33"/>
  <c r="R49" i="1"/>
  <c r="D53" i="33"/>
  <c r="F53" i="33"/>
  <c r="L49" i="1"/>
  <c r="D49" i="1"/>
  <c r="H53" i="33"/>
  <c r="E49" i="1"/>
  <c r="J49" i="1"/>
  <c r="C53" i="33"/>
  <c r="H49" i="1"/>
  <c r="R53" i="33"/>
  <c r="N49" i="1"/>
  <c r="U49" i="1" l="1"/>
  <c r="B50" i="1"/>
  <c r="A51" i="1"/>
  <c r="B54" i="33"/>
  <c r="A55" i="33"/>
  <c r="G54" i="33"/>
  <c r="D50" i="1"/>
  <c r="E54" i="33"/>
  <c r="O50" i="1"/>
  <c r="I54" i="33"/>
  <c r="M54" i="33"/>
  <c r="O54" i="33"/>
  <c r="I50" i="1"/>
  <c r="D54" i="33"/>
  <c r="L54" i="33"/>
  <c r="N54" i="33"/>
  <c r="J50" i="1"/>
  <c r="G50" i="1"/>
  <c r="C50" i="1"/>
  <c r="P50" i="1"/>
  <c r="E50" i="1"/>
  <c r="Q54" i="33"/>
  <c r="S50" i="1"/>
  <c r="H50" i="1"/>
  <c r="H54" i="33"/>
  <c r="N50" i="1"/>
  <c r="R50" i="1"/>
  <c r="C54" i="33"/>
  <c r="S54" i="33"/>
  <c r="T53" i="33"/>
  <c r="Q50" i="1"/>
  <c r="L50" i="1"/>
  <c r="R54" i="33"/>
  <c r="K54" i="33"/>
  <c r="K50" i="1"/>
  <c r="J54" i="33"/>
  <c r="P54" i="33"/>
  <c r="F54" i="33"/>
  <c r="F50" i="1"/>
  <c r="M50" i="1"/>
  <c r="A52" i="1" l="1"/>
  <c r="B51" i="1"/>
  <c r="B55" i="33"/>
  <c r="A56" i="33"/>
  <c r="S51" i="1"/>
  <c r="T50" i="1"/>
  <c r="C51" i="1"/>
  <c r="K55" i="33"/>
  <c r="R55" i="33"/>
  <c r="H55" i="33"/>
  <c r="N55" i="33"/>
  <c r="R51" i="1"/>
  <c r="E55" i="33"/>
  <c r="J55" i="33"/>
  <c r="H51" i="1"/>
  <c r="K51" i="1"/>
  <c r="Q51" i="1"/>
  <c r="Q55" i="33"/>
  <c r="P55" i="33"/>
  <c r="L55" i="33"/>
  <c r="N51" i="1"/>
  <c r="D55" i="33"/>
  <c r="F51" i="1"/>
  <c r="C55" i="33"/>
  <c r="M55" i="33"/>
  <c r="G55" i="33"/>
  <c r="I55" i="33"/>
  <c r="O55" i="33"/>
  <c r="S55" i="33"/>
  <c r="F55" i="33"/>
  <c r="M51" i="1"/>
  <c r="U50" i="1" l="1"/>
  <c r="D51" i="1"/>
  <c r="L51" i="1"/>
  <c r="J51" i="1"/>
  <c r="P51" i="1"/>
  <c r="I51" i="1"/>
  <c r="T51" i="1"/>
  <c r="O51" i="1"/>
  <c r="G51" i="1"/>
  <c r="E51" i="1"/>
  <c r="U51" i="1" l="1"/>
  <c r="A53" i="1"/>
  <c r="B52" i="1"/>
  <c r="A57" i="33"/>
  <c r="B56" i="33"/>
  <c r="I52" i="1"/>
  <c r="J52" i="1"/>
  <c r="O56" i="33"/>
  <c r="H52" i="1"/>
  <c r="R56" i="33"/>
  <c r="S52" i="1"/>
  <c r="D52" i="1"/>
  <c r="M56" i="33"/>
  <c r="C56" i="33"/>
  <c r="N52" i="1"/>
  <c r="F56" i="33"/>
  <c r="K56" i="33"/>
  <c r="Q56" i="33"/>
  <c r="F52" i="1"/>
  <c r="G52" i="1"/>
  <c r="M52" i="1"/>
  <c r="T54" i="33"/>
  <c r="Q52" i="1"/>
  <c r="P56" i="33"/>
  <c r="L56" i="33"/>
  <c r="J56" i="33"/>
  <c r="S56" i="33"/>
  <c r="K52" i="1"/>
  <c r="E52" i="1"/>
  <c r="H56" i="33"/>
  <c r="P52" i="1"/>
  <c r="C52" i="1"/>
  <c r="T52" i="1"/>
  <c r="T55" i="33"/>
  <c r="E56" i="33"/>
  <c r="R52" i="1"/>
  <c r="I56" i="33"/>
  <c r="O52" i="1"/>
  <c r="N56" i="33"/>
  <c r="G56" i="33"/>
  <c r="L52" i="1"/>
  <c r="D56" i="33"/>
  <c r="U52" i="1" l="1"/>
  <c r="B53" i="1"/>
  <c r="A54" i="1"/>
  <c r="A58" i="33"/>
  <c r="B57" i="33"/>
  <c r="E57" i="33"/>
  <c r="C57" i="33"/>
  <c r="R53" i="1"/>
  <c r="J57" i="33"/>
  <c r="O53" i="1"/>
  <c r="M57" i="33"/>
  <c r="L57" i="33"/>
  <c r="S57" i="33"/>
  <c r="M53" i="1"/>
  <c r="G53" i="1"/>
  <c r="C53" i="1"/>
  <c r="I57" i="33"/>
  <c r="Q57" i="33"/>
  <c r="J53" i="1"/>
  <c r="N57" i="33"/>
  <c r="N53" i="1"/>
  <c r="F57" i="33"/>
  <c r="F53" i="1"/>
  <c r="H57" i="33"/>
  <c r="I53" i="1"/>
  <c r="G57" i="33"/>
  <c r="H53" i="1"/>
  <c r="S53" i="1"/>
  <c r="D57" i="33"/>
  <c r="P53" i="1"/>
  <c r="Q53" i="1"/>
  <c r="R57" i="33"/>
  <c r="P57" i="33"/>
  <c r="K57" i="33"/>
  <c r="E53" i="1"/>
  <c r="L53" i="1"/>
  <c r="D53" i="1"/>
  <c r="O57" i="33"/>
  <c r="T56" i="33"/>
  <c r="T53" i="1"/>
  <c r="K53" i="1"/>
  <c r="U53" i="1" l="1"/>
  <c r="B54" i="1"/>
  <c r="A55" i="1"/>
  <c r="A59" i="33"/>
  <c r="B58" i="33"/>
  <c r="L58" i="33"/>
  <c r="P58" i="33"/>
  <c r="S58" i="33"/>
  <c r="E54" i="1"/>
  <c r="M58" i="33"/>
  <c r="D58" i="33"/>
  <c r="K58" i="33"/>
  <c r="M54" i="1"/>
  <c r="Q54" i="1"/>
  <c r="O58" i="33"/>
  <c r="N54" i="1"/>
  <c r="I54" i="1"/>
  <c r="L54" i="1"/>
  <c r="T54" i="1"/>
  <c r="S54" i="1"/>
  <c r="N58" i="33"/>
  <c r="H58" i="33"/>
  <c r="J58" i="33"/>
  <c r="Q58" i="33"/>
  <c r="O54" i="1"/>
  <c r="I58" i="33"/>
  <c r="G54" i="1"/>
  <c r="D54" i="1"/>
  <c r="P54" i="1"/>
  <c r="K54" i="1"/>
  <c r="J54" i="1"/>
  <c r="H54" i="1"/>
  <c r="R54" i="1"/>
  <c r="C54" i="1"/>
  <c r="G58" i="33"/>
  <c r="R58" i="33"/>
  <c r="F58" i="33"/>
  <c r="F54" i="1"/>
  <c r="C58" i="33"/>
  <c r="E58" i="33"/>
  <c r="U54" i="1" l="1"/>
  <c r="A56" i="1"/>
  <c r="B55" i="1"/>
  <c r="B59" i="33"/>
  <c r="A60" i="33"/>
  <c r="R59" i="33"/>
  <c r="Q55" i="1"/>
  <c r="D59" i="33"/>
  <c r="S59" i="33"/>
  <c r="T55" i="1"/>
  <c r="M59" i="33"/>
  <c r="Q59" i="33"/>
  <c r="K55" i="1"/>
  <c r="P55" i="1"/>
  <c r="G59" i="33"/>
  <c r="T58" i="33"/>
  <c r="G55" i="1"/>
  <c r="P59" i="33"/>
  <c r="L59" i="33"/>
  <c r="I59" i="33"/>
  <c r="J55" i="1"/>
  <c r="M55" i="1"/>
  <c r="H55" i="1"/>
  <c r="O59" i="33"/>
  <c r="O55" i="1"/>
  <c r="C55" i="1"/>
  <c r="N55" i="1"/>
  <c r="S55" i="1"/>
  <c r="J59" i="33"/>
  <c r="E59" i="33"/>
  <c r="F59" i="33"/>
  <c r="F55" i="1"/>
  <c r="K59" i="33"/>
  <c r="D55" i="1"/>
  <c r="L55" i="1"/>
  <c r="E55" i="1"/>
  <c r="I55" i="1"/>
  <c r="H59" i="33"/>
  <c r="T57" i="33"/>
  <c r="C59" i="33"/>
  <c r="R55" i="1"/>
  <c r="N59" i="33"/>
  <c r="U55" i="1" l="1"/>
  <c r="B56" i="1"/>
  <c r="A57" i="1"/>
  <c r="B60" i="33"/>
  <c r="A61" i="33"/>
  <c r="J60" i="33"/>
  <c r="G60" i="33"/>
  <c r="Q56" i="1"/>
  <c r="H56" i="1"/>
  <c r="R60" i="33"/>
  <c r="T59" i="33"/>
  <c r="S56" i="1"/>
  <c r="E56" i="1"/>
  <c r="L56" i="1"/>
  <c r="H60" i="33"/>
  <c r="M56" i="1"/>
  <c r="J56" i="1"/>
  <c r="Q60" i="33"/>
  <c r="K60" i="33"/>
  <c r="T56" i="1"/>
  <c r="O56" i="1"/>
  <c r="D60" i="33"/>
  <c r="L60" i="33"/>
  <c r="N60" i="33"/>
  <c r="E60" i="33"/>
  <c r="M60" i="33"/>
  <c r="F60" i="33"/>
  <c r="R56" i="1"/>
  <c r="S60" i="33"/>
  <c r="C56" i="1"/>
  <c r="I56" i="1"/>
  <c r="P60" i="33"/>
  <c r="I60" i="33"/>
  <c r="C60" i="33"/>
  <c r="G56" i="1"/>
  <c r="N56" i="1"/>
  <c r="D56" i="1"/>
  <c r="F56" i="1"/>
  <c r="K56" i="1"/>
  <c r="O60" i="33"/>
  <c r="P56" i="1"/>
  <c r="U56" i="1" l="1"/>
  <c r="A58" i="1"/>
  <c r="B57" i="1"/>
  <c r="A62" i="33"/>
  <c r="B61" i="33"/>
  <c r="C61" i="33"/>
  <c r="D61" i="33"/>
  <c r="K61" i="33"/>
  <c r="O61" i="33"/>
  <c r="H61" i="33"/>
  <c r="N61" i="33"/>
  <c r="R61" i="33"/>
  <c r="L57" i="1"/>
  <c r="P57" i="1"/>
  <c r="T60" i="33"/>
  <c r="S57" i="1"/>
  <c r="H57" i="1"/>
  <c r="R57" i="1"/>
  <c r="Q61" i="33"/>
  <c r="G57" i="1"/>
  <c r="I61" i="33"/>
  <c r="F61" i="33"/>
  <c r="K57" i="1"/>
  <c r="C57" i="1"/>
  <c r="J57" i="1"/>
  <c r="E57" i="1"/>
  <c r="S61" i="33"/>
  <c r="G61" i="33"/>
  <c r="P61" i="33"/>
  <c r="F57" i="1"/>
  <c r="I57" i="1"/>
  <c r="M61" i="33"/>
  <c r="E61" i="33"/>
  <c r="L61" i="33"/>
  <c r="J61" i="33"/>
  <c r="D57" i="1"/>
  <c r="N57" i="1"/>
  <c r="T57" i="1"/>
  <c r="O57" i="1"/>
  <c r="M57" i="1"/>
  <c r="Q57" i="1"/>
  <c r="U57" i="1" l="1"/>
  <c r="B58" i="1"/>
  <c r="A59" i="1"/>
  <c r="B62" i="33"/>
  <c r="A63" i="33"/>
  <c r="I58" i="1"/>
  <c r="D62" i="33"/>
  <c r="F62" i="33"/>
  <c r="R58" i="1"/>
  <c r="O62" i="33"/>
  <c r="D58" i="1"/>
  <c r="E62" i="33"/>
  <c r="I62" i="33"/>
  <c r="K58" i="1"/>
  <c r="L58" i="1"/>
  <c r="K62" i="33"/>
  <c r="O58" i="1"/>
  <c r="J58" i="1"/>
  <c r="S58" i="1"/>
  <c r="P58" i="1"/>
  <c r="E58" i="1"/>
  <c r="G62" i="33"/>
  <c r="S62" i="33"/>
  <c r="H58" i="1"/>
  <c r="C58" i="1"/>
  <c r="M58" i="1"/>
  <c r="N58" i="1"/>
  <c r="N62" i="33"/>
  <c r="C62" i="33"/>
  <c r="G58" i="1"/>
  <c r="L62" i="33"/>
  <c r="H62" i="33"/>
  <c r="T58" i="1"/>
  <c r="R62" i="33"/>
  <c r="Q62" i="33"/>
  <c r="P62" i="33"/>
  <c r="Q58" i="1"/>
  <c r="J62" i="33"/>
  <c r="F58" i="1"/>
  <c r="T61" i="33"/>
  <c r="M62" i="33"/>
  <c r="U58" i="1" l="1"/>
  <c r="A60" i="1"/>
  <c r="B59" i="1"/>
  <c r="B63" i="33"/>
  <c r="A64" i="33"/>
  <c r="F63" i="33"/>
  <c r="T59" i="1"/>
  <c r="L63" i="33"/>
  <c r="Q63" i="33"/>
  <c r="M59" i="1"/>
  <c r="P63" i="33"/>
  <c r="J59" i="1"/>
  <c r="C59" i="1"/>
  <c r="E63" i="33"/>
  <c r="M63" i="33"/>
  <c r="K63" i="33"/>
  <c r="R63" i="33"/>
  <c r="K59" i="1"/>
  <c r="Q59" i="1"/>
  <c r="P59" i="1"/>
  <c r="G63" i="33"/>
  <c r="D63" i="33"/>
  <c r="S59" i="1"/>
  <c r="O59" i="1"/>
  <c r="D59" i="1"/>
  <c r="G59" i="1"/>
  <c r="F59" i="1"/>
  <c r="E59" i="1"/>
  <c r="C63" i="33"/>
  <c r="J63" i="33"/>
  <c r="H59" i="1"/>
  <c r="I63" i="33"/>
  <c r="R59" i="1"/>
  <c r="N63" i="33"/>
  <c r="H63" i="33"/>
  <c r="T62" i="33"/>
  <c r="S63" i="33"/>
  <c r="L59" i="1"/>
  <c r="N59" i="1"/>
  <c r="O63" i="33"/>
  <c r="I59" i="1"/>
  <c r="U59" i="1" l="1"/>
  <c r="A61" i="1"/>
  <c r="B60" i="1"/>
  <c r="A65" i="33"/>
  <c r="B64" i="33"/>
  <c r="T63" i="33"/>
  <c r="S64" i="33"/>
  <c r="F60" i="1"/>
  <c r="Q60" i="1"/>
  <c r="M64" i="33"/>
  <c r="O64" i="33"/>
  <c r="R60" i="1"/>
  <c r="E64" i="33"/>
  <c r="K64" i="33"/>
  <c r="C60" i="1"/>
  <c r="J64" i="33"/>
  <c r="Q64" i="33"/>
  <c r="F64" i="33"/>
  <c r="H60" i="1"/>
  <c r="N60" i="1"/>
  <c r="S60" i="1"/>
  <c r="D64" i="33"/>
  <c r="C64" i="33"/>
  <c r="L64" i="33"/>
  <c r="I64" i="33"/>
  <c r="D60" i="1"/>
  <c r="N64" i="33"/>
  <c r="G64" i="33"/>
  <c r="P60" i="1"/>
  <c r="G60" i="1"/>
  <c r="O60" i="1"/>
  <c r="M60" i="1"/>
  <c r="I60" i="1"/>
  <c r="J60" i="1"/>
  <c r="L60" i="1"/>
  <c r="P64" i="33"/>
  <c r="H64" i="33"/>
  <c r="K60" i="1"/>
  <c r="T60" i="1"/>
  <c r="R64" i="33"/>
  <c r="E60" i="1"/>
  <c r="U60" i="1" l="1"/>
  <c r="B61" i="1"/>
  <c r="A62" i="1"/>
  <c r="A66" i="33"/>
  <c r="B65" i="33"/>
  <c r="O65" i="33"/>
  <c r="R65" i="33"/>
  <c r="F61" i="1"/>
  <c r="P61" i="1"/>
  <c r="E61" i="1"/>
  <c r="F65" i="33"/>
  <c r="C65" i="33"/>
  <c r="R61" i="1"/>
  <c r="Q65" i="33"/>
  <c r="T64" i="33"/>
  <c r="H61" i="1"/>
  <c r="S61" i="1"/>
  <c r="C61" i="1"/>
  <c r="S65" i="33"/>
  <c r="K65" i="33"/>
  <c r="O61" i="1"/>
  <c r="G65" i="33"/>
  <c r="J61" i="1"/>
  <c r="N65" i="33"/>
  <c r="E65" i="33"/>
  <c r="P65" i="33"/>
  <c r="T61" i="1"/>
  <c r="H65" i="33"/>
  <c r="N61" i="1"/>
  <c r="I65" i="33"/>
  <c r="M61" i="1"/>
  <c r="D65" i="33"/>
  <c r="Q61" i="1"/>
  <c r="L61" i="1"/>
  <c r="I61" i="1"/>
  <c r="D61" i="1"/>
  <c r="L65" i="33"/>
  <c r="J65" i="33"/>
  <c r="K61" i="1"/>
  <c r="G61" i="1"/>
  <c r="M65" i="33"/>
  <c r="U61" i="1" l="1"/>
  <c r="A63" i="1"/>
  <c r="B62" i="1"/>
  <c r="A67" i="33"/>
  <c r="B66" i="33"/>
  <c r="H66" i="33"/>
  <c r="N62" i="1"/>
  <c r="J62" i="1"/>
  <c r="L66" i="33"/>
  <c r="I62" i="1"/>
  <c r="Q66" i="33"/>
  <c r="I66" i="33"/>
  <c r="R66" i="33"/>
  <c r="D62" i="1"/>
  <c r="E66" i="33"/>
  <c r="G66" i="33"/>
  <c r="R62" i="1"/>
  <c r="D66" i="33"/>
  <c r="S66" i="33"/>
  <c r="T62" i="1"/>
  <c r="K62" i="1"/>
  <c r="L62" i="1"/>
  <c r="N66" i="33"/>
  <c r="C66" i="33"/>
  <c r="H62" i="1"/>
  <c r="O62" i="1"/>
  <c r="E62" i="1"/>
  <c r="S62" i="1"/>
  <c r="J66" i="33"/>
  <c r="K66" i="33"/>
  <c r="C62" i="1"/>
  <c r="Q62" i="1"/>
  <c r="F62" i="1"/>
  <c r="P62" i="1"/>
  <c r="M66" i="33"/>
  <c r="F66" i="33"/>
  <c r="G62" i="1"/>
  <c r="P66" i="33"/>
  <c r="M62" i="1"/>
  <c r="O66" i="33"/>
  <c r="U62" i="1" l="1"/>
  <c r="B63" i="1"/>
  <c r="A64" i="1"/>
  <c r="B67" i="33"/>
  <c r="A68" i="33"/>
  <c r="L67" i="33"/>
  <c r="S67" i="33"/>
  <c r="F67" i="33"/>
  <c r="I67" i="33"/>
  <c r="O63" i="1"/>
  <c r="J63" i="1"/>
  <c r="E63" i="1"/>
  <c r="P63" i="1"/>
  <c r="N63" i="1"/>
  <c r="D63" i="1"/>
  <c r="R67" i="33"/>
  <c r="T66" i="33"/>
  <c r="P67" i="33"/>
  <c r="E67" i="33"/>
  <c r="Q67" i="33"/>
  <c r="F63" i="1"/>
  <c r="L63" i="1"/>
  <c r="Q63" i="1"/>
  <c r="K63" i="1"/>
  <c r="O67" i="33"/>
  <c r="H67" i="33"/>
  <c r="M67" i="33"/>
  <c r="J67" i="33"/>
  <c r="S63" i="1"/>
  <c r="M63" i="1"/>
  <c r="G67" i="33"/>
  <c r="I63" i="1"/>
  <c r="D67" i="33"/>
  <c r="N67" i="33"/>
  <c r="T65" i="33"/>
  <c r="C63" i="1"/>
  <c r="C67" i="33"/>
  <c r="G63" i="1"/>
  <c r="H63" i="1"/>
  <c r="R63" i="1"/>
  <c r="K67" i="33"/>
  <c r="T63" i="1"/>
  <c r="U63" i="1" l="1"/>
  <c r="A65" i="1"/>
  <c r="B64" i="1"/>
  <c r="B68" i="33"/>
  <c r="A69" i="33"/>
  <c r="N68" i="33"/>
  <c r="C68" i="33"/>
  <c r="D64" i="1"/>
  <c r="P68" i="33"/>
  <c r="G64" i="1"/>
  <c r="T64" i="1"/>
  <c r="C64" i="1"/>
  <c r="K68" i="33"/>
  <c r="I64" i="1"/>
  <c r="H68" i="33"/>
  <c r="R64" i="1"/>
  <c r="P64" i="1"/>
  <c r="M68" i="33"/>
  <c r="O64" i="1"/>
  <c r="F64" i="1"/>
  <c r="R68" i="33"/>
  <c r="M64" i="1"/>
  <c r="E68" i="33"/>
  <c r="H64" i="1"/>
  <c r="N64" i="1"/>
  <c r="I68" i="33"/>
  <c r="J64" i="1"/>
  <c r="L68" i="33"/>
  <c r="O68" i="33"/>
  <c r="S68" i="33"/>
  <c r="L64" i="1"/>
  <c r="E64" i="1"/>
  <c r="F68" i="33"/>
  <c r="D68" i="33"/>
  <c r="T67" i="33"/>
  <c r="Q64" i="1"/>
  <c r="J68" i="33"/>
  <c r="G68" i="33"/>
  <c r="S64" i="1"/>
  <c r="K64" i="1"/>
  <c r="Q68" i="33"/>
  <c r="U64" i="1" l="1"/>
  <c r="A66" i="1"/>
  <c r="B65" i="1"/>
  <c r="A70" i="33"/>
  <c r="B69" i="33"/>
  <c r="D69" i="33"/>
  <c r="M65" i="1"/>
  <c r="H65" i="1"/>
  <c r="J65" i="1"/>
  <c r="T68" i="33"/>
  <c r="E69" i="33"/>
  <c r="K69" i="33"/>
  <c r="E65" i="1"/>
  <c r="I65" i="1"/>
  <c r="K65" i="1"/>
  <c r="I69" i="33"/>
  <c r="N69" i="33"/>
  <c r="O65" i="1"/>
  <c r="T65" i="1"/>
  <c r="N65" i="1"/>
  <c r="Q69" i="33"/>
  <c r="C65" i="1"/>
  <c r="S65" i="1"/>
  <c r="S69" i="33"/>
  <c r="M69" i="33"/>
  <c r="R65" i="1"/>
  <c r="H69" i="33"/>
  <c r="R69" i="33"/>
  <c r="F65" i="1"/>
  <c r="Q65" i="1"/>
  <c r="P69" i="33"/>
  <c r="D65" i="1"/>
  <c r="F69" i="33"/>
  <c r="G69" i="33"/>
  <c r="L65" i="1"/>
  <c r="O69" i="33"/>
  <c r="L69" i="33"/>
  <c r="P65" i="1"/>
  <c r="C69" i="33"/>
  <c r="G65" i="1"/>
  <c r="J69" i="33"/>
  <c r="U65" i="1" l="1"/>
  <c r="B66" i="1"/>
  <c r="A67" i="1"/>
  <c r="B70" i="33"/>
  <c r="A71" i="33"/>
  <c r="H66" i="1"/>
  <c r="F70" i="33"/>
  <c r="G70" i="33"/>
  <c r="P70" i="33"/>
  <c r="Q66" i="1"/>
  <c r="E66" i="1"/>
  <c r="M70" i="33"/>
  <c r="O70" i="33"/>
  <c r="I70" i="33"/>
  <c r="L70" i="33"/>
  <c r="D66" i="1"/>
  <c r="L66" i="1"/>
  <c r="T66" i="1"/>
  <c r="E70" i="33"/>
  <c r="M66" i="1"/>
  <c r="K66" i="1"/>
  <c r="P66" i="1"/>
  <c r="O66" i="1"/>
  <c r="I66" i="1"/>
  <c r="R70" i="33"/>
  <c r="D70" i="33"/>
  <c r="S70" i="33"/>
  <c r="N66" i="1"/>
  <c r="H70" i="33"/>
  <c r="G66" i="1"/>
  <c r="T69" i="33"/>
  <c r="K70" i="33"/>
  <c r="S66" i="1"/>
  <c r="Q70" i="33"/>
  <c r="R66" i="1"/>
  <c r="C70" i="33"/>
  <c r="J70" i="33"/>
  <c r="C66" i="1"/>
  <c r="J66" i="1"/>
  <c r="N70" i="33"/>
  <c r="F66" i="1"/>
  <c r="U66" i="1" l="1"/>
  <c r="A68" i="1"/>
  <c r="B67" i="1"/>
  <c r="B71" i="33"/>
  <c r="A72" i="33"/>
  <c r="M71" i="33"/>
  <c r="D71" i="33"/>
  <c r="K71" i="33"/>
  <c r="Q67" i="1"/>
  <c r="N71" i="33"/>
  <c r="H71" i="33"/>
  <c r="H67" i="1"/>
  <c r="G67" i="1"/>
  <c r="T67" i="1"/>
  <c r="K67" i="1"/>
  <c r="T70" i="33"/>
  <c r="C67" i="1"/>
  <c r="Q71" i="33"/>
  <c r="N67" i="1"/>
  <c r="I67" i="1"/>
  <c r="L71" i="33"/>
  <c r="L67" i="1"/>
  <c r="E67" i="1"/>
  <c r="R67" i="1"/>
  <c r="D67" i="1"/>
  <c r="P71" i="33"/>
  <c r="C71" i="33"/>
  <c r="G71" i="33"/>
  <c r="O67" i="1"/>
  <c r="S67" i="1"/>
  <c r="E71" i="33"/>
  <c r="F67" i="1"/>
  <c r="J67" i="1"/>
  <c r="S71" i="33"/>
  <c r="F71" i="33"/>
  <c r="O71" i="33"/>
  <c r="M67" i="1"/>
  <c r="I71" i="33"/>
  <c r="P67" i="1"/>
  <c r="R71" i="33"/>
  <c r="J71" i="33"/>
  <c r="U67" i="1" l="1"/>
  <c r="A69" i="1"/>
  <c r="B68" i="1"/>
  <c r="A73" i="33"/>
  <c r="B72" i="33"/>
  <c r="O72" i="33"/>
  <c r="D72" i="33"/>
  <c r="T68" i="1"/>
  <c r="D68" i="1"/>
  <c r="F72" i="33"/>
  <c r="C72" i="33"/>
  <c r="I68" i="1"/>
  <c r="Q72" i="33"/>
  <c r="P68" i="1"/>
  <c r="F68" i="1"/>
  <c r="M68" i="1"/>
  <c r="E72" i="33"/>
  <c r="O68" i="1"/>
  <c r="S68" i="1"/>
  <c r="N68" i="1"/>
  <c r="H68" i="1"/>
  <c r="T71" i="33"/>
  <c r="K68" i="1"/>
  <c r="L72" i="33"/>
  <c r="G72" i="33"/>
  <c r="L68" i="1"/>
  <c r="J72" i="33"/>
  <c r="K72" i="33"/>
  <c r="R68" i="1"/>
  <c r="E68" i="1"/>
  <c r="H72" i="33"/>
  <c r="R72" i="33"/>
  <c r="J68" i="1"/>
  <c r="P72" i="33"/>
  <c r="C68" i="1"/>
  <c r="Q68" i="1"/>
  <c r="N72" i="33"/>
  <c r="I72" i="33"/>
  <c r="S72" i="33"/>
  <c r="G68" i="1"/>
  <c r="M72" i="33"/>
  <c r="U68" i="1" l="1"/>
  <c r="B69" i="1"/>
  <c r="A70" i="1"/>
  <c r="A74" i="33"/>
  <c r="B73" i="33"/>
  <c r="F73" i="33"/>
  <c r="C69" i="1"/>
  <c r="D69" i="1"/>
  <c r="C73" i="33"/>
  <c r="Q69" i="1"/>
  <c r="M73" i="33"/>
  <c r="Q73" i="33"/>
  <c r="N69" i="1"/>
  <c r="M69" i="1"/>
  <c r="D73" i="33"/>
  <c r="G69" i="1"/>
  <c r="O73" i="33"/>
  <c r="F69" i="1"/>
  <c r="R73" i="33"/>
  <c r="I73" i="33"/>
  <c r="I69" i="1"/>
  <c r="S69" i="1"/>
  <c r="E73" i="33"/>
  <c r="G73" i="33"/>
  <c r="N73" i="33"/>
  <c r="K73" i="33"/>
  <c r="R69" i="1"/>
  <c r="H73" i="33"/>
  <c r="T69" i="1"/>
  <c r="L73" i="33"/>
  <c r="E69" i="1"/>
  <c r="H69" i="1"/>
  <c r="K69" i="1"/>
  <c r="L69" i="1"/>
  <c r="O69" i="1"/>
  <c r="P69" i="1"/>
  <c r="S73" i="33"/>
  <c r="P73" i="33"/>
  <c r="T72" i="33"/>
  <c r="J73" i="33"/>
  <c r="J69" i="1"/>
  <c r="U69" i="1" l="1"/>
  <c r="B70" i="1"/>
  <c r="A71" i="1"/>
  <c r="A75" i="33"/>
  <c r="B74" i="33"/>
  <c r="R74" i="33"/>
  <c r="Q70" i="1"/>
  <c r="M70" i="1"/>
  <c r="Q74" i="33"/>
  <c r="I74" i="33"/>
  <c r="C74" i="33"/>
  <c r="N74" i="33"/>
  <c r="E74" i="33"/>
  <c r="G74" i="33"/>
  <c r="N70" i="1"/>
  <c r="K70" i="1"/>
  <c r="P74" i="33"/>
  <c r="L74" i="33"/>
  <c r="T70" i="1"/>
  <c r="R70" i="1"/>
  <c r="P70" i="1"/>
  <c r="M74" i="33"/>
  <c r="F70" i="1"/>
  <c r="G70" i="1"/>
  <c r="D74" i="33"/>
  <c r="C70" i="1"/>
  <c r="S70" i="1"/>
  <c r="E70" i="1"/>
  <c r="O74" i="33"/>
  <c r="I70" i="1"/>
  <c r="J70" i="1"/>
  <c r="L70" i="1"/>
  <c r="T73" i="33"/>
  <c r="D70" i="1"/>
  <c r="F74" i="33"/>
  <c r="O70" i="1"/>
  <c r="S74" i="33"/>
  <c r="H74" i="33"/>
  <c r="J74" i="33"/>
  <c r="H70" i="1"/>
  <c r="K74" i="33"/>
  <c r="U70" i="1" l="1"/>
  <c r="A72" i="1"/>
  <c r="B71" i="1"/>
  <c r="B75" i="33"/>
  <c r="A76" i="33"/>
  <c r="S75" i="33"/>
  <c r="K71" i="1"/>
  <c r="C75" i="33"/>
  <c r="O71" i="1"/>
  <c r="T74" i="33"/>
  <c r="T71" i="1"/>
  <c r="P75" i="33"/>
  <c r="R75" i="33"/>
  <c r="Q75" i="33"/>
  <c r="J71" i="1"/>
  <c r="O75" i="33"/>
  <c r="J75" i="33"/>
  <c r="H71" i="1"/>
  <c r="S71" i="1"/>
  <c r="L75" i="33"/>
  <c r="D75" i="33"/>
  <c r="I71" i="1"/>
  <c r="R71" i="1"/>
  <c r="E71" i="1"/>
  <c r="I75" i="33"/>
  <c r="C71" i="1"/>
  <c r="P71" i="1"/>
  <c r="F71" i="1"/>
  <c r="M71" i="1"/>
  <c r="H75" i="33"/>
  <c r="G75" i="33"/>
  <c r="F75" i="33"/>
  <c r="Q71" i="1"/>
  <c r="N75" i="33"/>
  <c r="E75" i="33"/>
  <c r="L71" i="1"/>
  <c r="M75" i="33"/>
  <c r="K75" i="33"/>
  <c r="D71" i="1"/>
  <c r="N71" i="1"/>
  <c r="G71" i="1"/>
  <c r="U71" i="1" l="1"/>
  <c r="A73" i="1"/>
  <c r="B72" i="1"/>
  <c r="A77" i="33"/>
  <c r="B76" i="33"/>
  <c r="E76" i="33"/>
  <c r="Q76" i="33"/>
  <c r="F76" i="33"/>
  <c r="M76" i="33"/>
  <c r="R72" i="1"/>
  <c r="C76" i="33"/>
  <c r="D72" i="1"/>
  <c r="G76" i="33"/>
  <c r="H76" i="33"/>
  <c r="E72" i="1"/>
  <c r="S76" i="33"/>
  <c r="L76" i="33"/>
  <c r="O72" i="1"/>
  <c r="I76" i="33"/>
  <c r="T75" i="33"/>
  <c r="J72" i="1"/>
  <c r="Q72" i="1"/>
  <c r="D76" i="33"/>
  <c r="M72" i="1"/>
  <c r="O76" i="33"/>
  <c r="K72" i="1"/>
  <c r="G72" i="1"/>
  <c r="P76" i="33"/>
  <c r="S72" i="1"/>
  <c r="N72" i="1"/>
  <c r="L72" i="1"/>
  <c r="I72" i="1"/>
  <c r="F72" i="1"/>
  <c r="R76" i="33"/>
  <c r="K76" i="33"/>
  <c r="C72" i="1"/>
  <c r="J76" i="33"/>
  <c r="H72" i="1"/>
  <c r="T72" i="1"/>
  <c r="P72" i="1"/>
  <c r="N76" i="33"/>
  <c r="U72" i="1" l="1"/>
  <c r="B73" i="1"/>
  <c r="A74" i="1"/>
  <c r="B77" i="33"/>
  <c r="A78" i="33"/>
  <c r="F77" i="33"/>
  <c r="G77" i="33"/>
  <c r="N77" i="33"/>
  <c r="O73" i="1"/>
  <c r="L77" i="33"/>
  <c r="S77" i="33"/>
  <c r="H73" i="1"/>
  <c r="T76" i="33"/>
  <c r="J77" i="33"/>
  <c r="Q77" i="33"/>
  <c r="G73" i="1"/>
  <c r="E73" i="1"/>
  <c r="R73" i="1"/>
  <c r="M77" i="33"/>
  <c r="C73" i="1"/>
  <c r="J73" i="1"/>
  <c r="S73" i="1"/>
  <c r="E77" i="33"/>
  <c r="Q73" i="1"/>
  <c r="I77" i="33"/>
  <c r="N73" i="1"/>
  <c r="T73" i="1"/>
  <c r="O77" i="33"/>
  <c r="R77" i="33"/>
  <c r="P73" i="1"/>
  <c r="L73" i="1"/>
  <c r="F73" i="1"/>
  <c r="I73" i="1"/>
  <c r="K77" i="33"/>
  <c r="H77" i="33"/>
  <c r="K73" i="1"/>
  <c r="C77" i="33"/>
  <c r="D73" i="1"/>
  <c r="P77" i="33"/>
  <c r="M73" i="1"/>
  <c r="D77" i="33"/>
  <c r="U73" i="1" l="1"/>
  <c r="B74" i="1"/>
  <c r="A75" i="1"/>
  <c r="B78" i="33"/>
  <c r="A79" i="33"/>
  <c r="S74" i="1"/>
  <c r="H78" i="33"/>
  <c r="O74" i="1"/>
  <c r="Q74" i="1"/>
  <c r="C74" i="1"/>
  <c r="C78" i="33"/>
  <c r="P78" i="33"/>
  <c r="I78" i="33"/>
  <c r="P74" i="1"/>
  <c r="L78" i="33"/>
  <c r="N74" i="1"/>
  <c r="K78" i="33"/>
  <c r="E74" i="1"/>
  <c r="F74" i="1"/>
  <c r="G74" i="1"/>
  <c r="N78" i="33"/>
  <c r="T77" i="33"/>
  <c r="H74" i="1"/>
  <c r="D74" i="1"/>
  <c r="J78" i="33"/>
  <c r="R74" i="1"/>
  <c r="F78" i="33"/>
  <c r="S78" i="33"/>
  <c r="G78" i="33"/>
  <c r="I74" i="1"/>
  <c r="K74" i="1"/>
  <c r="M74" i="1"/>
  <c r="M78" i="33"/>
  <c r="R78" i="33"/>
  <c r="Q78" i="33"/>
  <c r="D78" i="33"/>
  <c r="L74" i="1"/>
  <c r="J74" i="1"/>
  <c r="T74" i="1"/>
  <c r="O78" i="33"/>
  <c r="E78" i="33"/>
  <c r="U74" i="1" l="1"/>
  <c r="B75" i="1"/>
  <c r="A76" i="1"/>
  <c r="B79" i="33"/>
  <c r="A80" i="33"/>
  <c r="E75" i="1"/>
  <c r="C79" i="33"/>
  <c r="R75" i="1"/>
  <c r="K75" i="1"/>
  <c r="H75" i="1"/>
  <c r="I75" i="1"/>
  <c r="L79" i="33"/>
  <c r="S79" i="33"/>
  <c r="R79" i="33"/>
  <c r="J79" i="33"/>
  <c r="Q75" i="1"/>
  <c r="F79" i="33"/>
  <c r="H79" i="33"/>
  <c r="D75" i="1"/>
  <c r="L75" i="1"/>
  <c r="J75" i="1"/>
  <c r="M79" i="33"/>
  <c r="D79" i="33"/>
  <c r="E79" i="33"/>
  <c r="Q79" i="33"/>
  <c r="G75" i="1"/>
  <c r="F75" i="1"/>
  <c r="T78" i="33"/>
  <c r="P79" i="33"/>
  <c r="T75" i="1"/>
  <c r="C75" i="1"/>
  <c r="P75" i="1"/>
  <c r="M75" i="1"/>
  <c r="N75" i="1"/>
  <c r="I79" i="33"/>
  <c r="G79" i="33"/>
  <c r="K79" i="33"/>
  <c r="S75" i="1"/>
  <c r="O75" i="1"/>
  <c r="N79" i="33"/>
  <c r="O79" i="33"/>
  <c r="U75" i="1" l="1"/>
  <c r="B76" i="1"/>
  <c r="A77" i="1"/>
  <c r="B80" i="33"/>
  <c r="A81" i="33"/>
  <c r="R76" i="1"/>
  <c r="O80" i="33"/>
  <c r="H80" i="33"/>
  <c r="C80" i="33"/>
  <c r="F76" i="1"/>
  <c r="D80" i="33"/>
  <c r="O76" i="1"/>
  <c r="S76" i="1"/>
  <c r="T76" i="1"/>
  <c r="I76" i="1"/>
  <c r="N80" i="33"/>
  <c r="E76" i="1"/>
  <c r="Q80" i="33"/>
  <c r="F80" i="33"/>
  <c r="R80" i="33"/>
  <c r="J80" i="33"/>
  <c r="G76" i="1"/>
  <c r="J76" i="1"/>
  <c r="K80" i="33"/>
  <c r="I80" i="33"/>
  <c r="G80" i="33"/>
  <c r="C76" i="1"/>
  <c r="N76" i="1"/>
  <c r="K76" i="1"/>
  <c r="P76" i="1"/>
  <c r="M76" i="1"/>
  <c r="S80" i="33"/>
  <c r="T79" i="33"/>
  <c r="E80" i="33"/>
  <c r="L80" i="33"/>
  <c r="L76" i="1"/>
  <c r="M80" i="33"/>
  <c r="P80" i="33"/>
  <c r="H76" i="1"/>
  <c r="Q76" i="1"/>
  <c r="D76" i="1"/>
  <c r="U76" i="1" l="1"/>
  <c r="A78" i="1"/>
  <c r="B77" i="1"/>
  <c r="A82" i="33"/>
  <c r="B81" i="33"/>
  <c r="P81" i="33"/>
  <c r="P77" i="1"/>
  <c r="N81" i="33"/>
  <c r="H77" i="1"/>
  <c r="M81" i="33"/>
  <c r="Q81" i="33"/>
  <c r="F81" i="33"/>
  <c r="J77" i="1"/>
  <c r="D81" i="33"/>
  <c r="F77" i="1"/>
  <c r="G81" i="33"/>
  <c r="E81" i="33"/>
  <c r="R77" i="1"/>
  <c r="I77" i="1"/>
  <c r="O77" i="1"/>
  <c r="K81" i="33"/>
  <c r="E77" i="1"/>
  <c r="T80" i="33"/>
  <c r="T77" i="1"/>
  <c r="S81" i="33"/>
  <c r="J81" i="33"/>
  <c r="Q77" i="1"/>
  <c r="S77" i="1"/>
  <c r="M77" i="1"/>
  <c r="C81" i="33"/>
  <c r="R81" i="33"/>
  <c r="L81" i="33"/>
  <c r="D77" i="1"/>
  <c r="G77" i="1"/>
  <c r="N77" i="1"/>
  <c r="I81" i="33"/>
  <c r="C77" i="1"/>
  <c r="L77" i="1"/>
  <c r="H81" i="33"/>
  <c r="K77" i="1"/>
  <c r="O81" i="33"/>
  <c r="U77" i="1" l="1"/>
  <c r="B78" i="1"/>
  <c r="A79" i="1"/>
  <c r="B82" i="33"/>
  <c r="A83" i="33"/>
  <c r="J78" i="1"/>
  <c r="K82" i="33"/>
  <c r="S82" i="33"/>
  <c r="K78" i="1"/>
  <c r="I82" i="33"/>
  <c r="N78" i="1"/>
  <c r="G78" i="1"/>
  <c r="M82" i="33"/>
  <c r="J82" i="33"/>
  <c r="L78" i="1"/>
  <c r="Q82" i="33"/>
  <c r="Q78" i="1"/>
  <c r="P78" i="1"/>
  <c r="C78" i="1"/>
  <c r="H78" i="1"/>
  <c r="F82" i="33"/>
  <c r="O78" i="1"/>
  <c r="C82" i="33"/>
  <c r="L82" i="33"/>
  <c r="G82" i="33"/>
  <c r="H82" i="33"/>
  <c r="F78" i="1"/>
  <c r="M78" i="1"/>
  <c r="D78" i="1"/>
  <c r="R78" i="1"/>
  <c r="E78" i="1"/>
  <c r="T81" i="33"/>
  <c r="E82" i="33"/>
  <c r="O82" i="33"/>
  <c r="R82" i="33"/>
  <c r="S78" i="1"/>
  <c r="T78" i="1"/>
  <c r="D82" i="33"/>
  <c r="I78" i="1"/>
  <c r="N82" i="33"/>
  <c r="P82" i="33"/>
  <c r="U78" i="1" l="1"/>
  <c r="A80" i="1"/>
  <c r="B79" i="1"/>
  <c r="A84" i="33"/>
  <c r="B83" i="33"/>
  <c r="Q79" i="1"/>
  <c r="K83" i="33"/>
  <c r="G79" i="1"/>
  <c r="F79" i="1"/>
  <c r="N83" i="33"/>
  <c r="R83" i="33"/>
  <c r="F83" i="33"/>
  <c r="E79" i="1"/>
  <c r="M79" i="1"/>
  <c r="I83" i="33"/>
  <c r="N79" i="1"/>
  <c r="K79" i="1"/>
  <c r="O83" i="33"/>
  <c r="I79" i="1"/>
  <c r="S83" i="33"/>
  <c r="P79" i="1"/>
  <c r="R79" i="1"/>
  <c r="M83" i="33"/>
  <c r="H79" i="1"/>
  <c r="E83" i="33"/>
  <c r="S79" i="1"/>
  <c r="T79" i="1"/>
  <c r="G83" i="33"/>
  <c r="P83" i="33"/>
  <c r="L83" i="33"/>
  <c r="T82" i="33"/>
  <c r="H83" i="33"/>
  <c r="J79" i="1"/>
  <c r="C83" i="33"/>
  <c r="C79" i="1"/>
  <c r="Q83" i="33"/>
  <c r="L79" i="1"/>
  <c r="D79" i="1"/>
  <c r="O79" i="1"/>
  <c r="D83" i="33"/>
  <c r="J83" i="33"/>
  <c r="U79" i="1" l="1"/>
  <c r="B80" i="1"/>
  <c r="A81" i="1"/>
  <c r="A85" i="33"/>
  <c r="B84" i="33"/>
  <c r="Q84" i="33"/>
  <c r="M80" i="1"/>
  <c r="S80" i="1"/>
  <c r="M84" i="33"/>
  <c r="Q80" i="1"/>
  <c r="O80" i="1"/>
  <c r="J80" i="1"/>
  <c r="R80" i="1"/>
  <c r="R84" i="33"/>
  <c r="G84" i="33"/>
  <c r="T83" i="33"/>
  <c r="E84" i="33"/>
  <c r="H84" i="33"/>
  <c r="N80" i="1"/>
  <c r="E80" i="1"/>
  <c r="T80" i="1"/>
  <c r="K84" i="33"/>
  <c r="I80" i="1"/>
  <c r="D84" i="33"/>
  <c r="P80" i="1"/>
  <c r="C84" i="33"/>
  <c r="K80" i="1"/>
  <c r="L84" i="33"/>
  <c r="F84" i="33"/>
  <c r="I84" i="33"/>
  <c r="S84" i="33"/>
  <c r="P84" i="33"/>
  <c r="C80" i="1"/>
  <c r="G80" i="1"/>
  <c r="O84" i="33"/>
  <c r="J84" i="33"/>
  <c r="L80" i="1"/>
  <c r="D80" i="1"/>
  <c r="N84" i="33"/>
  <c r="F80" i="1"/>
  <c r="H80" i="1"/>
  <c r="U80" i="1" l="1"/>
  <c r="B81" i="1"/>
  <c r="A82" i="1"/>
  <c r="B85" i="33"/>
  <c r="A86" i="33"/>
  <c r="L81" i="1"/>
  <c r="I81" i="1"/>
  <c r="S81" i="1"/>
  <c r="D85" i="33"/>
  <c r="F81" i="1"/>
  <c r="Q81" i="1"/>
  <c r="O85" i="33"/>
  <c r="S85" i="33"/>
  <c r="K81" i="1"/>
  <c r="L85" i="33"/>
  <c r="P81" i="1"/>
  <c r="D81" i="1"/>
  <c r="T84" i="33"/>
  <c r="R81" i="1"/>
  <c r="T81" i="1"/>
  <c r="M81" i="1"/>
  <c r="N85" i="33"/>
  <c r="R85" i="33"/>
  <c r="Q85" i="33"/>
  <c r="E81" i="1"/>
  <c r="G85" i="33"/>
  <c r="N81" i="1"/>
  <c r="C85" i="33"/>
  <c r="G81" i="1"/>
  <c r="J81" i="1"/>
  <c r="C81" i="1"/>
  <c r="O81" i="1"/>
  <c r="P85" i="33"/>
  <c r="K85" i="33"/>
  <c r="J85" i="33"/>
  <c r="H85" i="33"/>
  <c r="I85" i="33"/>
  <c r="E85" i="33"/>
  <c r="F85" i="33"/>
  <c r="H81" i="1"/>
  <c r="M85" i="33"/>
  <c r="U81" i="1" l="1"/>
  <c r="A83" i="1"/>
  <c r="B82" i="1"/>
  <c r="B86" i="33"/>
  <c r="A87" i="33"/>
  <c r="H86" i="33"/>
  <c r="O82" i="1"/>
  <c r="O86" i="33"/>
  <c r="C86" i="33"/>
  <c r="G82" i="1"/>
  <c r="C82" i="1"/>
  <c r="F82" i="1"/>
  <c r="D82" i="1"/>
  <c r="J86" i="33"/>
  <c r="K82" i="1"/>
  <c r="E86" i="33"/>
  <c r="K86" i="33"/>
  <c r="Q86" i="33"/>
  <c r="D86" i="33"/>
  <c r="R82" i="1"/>
  <c r="I82" i="1"/>
  <c r="S82" i="1"/>
  <c r="J82" i="1"/>
  <c r="L86" i="33"/>
  <c r="I86" i="33"/>
  <c r="H82" i="1"/>
  <c r="F86" i="33"/>
  <c r="M82" i="1"/>
  <c r="Q82" i="1"/>
  <c r="G86" i="33"/>
  <c r="L82" i="1"/>
  <c r="N86" i="33"/>
  <c r="N82" i="1"/>
  <c r="T82" i="1"/>
  <c r="R86" i="33"/>
  <c r="P82" i="1"/>
  <c r="M86" i="33"/>
  <c r="P86" i="33"/>
  <c r="S86" i="33"/>
  <c r="E82" i="1"/>
  <c r="U82" i="1" l="1"/>
  <c r="B83" i="1"/>
  <c r="A84" i="1"/>
  <c r="A88" i="33"/>
  <c r="B87" i="33"/>
  <c r="P87" i="33"/>
  <c r="O83" i="1"/>
  <c r="F83" i="1"/>
  <c r="T85" i="33"/>
  <c r="L83" i="1"/>
  <c r="H83" i="1"/>
  <c r="J83" i="1"/>
  <c r="R83" i="1"/>
  <c r="O87" i="33"/>
  <c r="D83" i="1"/>
  <c r="G87" i="33"/>
  <c r="S87" i="33"/>
  <c r="C83" i="1"/>
  <c r="M83" i="1"/>
  <c r="Q83" i="1"/>
  <c r="M87" i="33"/>
  <c r="H87" i="33"/>
  <c r="E83" i="1"/>
  <c r="P83" i="1"/>
  <c r="I83" i="1"/>
  <c r="Q87" i="33"/>
  <c r="L87" i="33"/>
  <c r="N83" i="1"/>
  <c r="K87" i="33"/>
  <c r="D87" i="33"/>
  <c r="E87" i="33"/>
  <c r="I87" i="33"/>
  <c r="K83" i="1"/>
  <c r="C87" i="33"/>
  <c r="G83" i="1"/>
  <c r="R87" i="33"/>
  <c r="S83" i="1"/>
  <c r="T83" i="1"/>
  <c r="F87" i="33"/>
  <c r="N87" i="33"/>
  <c r="T86" i="33"/>
  <c r="J87" i="33"/>
  <c r="U83" i="1" l="1"/>
  <c r="B84" i="1"/>
  <c r="A85" i="1"/>
  <c r="A89" i="33"/>
  <c r="B88" i="33"/>
  <c r="G84" i="1"/>
  <c r="G88" i="33"/>
  <c r="L84" i="1"/>
  <c r="L88" i="33"/>
  <c r="D88" i="33"/>
  <c r="Q88" i="33"/>
  <c r="F84" i="1"/>
  <c r="E84" i="1"/>
  <c r="S84" i="1"/>
  <c r="T87" i="33"/>
  <c r="M88" i="33"/>
  <c r="P88" i="33"/>
  <c r="N88" i="33"/>
  <c r="Q84" i="1"/>
  <c r="I84" i="1"/>
  <c r="K88" i="33"/>
  <c r="P84" i="1"/>
  <c r="E88" i="33"/>
  <c r="C84" i="1"/>
  <c r="H88" i="33"/>
  <c r="N84" i="1"/>
  <c r="O88" i="33"/>
  <c r="H84" i="1"/>
  <c r="J88" i="33"/>
  <c r="K84" i="1"/>
  <c r="R84" i="1"/>
  <c r="S88" i="33"/>
  <c r="C88" i="33"/>
  <c r="F88" i="33"/>
  <c r="D84" i="1"/>
  <c r="J84" i="1"/>
  <c r="I88" i="33"/>
  <c r="O84" i="1"/>
  <c r="R88" i="33"/>
  <c r="M84" i="1"/>
  <c r="B85" i="1" l="1"/>
  <c r="A86" i="1"/>
  <c r="A90" i="33"/>
  <c r="B89" i="33"/>
  <c r="S89" i="33"/>
  <c r="G89" i="33"/>
  <c r="F89" i="33"/>
  <c r="C89" i="33"/>
  <c r="P89" i="33"/>
  <c r="F85" i="1"/>
  <c r="C85" i="1"/>
  <c r="D85" i="1"/>
  <c r="H85" i="1"/>
  <c r="Q85" i="1"/>
  <c r="M85" i="1"/>
  <c r="E89" i="33"/>
  <c r="I89" i="33"/>
  <c r="M89" i="33"/>
  <c r="Q89" i="33"/>
  <c r="T84" i="1"/>
  <c r="R85" i="1"/>
  <c r="G85" i="1"/>
  <c r="H89" i="33"/>
  <c r="R89" i="33"/>
  <c r="S85" i="1"/>
  <c r="K89" i="33"/>
  <c r="J85" i="1"/>
  <c r="L85" i="1"/>
  <c r="L89" i="33"/>
  <c r="I85" i="1"/>
  <c r="O89" i="33"/>
  <c r="P85" i="1"/>
  <c r="J89" i="33"/>
  <c r="N85" i="1"/>
  <c r="D89" i="33"/>
  <c r="E85" i="1"/>
  <c r="N89" i="33"/>
  <c r="T88" i="33"/>
  <c r="U84" i="1" l="1"/>
  <c r="K85" i="1"/>
  <c r="O85" i="1"/>
  <c r="T85" i="1"/>
  <c r="U85" i="1" l="1"/>
  <c r="A87" i="1"/>
  <c r="B86" i="1"/>
  <c r="B90" i="33"/>
  <c r="A91" i="33"/>
  <c r="Q90" i="33"/>
  <c r="E90" i="33"/>
  <c r="F86" i="1"/>
  <c r="F90" i="33"/>
  <c r="P86" i="1"/>
  <c r="L90" i="33"/>
  <c r="J90" i="33"/>
  <c r="E86" i="1"/>
  <c r="M86" i="1"/>
  <c r="H90" i="33"/>
  <c r="R90" i="33"/>
  <c r="H86" i="1"/>
  <c r="D90" i="33"/>
  <c r="P90" i="33"/>
  <c r="D86" i="1"/>
  <c r="S90" i="33"/>
  <c r="N90" i="33"/>
  <c r="J86" i="1"/>
  <c r="O90" i="33"/>
  <c r="O86" i="1"/>
  <c r="L86" i="1"/>
  <c r="S86" i="1"/>
  <c r="G90" i="33"/>
  <c r="C90" i="33"/>
  <c r="M90" i="33"/>
  <c r="T86" i="1"/>
  <c r="T89" i="33"/>
  <c r="K90" i="33"/>
  <c r="Q86" i="1"/>
  <c r="I90" i="33"/>
  <c r="K86" i="1"/>
  <c r="R86" i="1"/>
  <c r="C86" i="1"/>
  <c r="G86" i="1"/>
  <c r="I86" i="1"/>
  <c r="N86" i="1"/>
  <c r="U86" i="1" l="1"/>
  <c r="B87" i="1"/>
  <c r="A88" i="1"/>
  <c r="A92" i="33"/>
  <c r="B91" i="33"/>
  <c r="H91" i="33"/>
  <c r="O87" i="1"/>
  <c r="K91" i="33"/>
  <c r="Q87" i="1"/>
  <c r="O91" i="33"/>
  <c r="E87" i="1"/>
  <c r="S91" i="33"/>
  <c r="P91" i="33"/>
  <c r="P87" i="1"/>
  <c r="J87" i="1"/>
  <c r="R87" i="1"/>
  <c r="G87" i="1"/>
  <c r="T87" i="1"/>
  <c r="G91" i="33"/>
  <c r="S87" i="1"/>
  <c r="K87" i="1"/>
  <c r="H87" i="1"/>
  <c r="L91" i="33"/>
  <c r="D87" i="1"/>
  <c r="J91" i="33"/>
  <c r="I87" i="1"/>
  <c r="C87" i="1"/>
  <c r="N91" i="33"/>
  <c r="E91" i="33"/>
  <c r="Q91" i="33"/>
  <c r="T90" i="33"/>
  <c r="L87" i="1"/>
  <c r="F91" i="33"/>
  <c r="N87" i="1"/>
  <c r="C91" i="33"/>
  <c r="R91" i="33"/>
  <c r="F87" i="1"/>
  <c r="D91" i="33"/>
  <c r="M87" i="1"/>
  <c r="M91" i="33"/>
  <c r="I91" i="33"/>
  <c r="U87" i="1" l="1"/>
  <c r="B88" i="1"/>
  <c r="A89" i="1"/>
  <c r="B92" i="33"/>
  <c r="A93" i="33"/>
  <c r="D92" i="33"/>
  <c r="C88" i="1"/>
  <c r="Q88" i="1"/>
  <c r="R92" i="33"/>
  <c r="S92" i="33"/>
  <c r="F88" i="1"/>
  <c r="L92" i="33"/>
  <c r="N88" i="1"/>
  <c r="E88" i="1"/>
  <c r="J88" i="1"/>
  <c r="C92" i="33"/>
  <c r="G92" i="33"/>
  <c r="H92" i="33"/>
  <c r="T88" i="1"/>
  <c r="F92" i="33"/>
  <c r="S88" i="1"/>
  <c r="I88" i="1"/>
  <c r="I92" i="33"/>
  <c r="O92" i="33"/>
  <c r="L88" i="1"/>
  <c r="E92" i="33"/>
  <c r="T91" i="33"/>
  <c r="P92" i="33"/>
  <c r="M92" i="33"/>
  <c r="P88" i="1"/>
  <c r="K88" i="1"/>
  <c r="O88" i="1"/>
  <c r="M88" i="1"/>
  <c r="K92" i="33"/>
  <c r="R88" i="1"/>
  <c r="D88" i="1"/>
  <c r="Q92" i="33"/>
  <c r="G88" i="1"/>
  <c r="N92" i="33"/>
  <c r="H88" i="1"/>
  <c r="J92" i="33"/>
  <c r="U88" i="1" l="1"/>
  <c r="A90" i="1"/>
  <c r="B89" i="1"/>
  <c r="B93" i="33"/>
  <c r="A94" i="33"/>
  <c r="R93" i="33"/>
  <c r="P89" i="1"/>
  <c r="G93" i="33"/>
  <c r="D89" i="1"/>
  <c r="N93" i="33"/>
  <c r="H89" i="1"/>
  <c r="E89" i="1"/>
  <c r="I93" i="33"/>
  <c r="S93" i="33"/>
  <c r="D93" i="33"/>
  <c r="M93" i="33"/>
  <c r="F89" i="1"/>
  <c r="O89" i="1"/>
  <c r="R89" i="1"/>
  <c r="H93" i="33"/>
  <c r="L89" i="1"/>
  <c r="T92" i="33"/>
  <c r="Q89" i="1"/>
  <c r="G89" i="1"/>
  <c r="J89" i="1"/>
  <c r="N89" i="1"/>
  <c r="L93" i="33"/>
  <c r="T89" i="1"/>
  <c r="E93" i="33"/>
  <c r="O93" i="33"/>
  <c r="I89" i="1"/>
  <c r="C89" i="1"/>
  <c r="F93" i="33"/>
  <c r="K89" i="1"/>
  <c r="J93" i="33"/>
  <c r="K93" i="33"/>
  <c r="M89" i="1"/>
  <c r="S89" i="1"/>
  <c r="C93" i="33"/>
  <c r="Q93" i="33"/>
  <c r="P93" i="33"/>
  <c r="U89" i="1" l="1"/>
  <c r="A91" i="1"/>
  <c r="B90" i="1"/>
  <c r="A95" i="33"/>
  <c r="B94" i="33"/>
  <c r="O90" i="1"/>
  <c r="I90" i="1"/>
  <c r="K90" i="1"/>
  <c r="Q90" i="1"/>
  <c r="J94" i="33"/>
  <c r="I94" i="33"/>
  <c r="L94" i="33"/>
  <c r="H94" i="33"/>
  <c r="R90" i="1"/>
  <c r="J90" i="1"/>
  <c r="P94" i="33"/>
  <c r="F94" i="33"/>
  <c r="S90" i="1"/>
  <c r="F90" i="1"/>
  <c r="Q94" i="33"/>
  <c r="M94" i="33"/>
  <c r="P90" i="1"/>
  <c r="C94" i="33"/>
  <c r="D90" i="1"/>
  <c r="N94" i="33"/>
  <c r="K94" i="33"/>
  <c r="R94" i="33"/>
  <c r="E90" i="1"/>
  <c r="G90" i="1"/>
  <c r="G94" i="33"/>
  <c r="E94" i="33"/>
  <c r="C90" i="1"/>
  <c r="T93" i="33"/>
  <c r="S94" i="33"/>
  <c r="H90" i="1"/>
  <c r="M90" i="1"/>
  <c r="T90" i="1"/>
  <c r="N90" i="1"/>
  <c r="L90" i="1"/>
  <c r="O94" i="33"/>
  <c r="D94" i="33"/>
  <c r="U90" i="1" l="1"/>
  <c r="B91" i="1"/>
  <c r="A92" i="1"/>
  <c r="A96" i="33"/>
  <c r="B95" i="33"/>
  <c r="R91" i="1"/>
  <c r="F91" i="1"/>
  <c r="R95" i="33"/>
  <c r="O91" i="1"/>
  <c r="S95" i="33"/>
  <c r="J95" i="33"/>
  <c r="D95" i="33"/>
  <c r="Q95" i="33"/>
  <c r="M91" i="1"/>
  <c r="F95" i="33"/>
  <c r="J91" i="1"/>
  <c r="N95" i="33"/>
  <c r="H95" i="33"/>
  <c r="P95" i="33"/>
  <c r="N91" i="1"/>
  <c r="Q91" i="1"/>
  <c r="G95" i="33"/>
  <c r="D91" i="1"/>
  <c r="O95" i="33"/>
  <c r="P91" i="1"/>
  <c r="C91" i="1"/>
  <c r="I95" i="33"/>
  <c r="E95" i="33"/>
  <c r="H91" i="1"/>
  <c r="E91" i="1"/>
  <c r="I91" i="1"/>
  <c r="T91" i="1"/>
  <c r="L95" i="33"/>
  <c r="M95" i="33"/>
  <c r="L91" i="1"/>
  <c r="C95" i="33"/>
  <c r="G91" i="1"/>
  <c r="K91" i="1"/>
  <c r="S91" i="1"/>
  <c r="K95" i="33"/>
  <c r="U91" i="1" l="1"/>
  <c r="B92" i="1"/>
  <c r="A93" i="1"/>
  <c r="A97" i="33"/>
  <c r="B96" i="33"/>
  <c r="I96" i="33"/>
  <c r="L96" i="33"/>
  <c r="Q92" i="1"/>
  <c r="N92" i="1"/>
  <c r="G92" i="1"/>
  <c r="O96" i="33"/>
  <c r="M92" i="1"/>
  <c r="E96" i="33"/>
  <c r="G96" i="33"/>
  <c r="M96" i="33"/>
  <c r="L92" i="1"/>
  <c r="J92" i="1"/>
  <c r="O92" i="1"/>
  <c r="F92" i="1"/>
  <c r="Q96" i="33"/>
  <c r="D92" i="1"/>
  <c r="T95" i="33"/>
  <c r="N96" i="33"/>
  <c r="H96" i="33"/>
  <c r="S92" i="1"/>
  <c r="P92" i="1"/>
  <c r="D96" i="33"/>
  <c r="S96" i="33"/>
  <c r="I92" i="1"/>
  <c r="E92" i="1"/>
  <c r="F96" i="33"/>
  <c r="R96" i="33"/>
  <c r="C96" i="33"/>
  <c r="P96" i="33"/>
  <c r="J96" i="33"/>
  <c r="H92" i="1"/>
  <c r="R92" i="1"/>
  <c r="C92" i="1"/>
  <c r="K96" i="33"/>
  <c r="K92" i="1"/>
  <c r="T94" i="33"/>
  <c r="B93" i="1" l="1"/>
  <c r="A94" i="1"/>
  <c r="B97" i="33"/>
  <c r="A98" i="33"/>
  <c r="Q93" i="1"/>
  <c r="D93" i="1"/>
  <c r="I93" i="1"/>
  <c r="M93" i="1"/>
  <c r="E93" i="1"/>
  <c r="M97" i="33"/>
  <c r="O97" i="33"/>
  <c r="H97" i="33"/>
  <c r="S93" i="1"/>
  <c r="S97" i="33"/>
  <c r="O93" i="1"/>
  <c r="R93" i="1"/>
  <c r="N93" i="1"/>
  <c r="F93" i="1"/>
  <c r="I97" i="33"/>
  <c r="G97" i="33"/>
  <c r="L93" i="1"/>
  <c r="K97" i="33"/>
  <c r="J97" i="33"/>
  <c r="E97" i="33"/>
  <c r="C93" i="1"/>
  <c r="T92" i="1"/>
  <c r="L97" i="33"/>
  <c r="K93" i="1"/>
  <c r="P97" i="33"/>
  <c r="D97" i="33"/>
  <c r="N97" i="33"/>
  <c r="Q97" i="33"/>
  <c r="C97" i="33"/>
  <c r="R97" i="33"/>
  <c r="H93" i="1"/>
  <c r="T96" i="33"/>
  <c r="J93" i="1"/>
  <c r="F97" i="33"/>
  <c r="U92" i="1" l="1"/>
  <c r="G93" i="1"/>
  <c r="T93" i="1"/>
  <c r="P93" i="1"/>
  <c r="U93" i="1" l="1"/>
  <c r="B94" i="1"/>
  <c r="A95" i="1"/>
  <c r="B98" i="33"/>
  <c r="A99" i="33"/>
  <c r="Q94" i="1"/>
  <c r="G98" i="33"/>
  <c r="H98" i="33"/>
  <c r="H94" i="1"/>
  <c r="N94" i="1"/>
  <c r="C98" i="33"/>
  <c r="E94" i="1"/>
  <c r="I94" i="1"/>
  <c r="L98" i="33"/>
  <c r="J94" i="1"/>
  <c r="Q98" i="33"/>
  <c r="T94" i="1"/>
  <c r="R98" i="33"/>
  <c r="O98" i="33"/>
  <c r="F94" i="1"/>
  <c r="L94" i="1"/>
  <c r="P98" i="33"/>
  <c r="D98" i="33"/>
  <c r="I98" i="33"/>
  <c r="P94" i="1"/>
  <c r="E98" i="33"/>
  <c r="C94" i="1"/>
  <c r="F98" i="33"/>
  <c r="S94" i="1"/>
  <c r="N98" i="33"/>
  <c r="K98" i="33"/>
  <c r="R94" i="1"/>
  <c r="M94" i="1"/>
  <c r="M98" i="33"/>
  <c r="J98" i="33"/>
  <c r="D94" i="1"/>
  <c r="G94" i="1"/>
  <c r="S98" i="33"/>
  <c r="O94" i="1"/>
  <c r="K94" i="1"/>
  <c r="U94" i="1" l="1"/>
  <c r="B95" i="1"/>
  <c r="A96" i="1"/>
  <c r="A100" i="33"/>
  <c r="B99" i="33"/>
  <c r="E95" i="1"/>
  <c r="N99" i="33"/>
  <c r="C95" i="1"/>
  <c r="J99" i="33"/>
  <c r="O95" i="1"/>
  <c r="L99" i="33"/>
  <c r="H99" i="33"/>
  <c r="S99" i="33"/>
  <c r="S95" i="1"/>
  <c r="Q95" i="1"/>
  <c r="O99" i="33"/>
  <c r="K99" i="33"/>
  <c r="D99" i="33"/>
  <c r="K95" i="1"/>
  <c r="P95" i="1"/>
  <c r="L95" i="1"/>
  <c r="D95" i="1"/>
  <c r="M95" i="1"/>
  <c r="G95" i="1"/>
  <c r="G99" i="33"/>
  <c r="I95" i="1"/>
  <c r="I99" i="33"/>
  <c r="F99" i="33"/>
  <c r="P99" i="33"/>
  <c r="T97" i="33"/>
  <c r="T98" i="33"/>
  <c r="J95" i="1"/>
  <c r="C99" i="33"/>
  <c r="H95" i="1"/>
  <c r="Q99" i="33"/>
  <c r="R99" i="33"/>
  <c r="E99" i="33"/>
  <c r="M99" i="33"/>
  <c r="R95" i="1"/>
  <c r="N95" i="1"/>
  <c r="F95" i="1"/>
  <c r="B96" i="1" l="1"/>
  <c r="A97" i="1"/>
  <c r="A101" i="33"/>
  <c r="B100" i="33"/>
  <c r="R96" i="1"/>
  <c r="K100" i="33"/>
  <c r="O96" i="1"/>
  <c r="R100" i="33"/>
  <c r="H100" i="33"/>
  <c r="L96" i="1"/>
  <c r="I100" i="33"/>
  <c r="Q96" i="1"/>
  <c r="T99" i="33"/>
  <c r="N100" i="33"/>
  <c r="P96" i="1"/>
  <c r="H96" i="1"/>
  <c r="O100" i="33"/>
  <c r="S100" i="33"/>
  <c r="M96" i="1"/>
  <c r="K96" i="1"/>
  <c r="C100" i="33"/>
  <c r="J100" i="33"/>
  <c r="F100" i="33"/>
  <c r="L100" i="33"/>
  <c r="M100" i="33"/>
  <c r="D96" i="1"/>
  <c r="E100" i="33"/>
  <c r="F96" i="1"/>
  <c r="Q100" i="33"/>
  <c r="D100" i="33"/>
  <c r="G100" i="33"/>
  <c r="P100" i="33"/>
  <c r="I96" i="1"/>
  <c r="N96" i="1"/>
  <c r="C96" i="1"/>
  <c r="T95" i="1"/>
  <c r="E96" i="1"/>
  <c r="J96" i="1"/>
  <c r="G96" i="1"/>
  <c r="S96" i="1"/>
  <c r="U95" i="1" l="1"/>
  <c r="T96" i="1"/>
  <c r="U96" i="1" l="1"/>
  <c r="A98" i="1"/>
  <c r="B97" i="1"/>
  <c r="B101" i="33"/>
  <c r="A102" i="33"/>
  <c r="D101" i="33"/>
  <c r="I97" i="1"/>
  <c r="O97" i="1"/>
  <c r="R101" i="33"/>
  <c r="T97" i="1"/>
  <c r="G97" i="1"/>
  <c r="S97" i="1"/>
  <c r="Q97" i="1"/>
  <c r="F97" i="1"/>
  <c r="K101" i="33"/>
  <c r="D97" i="1"/>
  <c r="N101" i="33"/>
  <c r="C101" i="33"/>
  <c r="J97" i="1"/>
  <c r="S101" i="33"/>
  <c r="K97" i="1"/>
  <c r="M97" i="1"/>
  <c r="O101" i="33"/>
  <c r="I101" i="33"/>
  <c r="H101" i="33"/>
  <c r="J101" i="33"/>
  <c r="M101" i="33"/>
  <c r="L101" i="33"/>
  <c r="L97" i="1"/>
  <c r="G101" i="33"/>
  <c r="N97" i="1"/>
  <c r="Q101" i="33"/>
  <c r="R97" i="1"/>
  <c r="P97" i="1"/>
  <c r="T100" i="33"/>
  <c r="H97" i="1"/>
  <c r="E101" i="33"/>
  <c r="F101" i="33"/>
  <c r="C97" i="1"/>
  <c r="E97" i="1"/>
  <c r="P101" i="33"/>
  <c r="U97" i="1" l="1"/>
  <c r="A99" i="1"/>
  <c r="B98" i="1"/>
  <c r="A103" i="33"/>
  <c r="B102" i="33"/>
  <c r="N98" i="1"/>
  <c r="Q98" i="1"/>
  <c r="S98" i="1"/>
  <c r="D102" i="33"/>
  <c r="C102" i="33"/>
  <c r="P98" i="1"/>
  <c r="P102" i="33"/>
  <c r="O102" i="33"/>
  <c r="O98" i="1"/>
  <c r="L102" i="33"/>
  <c r="M98" i="1"/>
  <c r="T98" i="1"/>
  <c r="I102" i="33"/>
  <c r="K98" i="1"/>
  <c r="J102" i="33"/>
  <c r="C98" i="1"/>
  <c r="G98" i="1"/>
  <c r="S102" i="33"/>
  <c r="I98" i="1"/>
  <c r="N102" i="33"/>
  <c r="D98" i="1"/>
  <c r="F98" i="1"/>
  <c r="Q102" i="33"/>
  <c r="L98" i="1"/>
  <c r="H102" i="33"/>
  <c r="F102" i="33"/>
  <c r="H98" i="1"/>
  <c r="G102" i="33"/>
  <c r="T101" i="33"/>
  <c r="M102" i="33"/>
  <c r="K102" i="33"/>
  <c r="E98" i="1"/>
  <c r="E102" i="33"/>
  <c r="R102" i="33"/>
  <c r="R98" i="1"/>
  <c r="J98" i="1"/>
  <c r="U98" i="1" l="1"/>
  <c r="B99" i="1"/>
  <c r="A100" i="1"/>
  <c r="A104" i="33"/>
  <c r="B103" i="33"/>
  <c r="G103" i="33"/>
  <c r="F103" i="33"/>
  <c r="E103" i="33"/>
  <c r="P99" i="1"/>
  <c r="J99" i="1"/>
  <c r="Q99" i="1"/>
  <c r="O103" i="33"/>
  <c r="E99" i="1"/>
  <c r="O99" i="1"/>
  <c r="S103" i="33"/>
  <c r="H103" i="33"/>
  <c r="C99" i="1"/>
  <c r="I103" i="33"/>
  <c r="R99" i="1"/>
  <c r="D99" i="1"/>
  <c r="C103" i="33"/>
  <c r="D103" i="33"/>
  <c r="L103" i="33"/>
  <c r="M103" i="33"/>
  <c r="S99" i="1"/>
  <c r="J103" i="33"/>
  <c r="K99" i="1"/>
  <c r="I99" i="1"/>
  <c r="N99" i="1"/>
  <c r="Q103" i="33"/>
  <c r="F99" i="1"/>
  <c r="N103" i="33"/>
  <c r="T102" i="33"/>
  <c r="H99" i="1"/>
  <c r="G99" i="1"/>
  <c r="L99" i="1"/>
  <c r="P103" i="33"/>
  <c r="M99" i="1"/>
  <c r="R103" i="33"/>
  <c r="T99" i="1"/>
  <c r="K103" i="33"/>
  <c r="U99" i="1" l="1"/>
  <c r="B100" i="1"/>
  <c r="A101" i="1"/>
  <c r="B104" i="33"/>
  <c r="A105" i="33"/>
  <c r="D104" i="33"/>
  <c r="Q104" i="33"/>
  <c r="G100" i="1"/>
  <c r="L104" i="33"/>
  <c r="M104" i="33"/>
  <c r="F100" i="1"/>
  <c r="N104" i="33"/>
  <c r="O100" i="1"/>
  <c r="R100" i="1"/>
  <c r="G104" i="33"/>
  <c r="J100" i="1"/>
  <c r="I104" i="33"/>
  <c r="I100" i="1"/>
  <c r="E104" i="33"/>
  <c r="K104" i="33"/>
  <c r="K100" i="1"/>
  <c r="O104" i="33"/>
  <c r="C104" i="33"/>
  <c r="Q100" i="1"/>
  <c r="S104" i="33"/>
  <c r="S100" i="1"/>
  <c r="C100" i="1"/>
  <c r="H100" i="1"/>
  <c r="J104" i="33"/>
  <c r="P100" i="1"/>
  <c r="T100" i="1"/>
  <c r="M100" i="1"/>
  <c r="R104" i="33"/>
  <c r="H104" i="33"/>
  <c r="E100" i="1"/>
  <c r="L100" i="1"/>
  <c r="N100" i="1"/>
  <c r="D100" i="1"/>
  <c r="P104" i="33"/>
  <c r="F104" i="33"/>
  <c r="U100" i="1" l="1"/>
  <c r="A102" i="1"/>
  <c r="B101" i="1"/>
  <c r="A106" i="33"/>
  <c r="B105" i="33"/>
  <c r="Q105" i="33"/>
  <c r="H101" i="1"/>
  <c r="H105" i="33"/>
  <c r="T101" i="1"/>
  <c r="E105" i="33"/>
  <c r="O101" i="1"/>
  <c r="E101" i="1"/>
  <c r="Q101" i="1"/>
  <c r="C105" i="33"/>
  <c r="C101" i="1"/>
  <c r="D101" i="1"/>
  <c r="J105" i="33"/>
  <c r="F105" i="33"/>
  <c r="R105" i="33"/>
  <c r="G105" i="33"/>
  <c r="D105" i="33"/>
  <c r="P101" i="1"/>
  <c r="P105" i="33"/>
  <c r="K101" i="1"/>
  <c r="T103" i="33"/>
  <c r="J101" i="1"/>
  <c r="S105" i="33"/>
  <c r="M105" i="33"/>
  <c r="K105" i="33"/>
  <c r="N101" i="1"/>
  <c r="T104" i="33"/>
  <c r="L105" i="33"/>
  <c r="O105" i="33"/>
  <c r="I101" i="1"/>
  <c r="L101" i="1"/>
  <c r="I105" i="33"/>
  <c r="F101" i="1"/>
  <c r="M101" i="1"/>
  <c r="R101" i="1"/>
  <c r="S101" i="1"/>
  <c r="G101" i="1"/>
  <c r="N105" i="33"/>
  <c r="U101" i="1" l="1"/>
  <c r="A103" i="1"/>
  <c r="B102" i="1"/>
  <c r="A107" i="33"/>
  <c r="B106" i="33"/>
  <c r="P106" i="33"/>
  <c r="S106" i="33"/>
  <c r="E102" i="1"/>
  <c r="H106" i="33"/>
  <c r="K102" i="1"/>
  <c r="J106" i="33"/>
  <c r="L102" i="1"/>
  <c r="Q106" i="33"/>
  <c r="C106" i="33"/>
  <c r="N102" i="1"/>
  <c r="T105" i="33"/>
  <c r="R106" i="33"/>
  <c r="J102" i="1"/>
  <c r="S102" i="1"/>
  <c r="H102" i="1"/>
  <c r="M106" i="33"/>
  <c r="N106" i="33"/>
  <c r="C102" i="1"/>
  <c r="M102" i="1"/>
  <c r="G102" i="1"/>
  <c r="R102" i="1"/>
  <c r="D106" i="33"/>
  <c r="Q102" i="1"/>
  <c r="L106" i="33"/>
  <c r="O102" i="1"/>
  <c r="F102" i="1"/>
  <c r="I102" i="1"/>
  <c r="O106" i="33"/>
  <c r="E106" i="33"/>
  <c r="K106" i="33"/>
  <c r="G106" i="33"/>
  <c r="I106" i="33"/>
  <c r="T102" i="1"/>
  <c r="P102" i="1"/>
  <c r="F106" i="33"/>
  <c r="D102" i="1"/>
  <c r="U102" i="1" l="1"/>
  <c r="A104" i="1"/>
  <c r="B103" i="1"/>
  <c r="A108" i="33"/>
  <c r="B107" i="33"/>
  <c r="E103" i="1"/>
  <c r="S107" i="33"/>
  <c r="M107" i="33"/>
  <c r="G103" i="1"/>
  <c r="O103" i="1"/>
  <c r="H107" i="33"/>
  <c r="H103" i="1"/>
  <c r="O107" i="33"/>
  <c r="N103" i="1"/>
  <c r="J103" i="1"/>
  <c r="P103" i="1"/>
  <c r="S103" i="1"/>
  <c r="F103" i="1"/>
  <c r="D107" i="33"/>
  <c r="T106" i="33"/>
  <c r="R107" i="33"/>
  <c r="K103" i="1"/>
  <c r="C107" i="33"/>
  <c r="G107" i="33"/>
  <c r="E107" i="33"/>
  <c r="L107" i="33"/>
  <c r="P107" i="33"/>
  <c r="C103" i="1"/>
  <c r="L103" i="1"/>
  <c r="M103" i="1"/>
  <c r="N107" i="33"/>
  <c r="I107" i="33"/>
  <c r="Q107" i="33"/>
  <c r="Q103" i="1"/>
  <c r="I103" i="1"/>
  <c r="J107" i="33"/>
  <c r="F107" i="33"/>
  <c r="R103" i="1"/>
  <c r="D103" i="1"/>
  <c r="K107" i="33"/>
  <c r="T103" i="1"/>
  <c r="U103" i="1" l="1"/>
  <c r="B104" i="1"/>
  <c r="A105" i="1"/>
  <c r="B108" i="33"/>
  <c r="A109" i="33"/>
  <c r="Q108" i="33"/>
  <c r="R108" i="33"/>
  <c r="I108" i="33"/>
  <c r="S108" i="33"/>
  <c r="H104" i="1"/>
  <c r="T107" i="33"/>
  <c r="G104" i="1"/>
  <c r="O108" i="33"/>
  <c r="F104" i="1"/>
  <c r="M104" i="1"/>
  <c r="G108" i="33"/>
  <c r="H108" i="33"/>
  <c r="J108" i="33"/>
  <c r="N108" i="33"/>
  <c r="P108" i="33"/>
  <c r="S104" i="1"/>
  <c r="F108" i="33"/>
  <c r="P104" i="1"/>
  <c r="J104" i="1"/>
  <c r="K108" i="33"/>
  <c r="C108" i="33"/>
  <c r="O104" i="1"/>
  <c r="C104" i="1"/>
  <c r="L104" i="1"/>
  <c r="D108" i="33"/>
  <c r="K104" i="1"/>
  <c r="R104" i="1"/>
  <c r="N104" i="1"/>
  <c r="M108" i="33"/>
  <c r="Q104" i="1"/>
  <c r="L108" i="33"/>
  <c r="D104" i="1"/>
  <c r="E104" i="1"/>
  <c r="T104" i="1"/>
  <c r="E108" i="33"/>
  <c r="I104" i="1"/>
  <c r="U104" i="1" l="1"/>
  <c r="A106" i="1"/>
  <c r="B105" i="1"/>
  <c r="B109" i="33"/>
  <c r="A110" i="33"/>
  <c r="G109" i="33"/>
  <c r="D109" i="33"/>
  <c r="Q105" i="1"/>
  <c r="L105" i="1"/>
  <c r="Q109" i="33"/>
  <c r="P105" i="1"/>
  <c r="P109" i="33"/>
  <c r="E105" i="1"/>
  <c r="L109" i="33"/>
  <c r="J105" i="1"/>
  <c r="H105" i="1"/>
  <c r="R105" i="1"/>
  <c r="T105" i="1"/>
  <c r="N109" i="33"/>
  <c r="J109" i="33"/>
  <c r="E109" i="33"/>
  <c r="O109" i="33"/>
  <c r="T108" i="33"/>
  <c r="S105" i="1"/>
  <c r="K105" i="1"/>
  <c r="G105" i="1"/>
  <c r="O105" i="1"/>
  <c r="C109" i="33"/>
  <c r="F105" i="1"/>
  <c r="N105" i="1"/>
  <c r="D105" i="1"/>
  <c r="I109" i="33"/>
  <c r="K109" i="33"/>
  <c r="H109" i="33"/>
  <c r="M109" i="33"/>
  <c r="M105" i="1"/>
  <c r="F109" i="33"/>
  <c r="R109" i="33"/>
  <c r="C105" i="1"/>
  <c r="S109" i="33"/>
  <c r="I105" i="1"/>
  <c r="U105" i="1" l="1"/>
  <c r="A107" i="1"/>
  <c r="B106" i="1"/>
  <c r="A111" i="33"/>
  <c r="B110" i="33"/>
  <c r="T109" i="33"/>
  <c r="I106" i="1"/>
  <c r="G106" i="1"/>
  <c r="N106" i="1"/>
  <c r="P106" i="1"/>
  <c r="R106" i="1"/>
  <c r="C106" i="1"/>
  <c r="K110" i="33"/>
  <c r="S106" i="1"/>
  <c r="L110" i="33"/>
  <c r="K106" i="1"/>
  <c r="H106" i="1"/>
  <c r="D106" i="1"/>
  <c r="Q110" i="33"/>
  <c r="O106" i="1"/>
  <c r="C110" i="33"/>
  <c r="E110" i="33"/>
  <c r="F106" i="1"/>
  <c r="J106" i="1"/>
  <c r="Q106" i="1"/>
  <c r="M106" i="1"/>
  <c r="L106" i="1"/>
  <c r="D110" i="33"/>
  <c r="I110" i="33"/>
  <c r="P110" i="33"/>
  <c r="H110" i="33"/>
  <c r="O110" i="33"/>
  <c r="N110" i="33"/>
  <c r="G110" i="33"/>
  <c r="E106" i="1"/>
  <c r="S110" i="33"/>
  <c r="M110" i="33"/>
  <c r="T106" i="1"/>
  <c r="F110" i="33"/>
  <c r="R110" i="33"/>
  <c r="J110" i="33"/>
  <c r="U106" i="1" l="1"/>
  <c r="B107" i="1"/>
  <c r="A108" i="1"/>
  <c r="B111" i="33"/>
  <c r="A112" i="33"/>
  <c r="Q111" i="33"/>
  <c r="O107" i="1"/>
  <c r="S107" i="1"/>
  <c r="K111" i="33"/>
  <c r="M107" i="1"/>
  <c r="T110" i="33"/>
  <c r="R107" i="1"/>
  <c r="N107" i="1"/>
  <c r="E111" i="33"/>
  <c r="R111" i="33"/>
  <c r="N111" i="33"/>
  <c r="G107" i="1"/>
  <c r="L111" i="33"/>
  <c r="I111" i="33"/>
  <c r="D107" i="1"/>
  <c r="M111" i="33"/>
  <c r="C111" i="33"/>
  <c r="I107" i="1"/>
  <c r="K107" i="1"/>
  <c r="F111" i="33"/>
  <c r="P111" i="33"/>
  <c r="J107" i="1"/>
  <c r="J111" i="33"/>
  <c r="O111" i="33"/>
  <c r="D111" i="33"/>
  <c r="T107" i="1"/>
  <c r="G111" i="33"/>
  <c r="H111" i="33"/>
  <c r="F107" i="1"/>
  <c r="C107" i="1"/>
  <c r="Q107" i="1"/>
  <c r="P107" i="1"/>
  <c r="H107" i="1"/>
  <c r="S111" i="33"/>
  <c r="L107" i="1"/>
  <c r="E107" i="1"/>
  <c r="U107" i="1" l="1"/>
  <c r="B108" i="1"/>
  <c r="A109" i="1"/>
  <c r="B112" i="33"/>
  <c r="A113" i="33"/>
  <c r="O108" i="1"/>
  <c r="G108" i="1"/>
  <c r="E108" i="1"/>
  <c r="J108" i="1"/>
  <c r="R112" i="33"/>
  <c r="R108" i="1"/>
  <c r="F112" i="33"/>
  <c r="D112" i="33"/>
  <c r="J112" i="33"/>
  <c r="M112" i="33"/>
  <c r="S108" i="1"/>
  <c r="I112" i="33"/>
  <c r="T111" i="33"/>
  <c r="Q112" i="33"/>
  <c r="S112" i="33"/>
  <c r="F108" i="1"/>
  <c r="P112" i="33"/>
  <c r="O112" i="33"/>
  <c r="H108" i="1"/>
  <c r="N108" i="1"/>
  <c r="G112" i="33"/>
  <c r="P108" i="1"/>
  <c r="I108" i="1"/>
  <c r="E112" i="33"/>
  <c r="Q108" i="1"/>
  <c r="K108" i="1"/>
  <c r="T108" i="1"/>
  <c r="N112" i="33"/>
  <c r="L112" i="33"/>
  <c r="M108" i="1"/>
  <c r="H112" i="33"/>
  <c r="L108" i="1"/>
  <c r="C108" i="1"/>
  <c r="D108" i="1"/>
  <c r="K112" i="33"/>
  <c r="C112" i="33"/>
  <c r="U108" i="1" l="1"/>
  <c r="B109" i="1"/>
  <c r="A110" i="1"/>
  <c r="A114" i="33"/>
  <c r="B113" i="33"/>
  <c r="K109" i="1"/>
  <c r="D109" i="1"/>
  <c r="N113" i="33"/>
  <c r="T112" i="33"/>
  <c r="I113" i="33"/>
  <c r="L109" i="1"/>
  <c r="J109" i="1"/>
  <c r="P109" i="1"/>
  <c r="H109" i="1"/>
  <c r="E109" i="1"/>
  <c r="O113" i="33"/>
  <c r="M113" i="33"/>
  <c r="H113" i="33"/>
  <c r="T109" i="1"/>
  <c r="J113" i="33"/>
  <c r="P113" i="33"/>
  <c r="R113" i="33"/>
  <c r="O109" i="1"/>
  <c r="I109" i="1"/>
  <c r="S109" i="1"/>
  <c r="M109" i="1"/>
  <c r="G109" i="1"/>
  <c r="C109" i="1"/>
  <c r="Q113" i="33"/>
  <c r="D113" i="33"/>
  <c r="L113" i="33"/>
  <c r="F109" i="1"/>
  <c r="C113" i="33"/>
  <c r="E113" i="33"/>
  <c r="N109" i="1"/>
  <c r="G113" i="33"/>
  <c r="R109" i="1"/>
  <c r="Q109" i="1"/>
  <c r="S113" i="33"/>
  <c r="K113" i="33"/>
  <c r="F113" i="33"/>
  <c r="U109" i="1" l="1"/>
  <c r="A111" i="1"/>
  <c r="B110" i="1"/>
  <c r="A115" i="33"/>
  <c r="B114" i="33"/>
  <c r="K110" i="1"/>
  <c r="O110" i="1"/>
  <c r="F114" i="33"/>
  <c r="G110" i="1"/>
  <c r="O114" i="33"/>
  <c r="R110" i="1"/>
  <c r="S114" i="33"/>
  <c r="P110" i="1"/>
  <c r="R114" i="33"/>
  <c r="H110" i="1"/>
  <c r="L114" i="33"/>
  <c r="N114" i="33"/>
  <c r="D110" i="1"/>
  <c r="H114" i="33"/>
  <c r="J114" i="33"/>
  <c r="S110" i="1"/>
  <c r="I110" i="1"/>
  <c r="F110" i="1"/>
  <c r="Q114" i="33"/>
  <c r="E114" i="33"/>
  <c r="M110" i="1"/>
  <c r="N110" i="1"/>
  <c r="Q110" i="1"/>
  <c r="T113" i="33"/>
  <c r="J110" i="1"/>
  <c r="G114" i="33"/>
  <c r="C110" i="1"/>
  <c r="T110" i="1"/>
  <c r="I114" i="33"/>
  <c r="E110" i="1"/>
  <c r="K114" i="33"/>
  <c r="C114" i="33"/>
  <c r="P114" i="33"/>
  <c r="L110" i="1"/>
  <c r="M114" i="33"/>
  <c r="D114" i="33"/>
  <c r="U110" i="1" l="1"/>
  <c r="A112" i="1"/>
  <c r="B111" i="1"/>
  <c r="A116" i="33"/>
  <c r="B115" i="33"/>
  <c r="T114" i="33"/>
  <c r="G115" i="33"/>
  <c r="E115" i="33"/>
  <c r="C111" i="1"/>
  <c r="L115" i="33"/>
  <c r="N115" i="33"/>
  <c r="J115" i="33"/>
  <c r="S115" i="33"/>
  <c r="D115" i="33"/>
  <c r="H111" i="1"/>
  <c r="I111" i="1"/>
  <c r="K115" i="33"/>
  <c r="Q111" i="1"/>
  <c r="L111" i="1"/>
  <c r="R111" i="1"/>
  <c r="M115" i="33"/>
  <c r="T111" i="1"/>
  <c r="C115" i="33"/>
  <c r="D111" i="1"/>
  <c r="O111" i="1"/>
  <c r="H115" i="33"/>
  <c r="R115" i="33"/>
  <c r="I115" i="33"/>
  <c r="J111" i="1"/>
  <c r="P111" i="1"/>
  <c r="K111" i="1"/>
  <c r="S111" i="1"/>
  <c r="F115" i="33"/>
  <c r="P115" i="33"/>
  <c r="E111" i="1"/>
  <c r="F111" i="1"/>
  <c r="Q115" i="33"/>
  <c r="N111" i="1"/>
  <c r="O115" i="33"/>
  <c r="G111" i="1"/>
  <c r="M111" i="1"/>
  <c r="U111" i="1" l="1"/>
  <c r="B112" i="1"/>
  <c r="A113" i="1"/>
  <c r="B116" i="33"/>
  <c r="A117" i="33"/>
  <c r="Q112" i="1"/>
  <c r="N116" i="33"/>
  <c r="L112" i="1"/>
  <c r="R112" i="1"/>
  <c r="C112" i="1"/>
  <c r="M116" i="33"/>
  <c r="K112" i="1"/>
  <c r="J112" i="1"/>
  <c r="D112" i="1"/>
  <c r="G112" i="1"/>
  <c r="G116" i="33"/>
  <c r="S112" i="1"/>
  <c r="P116" i="33"/>
  <c r="D116" i="33"/>
  <c r="S116" i="33"/>
  <c r="T112" i="1"/>
  <c r="I112" i="1"/>
  <c r="J116" i="33"/>
  <c r="I116" i="33"/>
  <c r="Q116" i="33"/>
  <c r="E116" i="33"/>
  <c r="O112" i="1"/>
  <c r="L116" i="33"/>
  <c r="H112" i="1"/>
  <c r="F112" i="1"/>
  <c r="E112" i="1"/>
  <c r="N112" i="1"/>
  <c r="R116" i="33"/>
  <c r="O116" i="33"/>
  <c r="K116" i="33"/>
  <c r="P112" i="1"/>
  <c r="H116" i="33"/>
  <c r="C116" i="33"/>
  <c r="F116" i="33"/>
  <c r="M112" i="1"/>
  <c r="U112" i="1" l="1"/>
  <c r="B113" i="1"/>
  <c r="A114" i="1"/>
  <c r="A118" i="33"/>
  <c r="B117" i="33"/>
  <c r="H113" i="1"/>
  <c r="D117" i="33"/>
  <c r="O117" i="33"/>
  <c r="S117" i="33"/>
  <c r="P113" i="1"/>
  <c r="N117" i="33"/>
  <c r="L113" i="1"/>
  <c r="I117" i="33"/>
  <c r="E117" i="33"/>
  <c r="P117" i="33"/>
  <c r="G117" i="33"/>
  <c r="O113" i="1"/>
  <c r="G113" i="1"/>
  <c r="E113" i="1"/>
  <c r="T113" i="1"/>
  <c r="C117" i="33"/>
  <c r="N113" i="1"/>
  <c r="Q113" i="1"/>
  <c r="H117" i="33"/>
  <c r="F113" i="1"/>
  <c r="J117" i="33"/>
  <c r="J113" i="1"/>
  <c r="F117" i="33"/>
  <c r="L117" i="33"/>
  <c r="K117" i="33"/>
  <c r="R117" i="33"/>
  <c r="T115" i="33"/>
  <c r="M113" i="1"/>
  <c r="S113" i="1"/>
  <c r="M117" i="33"/>
  <c r="D113" i="1"/>
  <c r="C113" i="1"/>
  <c r="I113" i="1"/>
  <c r="K113" i="1"/>
  <c r="T116" i="33"/>
  <c r="R113" i="1"/>
  <c r="Q117" i="33"/>
  <c r="U113" i="1" l="1"/>
  <c r="A115" i="1"/>
  <c r="B114" i="1"/>
  <c r="A119" i="33"/>
  <c r="B118" i="33"/>
  <c r="G118" i="33"/>
  <c r="G114" i="1"/>
  <c r="K114" i="1"/>
  <c r="L114" i="1"/>
  <c r="M114" i="1"/>
  <c r="K118" i="33"/>
  <c r="S114" i="1"/>
  <c r="D118" i="33"/>
  <c r="R114" i="1"/>
  <c r="I118" i="33"/>
  <c r="R118" i="33"/>
  <c r="J114" i="1"/>
  <c r="J118" i="33"/>
  <c r="T114" i="1"/>
  <c r="L118" i="33"/>
  <c r="N114" i="1"/>
  <c r="S118" i="33"/>
  <c r="E118" i="33"/>
  <c r="P118" i="33"/>
  <c r="Q118" i="33"/>
  <c r="C118" i="33"/>
  <c r="E114" i="1"/>
  <c r="N118" i="33"/>
  <c r="D114" i="1"/>
  <c r="M118" i="33"/>
  <c r="C114" i="1"/>
  <c r="I114" i="1"/>
  <c r="H118" i="33"/>
  <c r="O118" i="33"/>
  <c r="O114" i="1"/>
  <c r="Q114" i="1"/>
  <c r="F118" i="33"/>
  <c r="P114" i="1"/>
  <c r="H114" i="1"/>
  <c r="F114" i="1"/>
  <c r="U114" i="1" l="1"/>
  <c r="B115" i="1"/>
  <c r="A116" i="1"/>
  <c r="B119" i="33"/>
  <c r="A120" i="33"/>
  <c r="D115" i="1"/>
  <c r="J115" i="1"/>
  <c r="E119" i="33"/>
  <c r="N119" i="33"/>
  <c r="R119" i="33"/>
  <c r="E115" i="1"/>
  <c r="C115" i="1"/>
  <c r="J119" i="33"/>
  <c r="H115" i="1"/>
  <c r="T117" i="33"/>
  <c r="S115" i="1"/>
  <c r="Q115" i="1"/>
  <c r="K115" i="1"/>
  <c r="T118" i="33"/>
  <c r="G115" i="1"/>
  <c r="P119" i="33"/>
  <c r="O119" i="33"/>
  <c r="F119" i="33"/>
  <c r="D119" i="33"/>
  <c r="L119" i="33"/>
  <c r="I115" i="1"/>
  <c r="P115" i="1"/>
  <c r="M119" i="33"/>
  <c r="K119" i="33"/>
  <c r="H119" i="33"/>
  <c r="T115" i="1"/>
  <c r="Q119" i="33"/>
  <c r="I119" i="33"/>
  <c r="O115" i="1"/>
  <c r="S119" i="33"/>
  <c r="M115" i="1"/>
  <c r="G119" i="33"/>
  <c r="N115" i="1"/>
  <c r="C119" i="33"/>
  <c r="L115" i="1"/>
  <c r="R115" i="1"/>
  <c r="F115" i="1"/>
  <c r="U115" i="1" l="1"/>
  <c r="B116" i="1"/>
  <c r="A117" i="1"/>
  <c r="B120" i="33"/>
  <c r="A121" i="33"/>
  <c r="R120" i="33"/>
  <c r="I120" i="33"/>
  <c r="M116" i="1"/>
  <c r="H116" i="1"/>
  <c r="G116" i="1"/>
  <c r="C116" i="1"/>
  <c r="S116" i="1"/>
  <c r="F120" i="33"/>
  <c r="E116" i="1"/>
  <c r="D120" i="33"/>
  <c r="J120" i="33"/>
  <c r="D116" i="1"/>
  <c r="P120" i="33"/>
  <c r="O120" i="33"/>
  <c r="P116" i="1"/>
  <c r="T116" i="1"/>
  <c r="I116" i="1"/>
  <c r="K120" i="33"/>
  <c r="R116" i="1"/>
  <c r="N120" i="33"/>
  <c r="F116" i="1"/>
  <c r="G120" i="33"/>
  <c r="Q116" i="1"/>
  <c r="C120" i="33"/>
  <c r="H120" i="33"/>
  <c r="K116" i="1"/>
  <c r="L120" i="33"/>
  <c r="Q120" i="33"/>
  <c r="N116" i="1"/>
  <c r="T119" i="33"/>
  <c r="J116" i="1"/>
  <c r="O116" i="1"/>
  <c r="L116" i="1"/>
  <c r="M120" i="33"/>
  <c r="S120" i="33"/>
  <c r="E120" i="33"/>
  <c r="U116" i="1" l="1"/>
  <c r="A118" i="1"/>
  <c r="B117" i="1"/>
  <c r="B121" i="33"/>
  <c r="A122" i="33"/>
  <c r="R121" i="33"/>
  <c r="P117" i="1"/>
  <c r="O117" i="1"/>
  <c r="G117" i="1"/>
  <c r="F121" i="33"/>
  <c r="O121" i="33"/>
  <c r="K121" i="33"/>
  <c r="R117" i="1"/>
  <c r="J117" i="1"/>
  <c r="Q117" i="1"/>
  <c r="Q121" i="33"/>
  <c r="T117" i="1"/>
  <c r="E121" i="33"/>
  <c r="K117" i="1"/>
  <c r="G121" i="33"/>
  <c r="T120" i="33"/>
  <c r="M121" i="33"/>
  <c r="D117" i="1"/>
  <c r="D121" i="33"/>
  <c r="S117" i="1"/>
  <c r="H117" i="1"/>
  <c r="L121" i="33"/>
  <c r="C117" i="1"/>
  <c r="L117" i="1"/>
  <c r="I121" i="33"/>
  <c r="F117" i="1"/>
  <c r="I117" i="1"/>
  <c r="S121" i="33"/>
  <c r="N117" i="1"/>
  <c r="C121" i="33"/>
  <c r="M117" i="1"/>
  <c r="P121" i="33"/>
  <c r="N121" i="33"/>
  <c r="E117" i="1"/>
  <c r="H121" i="33"/>
  <c r="J121" i="33"/>
  <c r="U117" i="1" l="1"/>
  <c r="A119" i="1"/>
  <c r="B118" i="1"/>
  <c r="A123" i="33"/>
  <c r="B122" i="33"/>
  <c r="C122" i="33"/>
  <c r="L122" i="33"/>
  <c r="I122" i="33"/>
  <c r="L118" i="1"/>
  <c r="E118" i="1"/>
  <c r="N118" i="1"/>
  <c r="H118" i="1"/>
  <c r="T121" i="33"/>
  <c r="Q118" i="1"/>
  <c r="O118" i="1"/>
  <c r="D118" i="1"/>
  <c r="O122" i="33"/>
  <c r="C118" i="1"/>
  <c r="E122" i="33"/>
  <c r="J118" i="1"/>
  <c r="P118" i="1"/>
  <c r="Q122" i="33"/>
  <c r="R122" i="33"/>
  <c r="J122" i="33"/>
  <c r="D122" i="33"/>
  <c r="M118" i="1"/>
  <c r="F122" i="33"/>
  <c r="F118" i="1"/>
  <c r="H122" i="33"/>
  <c r="K122" i="33"/>
  <c r="G118" i="1"/>
  <c r="G122" i="33"/>
  <c r="P122" i="33"/>
  <c r="S118" i="1"/>
  <c r="M122" i="33"/>
  <c r="I118" i="1"/>
  <c r="T118" i="1"/>
  <c r="N122" i="33"/>
  <c r="S122" i="33"/>
  <c r="R118" i="1"/>
  <c r="K118" i="1"/>
  <c r="U118" i="1" l="1"/>
  <c r="B119" i="1"/>
  <c r="A120" i="1"/>
  <c r="A124" i="33"/>
  <c r="B123" i="33"/>
  <c r="J119" i="1"/>
  <c r="L123" i="33"/>
  <c r="N119" i="1"/>
  <c r="F119" i="1"/>
  <c r="J123" i="33"/>
  <c r="E119" i="1"/>
  <c r="K119" i="1"/>
  <c r="O123" i="33"/>
  <c r="D119" i="1"/>
  <c r="E123" i="33"/>
  <c r="C123" i="33"/>
  <c r="N123" i="33"/>
  <c r="M123" i="33"/>
  <c r="R123" i="33"/>
  <c r="R119" i="1"/>
  <c r="G123" i="33"/>
  <c r="D123" i="33"/>
  <c r="M119" i="1"/>
  <c r="H123" i="33"/>
  <c r="O119" i="1"/>
  <c r="T122" i="33"/>
  <c r="I123" i="33"/>
  <c r="T119" i="1"/>
  <c r="K123" i="33"/>
  <c r="I119" i="1"/>
  <c r="S119" i="1"/>
  <c r="Q123" i="33"/>
  <c r="P119" i="1"/>
  <c r="G119" i="1"/>
  <c r="S123" i="33"/>
  <c r="F123" i="33"/>
  <c r="C119" i="1"/>
  <c r="P123" i="33"/>
  <c r="Q119" i="1"/>
  <c r="H119" i="1"/>
  <c r="L119" i="1"/>
  <c r="U119" i="1" l="1"/>
  <c r="B120" i="1"/>
  <c r="A121" i="1"/>
  <c r="B124" i="33"/>
  <c r="A125" i="33"/>
  <c r="D124" i="33"/>
  <c r="J124" i="33"/>
  <c r="O120" i="1"/>
  <c r="F124" i="33"/>
  <c r="L120" i="1"/>
  <c r="J120" i="1"/>
  <c r="M120" i="1"/>
  <c r="Q124" i="33"/>
  <c r="D120" i="1"/>
  <c r="N120" i="1"/>
  <c r="N124" i="33"/>
  <c r="O124" i="33"/>
  <c r="S120" i="1"/>
  <c r="E124" i="33"/>
  <c r="R124" i="33"/>
  <c r="E120" i="1"/>
  <c r="G120" i="1"/>
  <c r="M124" i="33"/>
  <c r="F120" i="1"/>
  <c r="K120" i="1"/>
  <c r="G124" i="33"/>
  <c r="S124" i="33"/>
  <c r="K124" i="33"/>
  <c r="R120" i="1"/>
  <c r="Q120" i="1"/>
  <c r="P124" i="33"/>
  <c r="I124" i="33"/>
  <c r="L124" i="33"/>
  <c r="I120" i="1"/>
  <c r="C124" i="33"/>
  <c r="H120" i="1"/>
  <c r="H124" i="33"/>
  <c r="T120" i="1"/>
  <c r="C120" i="1"/>
  <c r="P120" i="1"/>
  <c r="U120" i="1" l="1"/>
  <c r="A122" i="1"/>
  <c r="B121" i="1"/>
  <c r="B125" i="33"/>
  <c r="A126" i="33"/>
  <c r="M121" i="1"/>
  <c r="R125" i="33"/>
  <c r="P121" i="1"/>
  <c r="Q121" i="1"/>
  <c r="S125" i="33"/>
  <c r="E125" i="33"/>
  <c r="C121" i="1"/>
  <c r="G121" i="1"/>
  <c r="I121" i="1"/>
  <c r="C125" i="33"/>
  <c r="K121" i="1"/>
  <c r="D121" i="1"/>
  <c r="N125" i="33"/>
  <c r="H121" i="1"/>
  <c r="G125" i="33"/>
  <c r="J121" i="1"/>
  <c r="P125" i="33"/>
  <c r="L121" i="1"/>
  <c r="T124" i="33"/>
  <c r="D125" i="33"/>
  <c r="L125" i="33"/>
  <c r="F125" i="33"/>
  <c r="N121" i="1"/>
  <c r="M125" i="33"/>
  <c r="K125" i="33"/>
  <c r="F121" i="1"/>
  <c r="R121" i="1"/>
  <c r="T123" i="33"/>
  <c r="H125" i="33"/>
  <c r="E121" i="1"/>
  <c r="S121" i="1"/>
  <c r="Q125" i="33"/>
  <c r="T121" i="1"/>
  <c r="I125" i="33"/>
  <c r="O121" i="1"/>
  <c r="J125" i="33"/>
  <c r="O125" i="33"/>
  <c r="U121" i="1" l="1"/>
  <c r="A123" i="1"/>
  <c r="B122" i="1"/>
  <c r="A127" i="33"/>
  <c r="B126" i="33"/>
  <c r="C126" i="33"/>
  <c r="I122" i="1"/>
  <c r="T125" i="33"/>
  <c r="G126" i="33"/>
  <c r="I126" i="33"/>
  <c r="L126" i="33"/>
  <c r="K126" i="33"/>
  <c r="P126" i="33"/>
  <c r="P122" i="1"/>
  <c r="H122" i="1"/>
  <c r="Q122" i="1"/>
  <c r="J126" i="33"/>
  <c r="F122" i="1"/>
  <c r="F126" i="33"/>
  <c r="N126" i="33"/>
  <c r="E126" i="33"/>
  <c r="J122" i="1"/>
  <c r="T122" i="1"/>
  <c r="C122" i="1"/>
  <c r="G122" i="1"/>
  <c r="K122" i="1"/>
  <c r="L122" i="1"/>
  <c r="H126" i="33"/>
  <c r="M122" i="1"/>
  <c r="O126" i="33"/>
  <c r="S122" i="1"/>
  <c r="O122" i="1"/>
  <c r="N122" i="1"/>
  <c r="R126" i="33"/>
  <c r="M126" i="33"/>
  <c r="D122" i="1"/>
  <c r="R122" i="1"/>
  <c r="E122" i="1"/>
  <c r="D126" i="33"/>
  <c r="S126" i="33"/>
  <c r="Q126" i="33"/>
  <c r="U122" i="1" l="1"/>
  <c r="B123" i="1"/>
  <c r="A124" i="1"/>
  <c r="B127" i="33"/>
  <c r="A128" i="33"/>
  <c r="J123" i="1"/>
  <c r="Q123" i="1"/>
  <c r="D127" i="33"/>
  <c r="N127" i="33"/>
  <c r="C127" i="33"/>
  <c r="P127" i="33"/>
  <c r="L127" i="33"/>
  <c r="P123" i="1"/>
  <c r="G123" i="1"/>
  <c r="T123" i="1"/>
  <c r="O123" i="1"/>
  <c r="E127" i="33"/>
  <c r="R127" i="33"/>
  <c r="C123" i="1"/>
  <c r="E123" i="1"/>
  <c r="I123" i="1"/>
  <c r="F127" i="33"/>
  <c r="H127" i="33"/>
  <c r="T126" i="33"/>
  <c r="M123" i="1"/>
  <c r="K123" i="1"/>
  <c r="R123" i="1"/>
  <c r="M127" i="33"/>
  <c r="H123" i="1"/>
  <c r="G127" i="33"/>
  <c r="I127" i="33"/>
  <c r="N123" i="1"/>
  <c r="L123" i="1"/>
  <c r="K127" i="33"/>
  <c r="S127" i="33"/>
  <c r="F123" i="1"/>
  <c r="D123" i="1"/>
  <c r="J127" i="33"/>
  <c r="Q127" i="33"/>
  <c r="S123" i="1"/>
  <c r="O127" i="33"/>
  <c r="U123" i="1" l="1"/>
  <c r="B124" i="1"/>
  <c r="A125" i="1"/>
  <c r="B128" i="33"/>
  <c r="A129" i="33"/>
  <c r="D128" i="33"/>
  <c r="O124" i="1"/>
  <c r="R128" i="33"/>
  <c r="K124" i="1"/>
  <c r="H124" i="1"/>
  <c r="I124" i="1"/>
  <c r="M128" i="33"/>
  <c r="I128" i="33"/>
  <c r="J128" i="33"/>
  <c r="N128" i="33"/>
  <c r="L124" i="1"/>
  <c r="H128" i="33"/>
  <c r="F128" i="33"/>
  <c r="L128" i="33"/>
  <c r="N124" i="1"/>
  <c r="F124" i="1"/>
  <c r="M124" i="1"/>
  <c r="D124" i="1"/>
  <c r="T124" i="1"/>
  <c r="Q124" i="1"/>
  <c r="O128" i="33"/>
  <c r="G124" i="1"/>
  <c r="E124" i="1"/>
  <c r="J124" i="1"/>
  <c r="S128" i="33"/>
  <c r="G128" i="33"/>
  <c r="P124" i="1"/>
  <c r="R124" i="1"/>
  <c r="K128" i="33"/>
  <c r="S124" i="1"/>
  <c r="Q128" i="33"/>
  <c r="T127" i="33"/>
  <c r="C124" i="1"/>
  <c r="C128" i="33"/>
  <c r="P128" i="33"/>
  <c r="E128" i="33"/>
  <c r="U124" i="1" l="1"/>
  <c r="B125" i="1"/>
  <c r="A126" i="1"/>
  <c r="B129" i="33"/>
  <c r="A130" i="33"/>
  <c r="T125" i="1"/>
  <c r="R125" i="1"/>
  <c r="S125" i="1"/>
  <c r="C125" i="1"/>
  <c r="O129" i="33"/>
  <c r="J129" i="33"/>
  <c r="E129" i="33"/>
  <c r="D129" i="33"/>
  <c r="I129" i="33"/>
  <c r="S129" i="33"/>
  <c r="N125" i="1"/>
  <c r="C129" i="33"/>
  <c r="N129" i="33"/>
  <c r="M125" i="1"/>
  <c r="K125" i="1"/>
  <c r="O125" i="1"/>
  <c r="E125" i="1"/>
  <c r="L125" i="1"/>
  <c r="F125" i="1"/>
  <c r="M129" i="33"/>
  <c r="R129" i="33"/>
  <c r="Q125" i="1"/>
  <c r="F129" i="33"/>
  <c r="P129" i="33"/>
  <c r="H125" i="1"/>
  <c r="I125" i="1"/>
  <c r="G129" i="33"/>
  <c r="D125" i="1"/>
  <c r="K129" i="33"/>
  <c r="L129" i="33"/>
  <c r="Q129" i="33"/>
  <c r="H129" i="33"/>
  <c r="G125" i="1"/>
  <c r="P125" i="1"/>
  <c r="J125" i="1"/>
  <c r="U125" i="1" l="1"/>
  <c r="A127" i="1"/>
  <c r="B126" i="1"/>
  <c r="A131" i="33"/>
  <c r="B130" i="33"/>
  <c r="G130" i="33"/>
  <c r="P126" i="1"/>
  <c r="E130" i="33"/>
  <c r="O126" i="1"/>
  <c r="E126" i="1"/>
  <c r="N126" i="1"/>
  <c r="S130" i="33"/>
  <c r="G126" i="1"/>
  <c r="O130" i="33"/>
  <c r="L126" i="1"/>
  <c r="M130" i="33"/>
  <c r="K126" i="1"/>
  <c r="K130" i="33"/>
  <c r="M126" i="1"/>
  <c r="D130" i="33"/>
  <c r="C126" i="1"/>
  <c r="H130" i="33"/>
  <c r="C130" i="33"/>
  <c r="S126" i="1"/>
  <c r="P130" i="33"/>
  <c r="R130" i="33"/>
  <c r="Q130" i="33"/>
  <c r="D126" i="1"/>
  <c r="F126" i="1"/>
  <c r="I130" i="33"/>
  <c r="I126" i="1"/>
  <c r="F130" i="33"/>
  <c r="T128" i="33"/>
  <c r="T129" i="33"/>
  <c r="Q126" i="1"/>
  <c r="R126" i="1"/>
  <c r="J126" i="1"/>
  <c r="J130" i="33"/>
  <c r="T126" i="1"/>
  <c r="L130" i="33"/>
  <c r="H126" i="1"/>
  <c r="N130" i="33"/>
  <c r="U126" i="1" l="1"/>
  <c r="A128" i="1"/>
  <c r="B127" i="1"/>
  <c r="B131" i="33"/>
  <c r="A132" i="33"/>
  <c r="G127" i="1"/>
  <c r="F131" i="33"/>
  <c r="L131" i="33"/>
  <c r="Q131" i="33"/>
  <c r="E131" i="33"/>
  <c r="R131" i="33"/>
  <c r="T127" i="1"/>
  <c r="C127" i="1"/>
  <c r="M127" i="1"/>
  <c r="C131" i="33"/>
  <c r="D127" i="1"/>
  <c r="D131" i="33"/>
  <c r="L127" i="1"/>
  <c r="T130" i="33"/>
  <c r="H131" i="33"/>
  <c r="Q127" i="1"/>
  <c r="O131" i="33"/>
  <c r="P131" i="33"/>
  <c r="N127" i="1"/>
  <c r="R127" i="1"/>
  <c r="J127" i="1"/>
  <c r="M131" i="33"/>
  <c r="E127" i="1"/>
  <c r="H127" i="1"/>
  <c r="S131" i="33"/>
  <c r="O127" i="1"/>
  <c r="J131" i="33"/>
  <c r="I127" i="1"/>
  <c r="K131" i="33"/>
  <c r="G131" i="33"/>
  <c r="P127" i="1"/>
  <c r="K127" i="1"/>
  <c r="S127" i="1"/>
  <c r="N131" i="33"/>
  <c r="I131" i="33"/>
  <c r="F127" i="1"/>
  <c r="U127" i="1" l="1"/>
  <c r="B128" i="1"/>
  <c r="A129" i="1"/>
  <c r="B132" i="33"/>
  <c r="A133" i="33"/>
  <c r="O132" i="33"/>
  <c r="O128" i="1"/>
  <c r="C132" i="33"/>
  <c r="G128" i="1"/>
  <c r="D128" i="1"/>
  <c r="P132" i="33"/>
  <c r="S132" i="33"/>
  <c r="K128" i="1"/>
  <c r="R128" i="1"/>
  <c r="M128" i="1"/>
  <c r="T131" i="33"/>
  <c r="D132" i="33"/>
  <c r="L128" i="1"/>
  <c r="C128" i="1"/>
  <c r="J132" i="33"/>
  <c r="K132" i="33"/>
  <c r="T128" i="1"/>
  <c r="H132" i="33"/>
  <c r="E128" i="1"/>
  <c r="R132" i="33"/>
  <c r="N128" i="1"/>
  <c r="E132" i="33"/>
  <c r="F128" i="1"/>
  <c r="F132" i="33"/>
  <c r="J128" i="1"/>
  <c r="N132" i="33"/>
  <c r="I132" i="33"/>
  <c r="G132" i="33"/>
  <c r="Q132" i="33"/>
  <c r="Q128" i="1"/>
  <c r="M132" i="33"/>
  <c r="H128" i="1"/>
  <c r="L132" i="33"/>
  <c r="S128" i="1"/>
  <c r="I128" i="1"/>
  <c r="P128" i="1"/>
  <c r="U128" i="1" l="1"/>
  <c r="A130" i="1"/>
  <c r="B129" i="1"/>
  <c r="B133" i="33"/>
  <c r="A134" i="33"/>
  <c r="D133" i="33"/>
  <c r="K133" i="33"/>
  <c r="L133" i="33"/>
  <c r="T129" i="1"/>
  <c r="O129" i="1"/>
  <c r="Q133" i="33"/>
  <c r="M129" i="1"/>
  <c r="R129" i="1"/>
  <c r="F133" i="33"/>
  <c r="N133" i="33"/>
  <c r="E133" i="33"/>
  <c r="O133" i="33"/>
  <c r="E129" i="1"/>
  <c r="T132" i="33"/>
  <c r="Q129" i="1"/>
  <c r="H129" i="1"/>
  <c r="J129" i="1"/>
  <c r="I129" i="1"/>
  <c r="I133" i="33"/>
  <c r="P129" i="1"/>
  <c r="S129" i="1"/>
  <c r="D129" i="1"/>
  <c r="C133" i="33"/>
  <c r="L129" i="1"/>
  <c r="M133" i="33"/>
  <c r="G133" i="33"/>
  <c r="N129" i="1"/>
  <c r="R133" i="33"/>
  <c r="S133" i="33"/>
  <c r="F129" i="1"/>
  <c r="H133" i="33"/>
  <c r="K129" i="1"/>
  <c r="G129" i="1"/>
  <c r="P133" i="33"/>
  <c r="C129" i="1"/>
  <c r="J133" i="33"/>
  <c r="U129" i="1" l="1"/>
  <c r="A131" i="1"/>
  <c r="B130" i="1"/>
  <c r="A135" i="33"/>
  <c r="B134" i="33"/>
  <c r="C130" i="1"/>
  <c r="F130" i="1"/>
  <c r="N134" i="33"/>
  <c r="G134" i="33"/>
  <c r="Q134" i="33"/>
  <c r="L130" i="1"/>
  <c r="D134" i="33"/>
  <c r="H130" i="1"/>
  <c r="K130" i="1"/>
  <c r="T130" i="1"/>
  <c r="Q130" i="1"/>
  <c r="S130" i="1"/>
  <c r="J130" i="1"/>
  <c r="I134" i="33"/>
  <c r="L134" i="33"/>
  <c r="E134" i="33"/>
  <c r="O130" i="1"/>
  <c r="H134" i="33"/>
  <c r="K134" i="33"/>
  <c r="G130" i="1"/>
  <c r="R134" i="33"/>
  <c r="D130" i="1"/>
  <c r="O134" i="33"/>
  <c r="N130" i="1"/>
  <c r="T133" i="33"/>
  <c r="C134" i="33"/>
  <c r="M134" i="33"/>
  <c r="E130" i="1"/>
  <c r="I130" i="1"/>
  <c r="R130" i="1"/>
  <c r="S134" i="33"/>
  <c r="P134" i="33"/>
  <c r="P130" i="1"/>
  <c r="F134" i="33"/>
  <c r="M130" i="1"/>
  <c r="J134" i="33"/>
  <c r="U130" i="1" l="1"/>
  <c r="A132" i="1"/>
  <c r="B131" i="1"/>
  <c r="A136" i="33"/>
  <c r="B135" i="33"/>
  <c r="F131" i="1"/>
  <c r="J131" i="1"/>
  <c r="G131" i="1"/>
  <c r="T134" i="33"/>
  <c r="N131" i="1"/>
  <c r="H135" i="33"/>
  <c r="L131" i="1"/>
  <c r="C135" i="33"/>
  <c r="E131" i="1"/>
  <c r="O135" i="33"/>
  <c r="P135" i="33"/>
  <c r="R131" i="1"/>
  <c r="S135" i="33"/>
  <c r="E135" i="33"/>
  <c r="D131" i="1"/>
  <c r="H131" i="1"/>
  <c r="M135" i="33"/>
  <c r="C131" i="1"/>
  <c r="D135" i="33"/>
  <c r="T131" i="1"/>
  <c r="L135" i="33"/>
  <c r="I131" i="1"/>
  <c r="Q131" i="1"/>
  <c r="K131" i="1"/>
  <c r="S131" i="1"/>
  <c r="M131" i="1"/>
  <c r="R135" i="33"/>
  <c r="P131" i="1"/>
  <c r="G135" i="33"/>
  <c r="I135" i="33"/>
  <c r="K135" i="33"/>
  <c r="F135" i="33"/>
  <c r="O131" i="1"/>
  <c r="Q135" i="33"/>
  <c r="J135" i="33"/>
  <c r="N135" i="33"/>
  <c r="U131" i="1" l="1"/>
  <c r="B132" i="1"/>
  <c r="A133" i="1"/>
  <c r="B136" i="33"/>
  <c r="A137" i="33"/>
  <c r="F132" i="1"/>
  <c r="D132" i="1"/>
  <c r="S136" i="33"/>
  <c r="S132" i="1"/>
  <c r="C132" i="1"/>
  <c r="J132" i="1"/>
  <c r="E132" i="1"/>
  <c r="K132" i="1"/>
  <c r="J136" i="33"/>
  <c r="E136" i="33"/>
  <c r="D136" i="33"/>
  <c r="N132" i="1"/>
  <c r="M132" i="1"/>
  <c r="M136" i="33"/>
  <c r="G136" i="33"/>
  <c r="O136" i="33"/>
  <c r="T132" i="1"/>
  <c r="P136" i="33"/>
  <c r="C136" i="33"/>
  <c r="N136" i="33"/>
  <c r="T135" i="33"/>
  <c r="P132" i="1"/>
  <c r="L132" i="1"/>
  <c r="H132" i="1"/>
  <c r="F136" i="33"/>
  <c r="L136" i="33"/>
  <c r="I136" i="33"/>
  <c r="K136" i="33"/>
  <c r="O132" i="1"/>
  <c r="R136" i="33"/>
  <c r="Q132" i="1"/>
  <c r="G132" i="1"/>
  <c r="Q136" i="33"/>
  <c r="H136" i="33"/>
  <c r="R132" i="1"/>
  <c r="I132" i="1"/>
  <c r="U132" i="1" l="1"/>
  <c r="A134" i="1"/>
  <c r="B133" i="1"/>
  <c r="B137" i="33"/>
  <c r="A138" i="33"/>
  <c r="O137" i="33"/>
  <c r="L137" i="33"/>
  <c r="R133" i="1"/>
  <c r="E137" i="33"/>
  <c r="K137" i="33"/>
  <c r="N133" i="1"/>
  <c r="N137" i="33"/>
  <c r="F133" i="1"/>
  <c r="C137" i="33"/>
  <c r="D133" i="1"/>
  <c r="R137" i="33"/>
  <c r="G133" i="1"/>
  <c r="T136" i="33"/>
  <c r="D137" i="33"/>
  <c r="S133" i="1"/>
  <c r="S137" i="33"/>
  <c r="H133" i="1"/>
  <c r="E133" i="1"/>
  <c r="Q133" i="1"/>
  <c r="J137" i="33"/>
  <c r="K133" i="1"/>
  <c r="I137" i="33"/>
  <c r="M133" i="1"/>
  <c r="T133" i="1"/>
  <c r="H137" i="33"/>
  <c r="P133" i="1"/>
  <c r="O133" i="1"/>
  <c r="G137" i="33"/>
  <c r="L133" i="1"/>
  <c r="I133" i="1"/>
  <c r="P137" i="33"/>
  <c r="C133" i="1"/>
  <c r="J133" i="1"/>
  <c r="Q137" i="33"/>
  <c r="M137" i="33"/>
  <c r="F137" i="33"/>
  <c r="U133" i="1" l="1"/>
  <c r="A135" i="1"/>
  <c r="B134" i="1"/>
  <c r="A139" i="33"/>
  <c r="B138" i="33"/>
  <c r="N134" i="1"/>
  <c r="H138" i="33"/>
  <c r="P138" i="33"/>
  <c r="L138" i="33"/>
  <c r="R134" i="1"/>
  <c r="N138" i="33"/>
  <c r="S134" i="1"/>
  <c r="D138" i="33"/>
  <c r="M134" i="1"/>
  <c r="F134" i="1"/>
  <c r="K134" i="1"/>
  <c r="H134" i="1"/>
  <c r="S138" i="33"/>
  <c r="Q138" i="33"/>
  <c r="O134" i="1"/>
  <c r="J138" i="33"/>
  <c r="F138" i="33"/>
  <c r="I134" i="1"/>
  <c r="C138" i="33"/>
  <c r="J134" i="1"/>
  <c r="G138" i="33"/>
  <c r="D134" i="1"/>
  <c r="E134" i="1"/>
  <c r="P134" i="1"/>
  <c r="O138" i="33"/>
  <c r="T134" i="1"/>
  <c r="I138" i="33"/>
  <c r="G134" i="1"/>
  <c r="L134" i="1"/>
  <c r="E138" i="33"/>
  <c r="T137" i="33"/>
  <c r="C134" i="1"/>
  <c r="K138" i="33"/>
  <c r="R138" i="33"/>
  <c r="M138" i="33"/>
  <c r="Q134" i="1"/>
  <c r="U134" i="1" l="1"/>
  <c r="B135" i="1"/>
  <c r="A136" i="1"/>
  <c r="A140" i="33"/>
  <c r="B139" i="33"/>
  <c r="I135" i="1"/>
  <c r="D139" i="33"/>
  <c r="C139" i="33"/>
  <c r="K135" i="1"/>
  <c r="T138" i="33"/>
  <c r="L135" i="1"/>
  <c r="D135" i="1"/>
  <c r="J135" i="1"/>
  <c r="O139" i="33"/>
  <c r="E139" i="33"/>
  <c r="H139" i="33"/>
  <c r="N139" i="33"/>
  <c r="G135" i="1"/>
  <c r="F139" i="33"/>
  <c r="T135" i="1"/>
  <c r="P135" i="1"/>
  <c r="E135" i="1"/>
  <c r="L139" i="33"/>
  <c r="I139" i="33"/>
  <c r="Q135" i="1"/>
  <c r="Q139" i="33"/>
  <c r="K139" i="33"/>
  <c r="S135" i="1"/>
  <c r="S139" i="33"/>
  <c r="M139" i="33"/>
  <c r="R139" i="33"/>
  <c r="R135" i="1"/>
  <c r="O135" i="1"/>
  <c r="F135" i="1"/>
  <c r="G139" i="33"/>
  <c r="P139" i="33"/>
  <c r="H135" i="1"/>
  <c r="M135" i="1"/>
  <c r="N135" i="1"/>
  <c r="J139" i="33"/>
  <c r="C135" i="1"/>
  <c r="U135" i="1" l="1"/>
  <c r="B136" i="1"/>
  <c r="A137" i="1"/>
  <c r="B140" i="33"/>
  <c r="A141" i="33"/>
  <c r="Q136" i="1"/>
  <c r="M140" i="33"/>
  <c r="K136" i="1"/>
  <c r="S136" i="1"/>
  <c r="N140" i="33"/>
  <c r="G140" i="33"/>
  <c r="D140" i="33"/>
  <c r="T136" i="1"/>
  <c r="K140" i="33"/>
  <c r="I136" i="1"/>
  <c r="E140" i="33"/>
  <c r="C136" i="1"/>
  <c r="E136" i="1"/>
  <c r="F140" i="33"/>
  <c r="M136" i="1"/>
  <c r="R136" i="1"/>
  <c r="Q140" i="33"/>
  <c r="O136" i="1"/>
  <c r="O140" i="33"/>
  <c r="L140" i="33"/>
  <c r="N136" i="1"/>
  <c r="I140" i="33"/>
  <c r="R140" i="33"/>
  <c r="H136" i="1"/>
  <c r="J136" i="1"/>
  <c r="J140" i="33"/>
  <c r="P140" i="33"/>
  <c r="D136" i="1"/>
  <c r="H140" i="33"/>
  <c r="P136" i="1"/>
  <c r="F136" i="1"/>
  <c r="S140" i="33"/>
  <c r="C140" i="33"/>
  <c r="T139" i="33"/>
  <c r="L136" i="1"/>
  <c r="G136" i="1"/>
  <c r="U136" i="1" l="1"/>
  <c r="B137" i="1"/>
  <c r="A138" i="1"/>
  <c r="B141" i="33"/>
  <c r="A142" i="33"/>
  <c r="L141" i="33"/>
  <c r="N137" i="1"/>
  <c r="H141" i="33"/>
  <c r="Q141" i="33"/>
  <c r="S141" i="33"/>
  <c r="E137" i="1"/>
  <c r="J137" i="1"/>
  <c r="C137" i="1"/>
  <c r="D141" i="33"/>
  <c r="J141" i="33"/>
  <c r="T137" i="1"/>
  <c r="E141" i="33"/>
  <c r="T140" i="33"/>
  <c r="P137" i="1"/>
  <c r="O137" i="1"/>
  <c r="R141" i="33"/>
  <c r="K137" i="1"/>
  <c r="F141" i="33"/>
  <c r="I141" i="33"/>
  <c r="S137" i="1"/>
  <c r="F137" i="1"/>
  <c r="K141" i="33"/>
  <c r="M141" i="33"/>
  <c r="Q137" i="1"/>
  <c r="D137" i="1"/>
  <c r="P141" i="33"/>
  <c r="H137" i="1"/>
  <c r="I137" i="1"/>
  <c r="G141" i="33"/>
  <c r="R137" i="1"/>
  <c r="C141" i="33"/>
  <c r="L137" i="1"/>
  <c r="N141" i="33"/>
  <c r="G137" i="1"/>
  <c r="O141" i="33"/>
  <c r="M137" i="1"/>
  <c r="U137" i="1" l="1"/>
  <c r="A139" i="1"/>
  <c r="B138" i="1"/>
  <c r="A143" i="33"/>
  <c r="B142" i="33"/>
  <c r="T138" i="1"/>
  <c r="D142" i="33"/>
  <c r="L142" i="33"/>
  <c r="F142" i="33"/>
  <c r="R142" i="33"/>
  <c r="S138" i="1"/>
  <c r="M138" i="1"/>
  <c r="H142" i="33"/>
  <c r="C142" i="33"/>
  <c r="G142" i="33"/>
  <c r="N142" i="33"/>
  <c r="I142" i="33"/>
  <c r="C138" i="1"/>
  <c r="L138" i="1"/>
  <c r="J142" i="33"/>
  <c r="P142" i="33"/>
  <c r="P138" i="1"/>
  <c r="R138" i="1"/>
  <c r="Q142" i="33"/>
  <c r="K138" i="1"/>
  <c r="D138" i="1"/>
  <c r="F138" i="1"/>
  <c r="H138" i="1"/>
  <c r="K142" i="33"/>
  <c r="G138" i="1"/>
  <c r="O138" i="1"/>
  <c r="T141" i="33"/>
  <c r="N138" i="1"/>
  <c r="E142" i="33"/>
  <c r="S142" i="33"/>
  <c r="M142" i="33"/>
  <c r="E138" i="1"/>
  <c r="I138" i="1"/>
  <c r="O142" i="33"/>
  <c r="Q138" i="1"/>
  <c r="J138" i="1"/>
  <c r="U138" i="1" l="1"/>
  <c r="B139" i="1"/>
  <c r="A140" i="1"/>
  <c r="A144" i="33"/>
  <c r="B143" i="33"/>
  <c r="T139" i="1"/>
  <c r="C143" i="33"/>
  <c r="L139" i="1"/>
  <c r="T142" i="33"/>
  <c r="P143" i="33"/>
  <c r="I139" i="1"/>
  <c r="N143" i="33"/>
  <c r="D139" i="1"/>
  <c r="G139" i="1"/>
  <c r="I143" i="33"/>
  <c r="N139" i="1"/>
  <c r="C139" i="1"/>
  <c r="K139" i="1"/>
  <c r="F143" i="33"/>
  <c r="M143" i="33"/>
  <c r="Q139" i="1"/>
  <c r="E139" i="1"/>
  <c r="R143" i="33"/>
  <c r="M139" i="1"/>
  <c r="K143" i="33"/>
  <c r="J139" i="1"/>
  <c r="H143" i="33"/>
  <c r="O143" i="33"/>
  <c r="R139" i="1"/>
  <c r="E143" i="33"/>
  <c r="O139" i="1"/>
  <c r="G143" i="33"/>
  <c r="Q143" i="33"/>
  <c r="P139" i="1"/>
  <c r="L143" i="33"/>
  <c r="S143" i="33"/>
  <c r="S139" i="1"/>
  <c r="F139" i="1"/>
  <c r="D143" i="33"/>
  <c r="J143" i="33"/>
  <c r="H139" i="1"/>
  <c r="U139" i="1" l="1"/>
  <c r="B140" i="1"/>
  <c r="A141" i="1"/>
  <c r="B144" i="33"/>
  <c r="A145" i="33"/>
  <c r="C140" i="1"/>
  <c r="S144" i="33"/>
  <c r="J140" i="1"/>
  <c r="L140" i="1"/>
  <c r="Q140" i="1"/>
  <c r="K140" i="1"/>
  <c r="G140" i="1"/>
  <c r="M144" i="33"/>
  <c r="D144" i="33"/>
  <c r="T140" i="1"/>
  <c r="R144" i="33"/>
  <c r="O140" i="1"/>
  <c r="N144" i="33"/>
  <c r="I144" i="33"/>
  <c r="Q144" i="33"/>
  <c r="N140" i="1"/>
  <c r="G144" i="33"/>
  <c r="K144" i="33"/>
  <c r="M140" i="1"/>
  <c r="J144" i="33"/>
  <c r="E144" i="33"/>
  <c r="D140" i="1"/>
  <c r="L144" i="33"/>
  <c r="S140" i="1"/>
  <c r="P144" i="33"/>
  <c r="I140" i="1"/>
  <c r="F144" i="33"/>
  <c r="O144" i="33"/>
  <c r="P140" i="1"/>
  <c r="H140" i="1"/>
  <c r="R140" i="1"/>
  <c r="F140" i="1"/>
  <c r="T143" i="33"/>
  <c r="C144" i="33"/>
  <c r="H144" i="33"/>
  <c r="E140" i="1"/>
  <c r="U140" i="1" l="1"/>
  <c r="B141" i="1"/>
  <c r="A142" i="1"/>
  <c r="B145" i="33"/>
  <c r="A146" i="33"/>
  <c r="B146" i="33" s="1"/>
  <c r="K146" i="33"/>
  <c r="H145" i="33"/>
  <c r="E141" i="1"/>
  <c r="E145" i="33"/>
  <c r="J146" i="33"/>
  <c r="G145" i="33"/>
  <c r="M146" i="33"/>
  <c r="Q145" i="33"/>
  <c r="T145" i="33"/>
  <c r="N141" i="1"/>
  <c r="H141" i="1"/>
  <c r="K145" i="33"/>
  <c r="T144" i="33"/>
  <c r="P145" i="33"/>
  <c r="M141" i="1"/>
  <c r="I141" i="1"/>
  <c r="P146" i="33"/>
  <c r="S146" i="33"/>
  <c r="L146" i="33"/>
  <c r="J145" i="33"/>
  <c r="R145" i="33"/>
  <c r="D145" i="33"/>
  <c r="L145" i="33"/>
  <c r="S141" i="1"/>
  <c r="H146" i="33"/>
  <c r="C146" i="33"/>
  <c r="N146" i="33"/>
  <c r="F146" i="33"/>
  <c r="R141" i="1"/>
  <c r="R146" i="33"/>
  <c r="E146" i="33"/>
  <c r="C145" i="33"/>
  <c r="J141" i="1"/>
  <c r="T146" i="33"/>
  <c r="Q146" i="33"/>
  <c r="F145" i="33"/>
  <c r="D146" i="33"/>
  <c r="T141" i="1"/>
  <c r="L141" i="1"/>
  <c r="C141" i="1"/>
  <c r="S145" i="33"/>
  <c r="O145" i="33"/>
  <c r="I145" i="33"/>
  <c r="G141" i="1"/>
  <c r="F141" i="1"/>
  <c r="I146" i="33"/>
  <c r="P141" i="1"/>
  <c r="O141" i="1"/>
  <c r="M145" i="33"/>
  <c r="N145" i="33"/>
  <c r="O146" i="33"/>
  <c r="G146" i="33"/>
  <c r="D141" i="1"/>
  <c r="Q141" i="1"/>
  <c r="K141" i="1"/>
  <c r="U141" i="1" l="1"/>
  <c r="A143" i="1"/>
  <c r="B142" i="1"/>
  <c r="V36" i="33"/>
  <c r="W36" i="33" s="1"/>
  <c r="T142" i="1"/>
  <c r="M142" i="1"/>
  <c r="S142" i="1"/>
  <c r="R142" i="1"/>
  <c r="C142" i="1"/>
  <c r="O142" i="1"/>
  <c r="K142" i="1"/>
  <c r="G142" i="1"/>
  <c r="N142" i="1"/>
  <c r="H142" i="1"/>
  <c r="I142" i="1"/>
  <c r="P142" i="1"/>
  <c r="E142" i="1"/>
  <c r="L142" i="1"/>
  <c r="F142" i="1"/>
  <c r="J142" i="1"/>
  <c r="Q142" i="1"/>
  <c r="D142" i="1"/>
  <c r="U142" i="1" l="1"/>
  <c r="B143" i="1"/>
  <c r="A144" i="1"/>
  <c r="S143" i="1"/>
  <c r="P143" i="1"/>
  <c r="F143" i="1"/>
  <c r="C143" i="1"/>
  <c r="O143" i="1"/>
  <c r="E143" i="1"/>
  <c r="J143" i="1"/>
  <c r="R143" i="1"/>
  <c r="M143" i="1"/>
  <c r="D143" i="1"/>
  <c r="K143" i="1"/>
  <c r="G143" i="1"/>
  <c r="H143" i="1"/>
  <c r="I143" i="1"/>
  <c r="L143" i="1"/>
  <c r="Q143" i="1"/>
  <c r="N143" i="1"/>
  <c r="T143" i="1"/>
  <c r="U143" i="1" l="1"/>
  <c r="B144" i="1"/>
  <c r="A145" i="1"/>
  <c r="J144" i="1"/>
  <c r="F144" i="1"/>
  <c r="O144" i="1"/>
  <c r="G144" i="1"/>
  <c r="K144" i="1"/>
  <c r="P144" i="1"/>
  <c r="L144" i="1"/>
  <c r="R144" i="1"/>
  <c r="D144" i="1"/>
  <c r="C144" i="1"/>
  <c r="M144" i="1"/>
  <c r="I144" i="1"/>
  <c r="Q144" i="1"/>
  <c r="N144" i="1"/>
  <c r="S144" i="1"/>
  <c r="E144" i="1"/>
  <c r="T144" i="1"/>
  <c r="H144" i="1"/>
  <c r="U144" i="1" l="1"/>
  <c r="B145" i="1"/>
  <c r="A146" i="1"/>
  <c r="M145" i="1"/>
  <c r="Q145" i="1"/>
  <c r="D145" i="1"/>
  <c r="O145" i="1"/>
  <c r="J145" i="1"/>
  <c r="R145" i="1"/>
  <c r="L145" i="1"/>
  <c r="H145" i="1"/>
  <c r="S145" i="1"/>
  <c r="E145" i="1"/>
  <c r="G145" i="1"/>
  <c r="C145" i="1"/>
  <c r="K145" i="1"/>
  <c r="T145" i="1"/>
  <c r="I145" i="1"/>
  <c r="N145" i="1"/>
  <c r="P145" i="1"/>
  <c r="F145" i="1"/>
  <c r="U145" i="1" l="1"/>
  <c r="A147" i="1"/>
  <c r="B147" i="1" s="1"/>
  <c r="B146" i="1"/>
  <c r="O147" i="1"/>
  <c r="C146" i="1"/>
  <c r="P147" i="1"/>
  <c r="R146" i="1"/>
  <c r="M147" i="1"/>
  <c r="N147" i="1"/>
  <c r="E146" i="1"/>
  <c r="K147" i="1"/>
  <c r="F147" i="1"/>
  <c r="J147" i="1"/>
  <c r="P146" i="1"/>
  <c r="S147" i="1"/>
  <c r="S146" i="1"/>
  <c r="J146" i="1"/>
  <c r="C147" i="1"/>
  <c r="H147" i="1"/>
  <c r="I146" i="1"/>
  <c r="N146" i="1"/>
  <c r="G146" i="1"/>
  <c r="R147" i="1"/>
  <c r="O146" i="1"/>
  <c r="Q147" i="1"/>
  <c r="T146" i="1"/>
  <c r="D146" i="1"/>
  <c r="L146" i="1"/>
  <c r="H146" i="1"/>
  <c r="M146" i="1"/>
  <c r="T147" i="1"/>
  <c r="E147" i="1"/>
  <c r="L147" i="1"/>
  <c r="G147" i="1"/>
  <c r="D147" i="1"/>
  <c r="Q146" i="1"/>
  <c r="K146" i="1"/>
  <c r="I147" i="1"/>
  <c r="F146" i="1"/>
  <c r="C1" i="1" l="1"/>
  <c r="J1" i="1"/>
  <c r="E1" i="1"/>
  <c r="F1" i="1"/>
  <c r="G1" i="1"/>
  <c r="L1" i="1"/>
  <c r="P1" i="1"/>
  <c r="D1" i="1"/>
  <c r="K1" i="1"/>
  <c r="O1" i="1"/>
  <c r="I1" i="1"/>
  <c r="H1" i="1"/>
  <c r="Q1" i="1"/>
  <c r="R1" i="1"/>
  <c r="S1" i="1"/>
  <c r="N1" i="1"/>
  <c r="M1" i="1"/>
  <c r="W15" i="1"/>
  <c r="X15" i="1" s="1"/>
  <c r="U146" i="1"/>
  <c r="U147" i="1" s="1"/>
</calcChain>
</file>

<file path=xl/sharedStrings.xml><?xml version="1.0" encoding="utf-8"?>
<sst xmlns="http://schemas.openxmlformats.org/spreadsheetml/2006/main" count="14572" uniqueCount="1375">
  <si>
    <t>Category</t>
  </si>
  <si>
    <t>Job</t>
  </si>
  <si>
    <t>Home</t>
  </si>
  <si>
    <t>Food</t>
  </si>
  <si>
    <t>Date</t>
  </si>
  <si>
    <t>Entertainment</t>
  </si>
  <si>
    <t>Bills</t>
  </si>
  <si>
    <t>Vehicle</t>
  </si>
  <si>
    <t>A&amp;W STORE 2290           SASKA</t>
  </si>
  <si>
    <t>POS</t>
  </si>
  <si>
    <t>Sheet name</t>
  </si>
  <si>
    <t>Misc</t>
  </si>
  <si>
    <t>A&amp;W ROCHDALE             REGIN</t>
  </si>
  <si>
    <t>A&amp;W RESTAURANT #1726     MEDIC</t>
  </si>
  <si>
    <t>PETRO-CANADA             MEDIC</t>
  </si>
  <si>
    <t>CAN MORE HOTEL           CANMO</t>
  </si>
  <si>
    <t>ROCK PAPER SILVER BANF   BANFF</t>
  </si>
  <si>
    <t>BEAVERTAILS              CANMO</t>
  </si>
  <si>
    <t>COOL AS A MOOSE          BANFF</t>
  </si>
  <si>
    <t>HUDSON'S BAY #1154       BANFF</t>
  </si>
  <si>
    <t>QUATRO ASIAN BISTRO      CANMO</t>
  </si>
  <si>
    <t>TIM HORTONS #6565        REGIN</t>
  </si>
  <si>
    <t>OPOS STEAMGAMES.COM 42595Hambu</t>
  </si>
  <si>
    <t>OPOS NINTENDO    *AMERICA800-2</t>
  </si>
  <si>
    <t>REAL CANADIAN SUPRSTOR   REGIN</t>
  </si>
  <si>
    <t>SAFEWAY #4890            REGIN</t>
  </si>
  <si>
    <t>WOK BOX                  REGIN</t>
  </si>
  <si>
    <t>OPOS Riot* AN0H1JQLE2P1  866-3</t>
  </si>
  <si>
    <t>WAL-MART #3076           REGIN</t>
  </si>
  <si>
    <t>OPOS RiotGam*LoL LN018WTP866-3</t>
  </si>
  <si>
    <t>OPOS Xsolla *EFT         h.xso</t>
  </si>
  <si>
    <t>OPOS Xsolla * LZUD CODE  h.xso</t>
  </si>
  <si>
    <t>OPOS SKIPTHEDISHES       +1855</t>
  </si>
  <si>
    <t>SOBEYS STONEBRIDGE #49   SASKA</t>
  </si>
  <si>
    <t>STARBUCKS COFFEE #26918  SASKA</t>
  </si>
  <si>
    <t>TOMMY GUN'S ORIGINAL B   SASKA</t>
  </si>
  <si>
    <t>COSTCO WHOLESALE W1234   SASKA</t>
  </si>
  <si>
    <t>RED SWAN PIZZA           SASKA</t>
  </si>
  <si>
    <t>ASHLEY FURNITURE HOMES   SASKA</t>
  </si>
  <si>
    <t>JYSK CANADA 865          SASKA</t>
  </si>
  <si>
    <t>BEST BUY #974            SASKA</t>
  </si>
  <si>
    <t>OPOS 9.43 Amazon web servaws.a</t>
  </si>
  <si>
    <t>STARBUCKS COFFEE # 59659 SASKA</t>
  </si>
  <si>
    <t>#5127 SPORT CHEK         SASKA</t>
  </si>
  <si>
    <t>JYSK CANADA 900          SASKA</t>
  </si>
  <si>
    <t>Personal</t>
  </si>
  <si>
    <t>OPOS Microsoft*Store     Missi</t>
  </si>
  <si>
    <t>OPOS RiotGam*LoL LN0UABTQ866-3</t>
  </si>
  <si>
    <t>VIET-THAI RESTAURANT R   REGIN</t>
  </si>
  <si>
    <t>OPOS STEAMGAMES.COM      425-9</t>
  </si>
  <si>
    <t>OPOS 1.25 Amazon web servaws.a</t>
  </si>
  <si>
    <t>STAPLES#151              REGIN</t>
  </si>
  <si>
    <t>OPOS 32.25 Amazon web seraws.a</t>
  </si>
  <si>
    <t>OPOS IMPARK CANADA AUTO  VANCO</t>
  </si>
  <si>
    <t>Amazon web seraws.a</t>
  </si>
  <si>
    <t>BIRMINGHAM'S VODKA AND   REGIN</t>
  </si>
  <si>
    <t>OPOS 49.90 Xsolla *Twitchh.xso</t>
  </si>
  <si>
    <t>SAFEWAY #4894            REGIN</t>
  </si>
  <si>
    <t>ULTRACUTS #0307          REGIN</t>
  </si>
  <si>
    <t>OPOS BLIZZARD CAD        IRVIN</t>
  </si>
  <si>
    <t>MB-FREE EMAIL MONEY TRF</t>
  </si>
  <si>
    <t>MB-EMAIL MONEY TRF</t>
  </si>
  <si>
    <t>OPOS 34.52 Amazon web seraws.a</t>
  </si>
  <si>
    <t>Total Monthly</t>
  </si>
  <si>
    <t>SUNRISE RECORDS          REGIN</t>
  </si>
  <si>
    <t>ALBERT NORTH AUTO &amp; AG   REGIN</t>
  </si>
  <si>
    <t>CAA SASKATCHEWAN         REGIN</t>
  </si>
  <si>
    <t>CORNWALL CENTRE INC.     REGIN</t>
  </si>
  <si>
    <t>OTV TECHNOLOGIES LTD     REGIN</t>
  </si>
  <si>
    <t>BURGER KING #03845       REGIN</t>
  </si>
  <si>
    <t>PIER 1 IMPORTS #1206     REGIN</t>
  </si>
  <si>
    <t xml:space="preserve">GREAT-WEST LIFE              </t>
  </si>
  <si>
    <t>THE SOURCE #58140        REGIN</t>
  </si>
  <si>
    <t>REAL CDN WHOLESALE #67   REGIN</t>
  </si>
  <si>
    <t>OPOS STEAMGAMES.COM      Hambu</t>
  </si>
  <si>
    <t>ESSO GOLDEN MILE         REGIN</t>
  </si>
  <si>
    <t>CARL'S JR                REGIN</t>
  </si>
  <si>
    <t>FYIDOCTORS               REGIN</t>
  </si>
  <si>
    <t>OPOS 33.41 Amazon web seraws.a</t>
  </si>
  <si>
    <t>SHOPPERS DRUG MART #04   REGIN</t>
  </si>
  <si>
    <t>OPOS NEOMAGNETIC-LEDMTL  51441</t>
  </si>
  <si>
    <t>TIM HORTONS #4361        REGIN</t>
  </si>
  <si>
    <t>SHELL C01888             REGIN</t>
  </si>
  <si>
    <t>OPOS 36.61 WARNER MUSIC GNEW Y</t>
  </si>
  <si>
    <t>CBSA/ASFC REGINA PORT    REGIN</t>
  </si>
  <si>
    <t>OPOS IMPARK CANADA ONLINEVANCO</t>
  </si>
  <si>
    <t>SAFEWAY #4891            REGIN</t>
  </si>
  <si>
    <t>OPOS FC REGINA           REGIN</t>
  </si>
  <si>
    <t>EARL'S ALBERT STREET     REGIN</t>
  </si>
  <si>
    <t>HENDERSON CAFE # 2       REGIN</t>
  </si>
  <si>
    <t>SASK LIQ &amp; GAMING AUTH   REGIN</t>
  </si>
  <si>
    <t>WESTERN PIZZA            REGIN</t>
  </si>
  <si>
    <t>DAIRY QUEEN #26920       REGIN</t>
  </si>
  <si>
    <t>OPOS 37.00 KICKSTARTER COBROOK</t>
  </si>
  <si>
    <t>DAIRY QUEEN #27144       REGIN</t>
  </si>
  <si>
    <t>DSW #548                 REGIN</t>
  </si>
  <si>
    <t>MELTWICH FOOD CO         REGIN</t>
  </si>
  <si>
    <t>OPOS 23.62 Amazon web seraws.a</t>
  </si>
  <si>
    <t>FIVE GUYS BURGERS &amp; FRIESREGIN</t>
  </si>
  <si>
    <t>Investment</t>
  </si>
  <si>
    <t>Recurring Bills</t>
  </si>
  <si>
    <t>Rent</t>
  </si>
  <si>
    <t>Phone</t>
  </si>
  <si>
    <t>Internet</t>
  </si>
  <si>
    <t>Power</t>
  </si>
  <si>
    <t>Current Total</t>
  </si>
  <si>
    <t>Estimated Food</t>
  </si>
  <si>
    <t>Months without income</t>
  </si>
  <si>
    <t>TIM HORTONS #2334        REGIN</t>
  </si>
  <si>
    <t>DOLLARAMA # 703          REGIN</t>
  </si>
  <si>
    <t>OPOS Fanatical           Rugel</t>
  </si>
  <si>
    <t>DOLLARAMA # 728          REGIN</t>
  </si>
  <si>
    <t>CANADIAN TIRE #310       REGIN</t>
  </si>
  <si>
    <t>OPOS 1.00 Amazon web servaws.a</t>
  </si>
  <si>
    <t>OPOS 56.91 GEEKNET, INC. 888-4</t>
  </si>
  <si>
    <t>OPOS UNIVERSITY OF REGINAREGIN</t>
  </si>
  <si>
    <t>Education</t>
  </si>
  <si>
    <t>BOOSTER JUICE STORE #173 REGIN</t>
  </si>
  <si>
    <t>SHRWD CO-OP ARGYLE &amp; R   REGIN</t>
  </si>
  <si>
    <t>RQH - NUTRITION &amp; FOOD   REGIN</t>
  </si>
  <si>
    <t>SS REGINA                REGIN</t>
  </si>
  <si>
    <t>CHARTWELLS-REGINA U-57   REGIN</t>
  </si>
  <si>
    <t>THE OWL                  REGIN</t>
  </si>
  <si>
    <t>GOLDEN PRAIRIE CONFECT   REGIN</t>
  </si>
  <si>
    <t>TIM HORTONS #2869        REGIN</t>
  </si>
  <si>
    <t>SUBWAY # 17761           REGIN</t>
  </si>
  <si>
    <t>OPOS 20.00 Comfort Inn UnMisso</t>
  </si>
  <si>
    <t>VPOS 16.39 THE NOTORIOUS MISSO</t>
  </si>
  <si>
    <t>VPOS 14.25 THE NOTORIOUS MISSO</t>
  </si>
  <si>
    <t>JIMMYS DRIVE IN          BOW I</t>
  </si>
  <si>
    <t>RAINBOW GAS (TEMPO)      BOW I</t>
  </si>
  <si>
    <t>CANADIAN TIRE GAS BAR    SWIFT</t>
  </si>
  <si>
    <t>TIM HORTONS #2869# QTH   REGIN</t>
  </si>
  <si>
    <t>LAKESHORE DENTAL CLINI   REGIN</t>
  </si>
  <si>
    <t>OPOS 166.64 Comfort Inn UMisso</t>
  </si>
  <si>
    <t>DAIRY QUEEN #27357       REGIN</t>
  </si>
  <si>
    <t>OPOS MYBACKCHECK.COM     SURRE</t>
  </si>
  <si>
    <t>FRESH &amp; SWEET            REGIN</t>
  </si>
  <si>
    <t>CAMERA ONE               REGIN</t>
  </si>
  <si>
    <t>OPOS APL* ITUNES.COM/BILL800-6</t>
  </si>
  <si>
    <t>Emergency</t>
  </si>
  <si>
    <t>WENDY'S #6588            SASKA</t>
  </si>
  <si>
    <t>WOK BOX (SASKATOON STO   SASKA</t>
  </si>
  <si>
    <t>GO GRILL                 SASKA</t>
  </si>
  <si>
    <t>HOMESTEAD ICE CREAM AN   SASKA</t>
  </si>
  <si>
    <t>DAIRY QUEEN #27018       REGIN</t>
  </si>
  <si>
    <t>JAGR INDUSTRIAL ELECTR   REGIN</t>
  </si>
  <si>
    <t>QUESADA BURRITOS &amp; TAC   SASKA</t>
  </si>
  <si>
    <t>DOLLARAMA #1274          SASKA</t>
  </si>
  <si>
    <t>WENDY'S RESTAURANT       SASKA</t>
  </si>
  <si>
    <t>THE VINYL EXCHANGE       SASKA</t>
  </si>
  <si>
    <t>OPOS 35.35 SP * VINYL MOOLOS A</t>
  </si>
  <si>
    <t>OPOS 25.00 UNITY         COPEN</t>
  </si>
  <si>
    <t>PC-SASKPOWER</t>
  </si>
  <si>
    <t>TIM HORTONS #9041        REGIN</t>
  </si>
  <si>
    <t>THE HOME DEPOT #7245     REGIN</t>
  </si>
  <si>
    <t xml:space="preserve">CO-OWNERSHIP                 </t>
  </si>
  <si>
    <t>WALMART STORE #5878      SASKA</t>
  </si>
  <si>
    <t>THE HOME DEPOT #7265     SASKA</t>
  </si>
  <si>
    <t>OPOS SASKTEL WIRELINE WEBREGIN</t>
  </si>
  <si>
    <t>SHOPPERS DRUG MART #24   SASKA</t>
  </si>
  <si>
    <t>TAVERNA ITALIAN KITCHE   SASKA</t>
  </si>
  <si>
    <t>DOMINO'S PIZZA #10154    SASKA</t>
  </si>
  <si>
    <t>SHERWOOD CO-OP ARGYLE    REGIN</t>
  </si>
  <si>
    <t>WINNERSHOMESENSE 473/119 REGIN</t>
  </si>
  <si>
    <t>WALMART STORE #3076      REGIN</t>
  </si>
  <si>
    <t>DQ GRILL &amp; CHILL # 274   SASKA</t>
  </si>
  <si>
    <t>PC-FREE EMAIL MONEY TRF</t>
  </si>
  <si>
    <t>PC-EMAIL MONEY TRF</t>
  </si>
  <si>
    <t>FIVE GUYS BURGERS &amp; FRIESSASKA</t>
  </si>
  <si>
    <t>OPOS 9.27 Amazon web servaws.a</t>
  </si>
  <si>
    <t>DQ GRILL &amp; CHILL #2735   SASKA</t>
  </si>
  <si>
    <t>PINK CADILLACS PINK MA   SASKA</t>
  </si>
  <si>
    <t>NEXT LEVEL GAME EXCHAN   SASKA</t>
  </si>
  <si>
    <t>Subway 43845             Saska</t>
  </si>
  <si>
    <t>OPOS SASKTEL WIRELINE RECREGIN</t>
  </si>
  <si>
    <t>MICHAELS #3923           REGIN</t>
  </si>
  <si>
    <t>TS-SASKPOWER</t>
  </si>
  <si>
    <t>VARSITY COMMON GARDN M   SASKA</t>
  </si>
  <si>
    <t>TIM HORTONS #3155        SASKA</t>
  </si>
  <si>
    <t>OPOS 10.23 Amazon web seraws.a</t>
  </si>
  <si>
    <t>BOSTON PIZZA # 203       SASKA</t>
  </si>
  <si>
    <t>OPOS ASSOCIATION OF PROFEREGIN</t>
  </si>
  <si>
    <t>44036 MACS CONV. STORE   SASKA</t>
  </si>
  <si>
    <t>BK # 12631               SASKA</t>
  </si>
  <si>
    <t>PRAIRIE DONAIR           SASKA</t>
  </si>
  <si>
    <t>MINUTE MUFFLER AND BRA   SASKA</t>
  </si>
  <si>
    <t>COLES 063                SASKA</t>
  </si>
  <si>
    <t>HUDSONS SASKATOON        SASKA</t>
  </si>
  <si>
    <t>FOX &amp; HOUNDS PUB &amp; BRE   SASKA</t>
  </si>
  <si>
    <t>KARL`S AIRLINE SERVICE   SASKA</t>
  </si>
  <si>
    <t>A&amp;W STORE 2287           SASKA</t>
  </si>
  <si>
    <t>OPOS 9.95 Amazon web servaws.a</t>
  </si>
  <si>
    <t>Gifts</t>
  </si>
  <si>
    <t>REVOLVE CAFE             SASKA</t>
  </si>
  <si>
    <t xml:space="preserve">Shareowner Investments       </t>
  </si>
  <si>
    <t>AFFINITY INSURANCE SER   SASKA</t>
  </si>
  <si>
    <t>GOLDEN CHEF              HEPBU</t>
  </si>
  <si>
    <t>SHELL C00220             SASKA</t>
  </si>
  <si>
    <t>PRESTON DENTAL CENTRE    SASKA</t>
  </si>
  <si>
    <t>FREE INTERAC E-TRANSFER</t>
  </si>
  <si>
    <t>WALMART STORE #3084      SASKA</t>
  </si>
  <si>
    <t>TIM HORTONS #2259        SASKA</t>
  </si>
  <si>
    <t>EB GAMES 1600            SASKA</t>
  </si>
  <si>
    <t>MARKET MALL              SASKA</t>
  </si>
  <si>
    <t>BK # 14455               SASKA</t>
  </si>
  <si>
    <t>HAZELVIEW PROPERTY SERVICES IN</t>
  </si>
  <si>
    <t>BROADWAY CAFE            SASKA</t>
  </si>
  <si>
    <t>OPOS 337.72 WWW.REDBUBBLE+1888</t>
  </si>
  <si>
    <t>SUNRISE RECORDS          SASKA</t>
  </si>
  <si>
    <t>FAMOUS PLAYER #4403QPS   SASKA</t>
  </si>
  <si>
    <t>SHOPPERS DRUG MART #41   SASKA</t>
  </si>
  <si>
    <t xml:space="preserve">DESJARDINS SECUR. FIN.       </t>
  </si>
  <si>
    <t>OPOS Steam Purchase      425-9</t>
  </si>
  <si>
    <t>OPOS DELTA BESSBOROUGH   SASKA</t>
  </si>
  <si>
    <t>VALUE VILLAGE # 2123     SASKA</t>
  </si>
  <si>
    <t>Expected Budget</t>
  </si>
  <si>
    <t>Value</t>
  </si>
  <si>
    <t>Other</t>
  </si>
  <si>
    <t>Modify this to set your budget for each month</t>
  </si>
  <si>
    <t>TOTAL</t>
  </si>
  <si>
    <t>Expected Value</t>
  </si>
  <si>
    <t>This value populated from the "Bills" table above</t>
  </si>
  <si>
    <t>Instructions</t>
  </si>
  <si>
    <t>To use this sheet, you need to get your monthly spending reports from scotiabank</t>
  </si>
  <si>
    <t>To do this, login to Scotiabank</t>
  </si>
  <si>
    <t>Once in, go into your main account, for me this is my chequing account but it is called "Preferred Package"</t>
  </si>
  <si>
    <t>Once there, in the transaction history, click the "Current Period" dropdown and select the month to import</t>
  </si>
  <si>
    <t>Note: For a complete budget, you should import every month</t>
  </si>
  <si>
    <t>Click the search button</t>
  </si>
  <si>
    <t>Once the results appear, go to the bottom of the page, there should be an "Export results as:" button</t>
  </si>
  <si>
    <t>Select Microsoft Excel</t>
  </si>
  <si>
    <t>This will download an excel file of that month.</t>
  </si>
  <si>
    <t>#N/A</t>
  </si>
  <si>
    <t>Ideally, load all of your previous months from scotiabank to get a full overview of your budget</t>
  </si>
  <si>
    <t>Note: If you have something with a category, for example, "Home", but you made a purchase as a gift, you can manually override the category by just typing in the category you want it to be on the monthly sheet.</t>
  </si>
  <si>
    <t>DRIFT SIDEWALK CAFE      SASKA</t>
  </si>
  <si>
    <t>STARBUCKS COFFEE #47372  SASKA</t>
  </si>
  <si>
    <t>OLIVE GARDEN 4349        SASKA</t>
  </si>
  <si>
    <t>BUDS ON BROADWAY         SASKA</t>
  </si>
  <si>
    <t>PRESS'D STONEBRIDGE      SASKA</t>
  </si>
  <si>
    <t>PLEASURE WAY PUB         SASKA</t>
  </si>
  <si>
    <t>STONEBRIDGE FOOD         SASKA</t>
  </si>
  <si>
    <t>CORA STONEBRIDGE         SASKA</t>
  </si>
  <si>
    <t>OPOS 81.00 Townsend MusicLanca</t>
  </si>
  <si>
    <t>OPOS UBER* EATS          UBER.</t>
  </si>
  <si>
    <t>OPOS UBER CANADA         TORON</t>
  </si>
  <si>
    <t>CHIANTI CAFE &amp; RESTAURANTSASKA</t>
  </si>
  <si>
    <t>OPOS 71.21 WWW.REDBUBBLE.+1888</t>
  </si>
  <si>
    <t>PC TO 4537336965964010</t>
  </si>
  <si>
    <t>STONEBRIDGE              SASKA</t>
  </si>
  <si>
    <t>OPOS 10.85 Amazon web seraws.a</t>
  </si>
  <si>
    <t>THE ASIAN BOWL           SASKA</t>
  </si>
  <si>
    <t>In THIS workbook you are looking at, navigate to the "Overview" sheen and click the button that says "Add month"</t>
  </si>
  <si>
    <t>It will prompt you for a sheet name. Make sure it is the format "Month YYYY" For example, February 2022. If it is misspelt, the sheet won't get detected by the overview pages.</t>
  </si>
  <si>
    <t>After inserting the sheet name, you will be prompted to import a CSV file. Select is the Scotiabank file that you downloaded</t>
  </si>
  <si>
    <t>A script will run that automatically imports and formats the data properly</t>
  </si>
  <si>
    <t>After the import completes you are done! You just need to fill out the "POS Categories" that are labelled as "Unknown" and change them to a category of your choice</t>
  </si>
  <si>
    <t>Sasktel</t>
  </si>
  <si>
    <t>PETLAND STONEGATE        SASKA</t>
  </si>
  <si>
    <t>ORANGE JULIUS 65092      REGIN</t>
  </si>
  <si>
    <t>STAPLES #240             SASKA</t>
  </si>
  <si>
    <t>ESCAPE SPORTS            SASKA</t>
  </si>
  <si>
    <t>SAMIS SUNRISE GRILL      SASKA</t>
  </si>
  <si>
    <t>OPOS 9.40 Amazon web servaws.a</t>
  </si>
  <si>
    <t>CABELA'S CANADA          SASKA</t>
  </si>
  <si>
    <t>SNOWY VILLAGE            SASKA</t>
  </si>
  <si>
    <t>OPOS 87.84 SP * WARNER MU+6129</t>
  </si>
  <si>
    <t>OPOS 30.00 SESSIONS LIVE +1424</t>
  </si>
  <si>
    <t>OPOS U OF S PARKING SERVISASKA</t>
  </si>
  <si>
    <t>INDIGO 406               SASKA</t>
  </si>
  <si>
    <t>GRAINFIELDS FAMILY RES   SASKA</t>
  </si>
  <si>
    <t>DAIRY QUEEN #27028       SASKA</t>
  </si>
  <si>
    <t>THIEN VIETNAM DOWNTOWN   SASKA</t>
  </si>
  <si>
    <t>SOBEYS LIQUOR #1070      SASKA</t>
  </si>
  <si>
    <t>ORIGINAL JOE'S MILLAR    SASKA</t>
  </si>
  <si>
    <t>RETRO PETRO HUSKY        SASKA</t>
  </si>
  <si>
    <t>PETRO-CANADA             HUMBO</t>
  </si>
  <si>
    <t>TIM HORTONS #7569        SASKA</t>
  </si>
  <si>
    <t>SASKATOON FAMILY PHARM   SASKA</t>
  </si>
  <si>
    <t xml:space="preserve">CANADA                       </t>
  </si>
  <si>
    <t xml:space="preserve">SWAN VALLEY CO-OP GAS    SWAN </t>
  </si>
  <si>
    <t>GATEWAY CO-OP GAS BAR    CANOR</t>
  </si>
  <si>
    <t>OPOS INTUIT *            800-4</t>
  </si>
  <si>
    <t>Five Guys                Saska</t>
  </si>
  <si>
    <t>REGINA BEACH ESSO        REGIN</t>
  </si>
  <si>
    <t>TIM HORTONS #2473        SASKA</t>
  </si>
  <si>
    <t>DQ GRILL &amp; CHILL #2713   SASKA</t>
  </si>
  <si>
    <t>BOSTON PIZZA #224        SASKA</t>
  </si>
  <si>
    <t>PETRO-CANADA             N. BA</t>
  </si>
  <si>
    <t>Vacation</t>
  </si>
  <si>
    <t>VEGREVILLE FAS GAS       VEGRE</t>
  </si>
  <si>
    <t>RIVER CREE STAR BUCKS    ENOCH</t>
  </si>
  <si>
    <t>CINEPLEX STARBURST INC.  EDMON</t>
  </si>
  <si>
    <t>MOXIES BAR AND GRILL W   EDMON</t>
  </si>
  <si>
    <t>WEM - MARINE LIFE        EDMON</t>
  </si>
  <si>
    <t>WENDY'S                  EDMON</t>
  </si>
  <si>
    <t>PETRO-CANADA             JASPE</t>
  </si>
  <si>
    <t>ROCK PAPER SILVER        BANFF</t>
  </si>
  <si>
    <t>MELISSA'S MISSTEAK       BANFF</t>
  </si>
  <si>
    <t>22161 MACS CONV. STORE   BANFF</t>
  </si>
  <si>
    <t>A BIT OF BANFF           BANFF</t>
  </si>
  <si>
    <t>ELK &amp; OARSMAN BAR &amp; GR   BANFF</t>
  </si>
  <si>
    <t>OPOS PARKSCAN-YOHO/LL/KOOGATIN</t>
  </si>
  <si>
    <t>THE BISON RESTAURANT &amp;   BANFF</t>
  </si>
  <si>
    <t>JOHNSTON CANYON - CAFE   BANFF</t>
  </si>
  <si>
    <t>GOOD EARTH COFFEEHOUSE   BANFF</t>
  </si>
  <si>
    <t>EDDIE BURGER BAR         BANFF</t>
  </si>
  <si>
    <t>OPOS ALBERTA PARKS       CANMO</t>
  </si>
  <si>
    <t>Subway 15140             Drumh</t>
  </si>
  <si>
    <t>KINDERSLEY COOP C-STOR   KINDE</t>
  </si>
  <si>
    <t>CLEO'S FUSION            SASKA</t>
  </si>
  <si>
    <t>OPOS Riot* AN1HY9SFN002  866-3</t>
  </si>
  <si>
    <t>OPOS DOMINO'S PIZZA #1015SASKA</t>
  </si>
  <si>
    <t>CANADIAN TIRE #133       SASKA</t>
  </si>
  <si>
    <t>LOOSEYS'S GOOD TIME JO   SASKA</t>
  </si>
  <si>
    <t>Subway 43035             Saska</t>
  </si>
  <si>
    <t>MCDONALD S #9455         SASKA</t>
  </si>
  <si>
    <t>CORA BREAKFAST AND LUN   SASKA</t>
  </si>
  <si>
    <t>FATBURGER                SASKA</t>
  </si>
  <si>
    <t>OPOS SUDS* SUDS          +1267</t>
  </si>
  <si>
    <t>Sports</t>
  </si>
  <si>
    <t>THE CANADIAN BREW HOUS   SASKA</t>
  </si>
  <si>
    <t>FORESTRY FARM PARK &amp; Z   SASKA</t>
  </si>
  <si>
    <t>CACTUS CLUB SASKATOON    SASKA</t>
  </si>
  <si>
    <t>NORTH AMERICAN MIDWAY    CALGA</t>
  </si>
  <si>
    <t>DQ GRILL &amp; CHILL #2732   SASKA</t>
  </si>
  <si>
    <t>MemoryExpress SK ST      Saska</t>
  </si>
  <si>
    <t>OPOS NEWEGG CANADA INC   RICHM</t>
  </si>
  <si>
    <t>OPOS 7.77 OF             LONDO</t>
  </si>
  <si>
    <t>SASKATOON COOP STONEBR   SASKA</t>
  </si>
  <si>
    <t>AYDEN KITCHEN &amp; BAR      SASKA</t>
  </si>
  <si>
    <t>PETRO-CANADA             EDMON</t>
  </si>
  <si>
    <t>SKECHERS SOUTH EDMONTO   EDMON</t>
  </si>
  <si>
    <t>SQ *LOCAL SOUTH COMMON   Edmon</t>
  </si>
  <si>
    <t>TIM HORTONS #9405        EDMON</t>
  </si>
  <si>
    <t>MEAT BARBECUE            EDMON</t>
  </si>
  <si>
    <t>BOURBON STREET GRILL     EDMON</t>
  </si>
  <si>
    <t>TREEHOUSE TOYS WEM       EDMON</t>
  </si>
  <si>
    <t>TANDEM EXPOSITION INC    MONTR</t>
  </si>
  <si>
    <t>TIM HORTONS #6998        EDMON</t>
  </si>
  <si>
    <t>SASKATOON HUSKY TC       SASKA</t>
  </si>
  <si>
    <t>TIM HORTONS #2970        SASKA</t>
  </si>
  <si>
    <t>OPOS Saskatoon Adult Socc30697</t>
  </si>
  <si>
    <t>ACE BURGER               SASKA</t>
  </si>
  <si>
    <t>OPOS 55.50 CCBill.com  *O888-5</t>
  </si>
  <si>
    <t>OPOS 100.00 ONLYFANS.COM LONDO</t>
  </si>
  <si>
    <t>PINK CADILLACS DINER AND SASKA</t>
  </si>
  <si>
    <t>PRESS'D SANDWICH SHOP    SASKA</t>
  </si>
  <si>
    <t>OPOS 10.55 Amazon web seraws.a</t>
  </si>
  <si>
    <t>DIANE'S KITCHEN          SASKA</t>
  </si>
  <si>
    <t>BOSTON PIZZA # 215       SASKA</t>
  </si>
  <si>
    <t>OPOS SASK JUSTICE PROVINCREGIN</t>
  </si>
  <si>
    <t>SQ *ARTESIAN PERFORMIN   Regin</t>
  </si>
  <si>
    <t>NORTHGATE ESSO           REGIN</t>
  </si>
  <si>
    <t>MCDONALD'S #8637   Q04   REGIN</t>
  </si>
  <si>
    <t>SP * RICH MAN RECORDS    VANCO</t>
  </si>
  <si>
    <t>OPOS ARTESIAN PRESENTS   30652</t>
  </si>
  <si>
    <t>OPOS CACTUS CLUB SASKATOOSASKA</t>
  </si>
  <si>
    <t>WESTEND ESSO 88002170    LLOYD</t>
  </si>
  <si>
    <t>BOOSTER JUICE # 6 (WES   EDMON</t>
  </si>
  <si>
    <t>RIPE TOMATO PIZZA        EDMON</t>
  </si>
  <si>
    <t>SHELL C00990             LLOYD</t>
  </si>
  <si>
    <t>SMOKE'S POUTINERIE       SASKA</t>
  </si>
  <si>
    <t>BLANCO CANTINA CUMBERL   SASKA</t>
  </si>
  <si>
    <t>MANCHU WOK               REGIN</t>
  </si>
  <si>
    <t>GALAXY CINEMAS #4114     REGIN</t>
  </si>
  <si>
    <t>VICTORIA'S TAVERN NORM   REGIN</t>
  </si>
  <si>
    <t>STARBUCKS- NORMANVIEW    REGIN</t>
  </si>
  <si>
    <t>BK #3845                 REGIN</t>
  </si>
  <si>
    <t>PRAIRIELAND              SASKA</t>
  </si>
  <si>
    <t>ENCHANTED FOREST         SASKA</t>
  </si>
  <si>
    <t>MIDTOWN PLAZA            SASKA</t>
  </si>
  <si>
    <t>CHARMED AROMA MIDTOWN    SASKA</t>
  </si>
  <si>
    <t>BOOSTER JUICE #412       SASKA</t>
  </si>
  <si>
    <t>OPOS PAYPAL *YNMHOMETEXT 40293</t>
  </si>
  <si>
    <t>SPICY TIME RESTAURANT    SASKA</t>
  </si>
  <si>
    <t>DOLLARAMA #1411          SASKA</t>
  </si>
  <si>
    <t>OPOS UBER* EATS PENDING  UBER.</t>
  </si>
  <si>
    <t>HEY FRIED CHICKEN        SASKA</t>
  </si>
  <si>
    <t>BOOSTER JUICE #20        SASKA</t>
  </si>
  <si>
    <t>HANDMADE SASKATCHEWAN    SASKA</t>
  </si>
  <si>
    <t>OPOS 10.54 Amazon web seraws.a</t>
  </si>
  <si>
    <t>The values below determine what 100% is in this sheet</t>
  </si>
  <si>
    <t>1/31/2022</t>
  </si>
  <si>
    <t>-</t>
  </si>
  <si>
    <t xml:space="preserve">Payroll Deposit        </t>
  </si>
  <si>
    <t>SED Systems, a division of CPT</t>
  </si>
  <si>
    <t xml:space="preserve">POS Purchase           </t>
  </si>
  <si>
    <t>1/29/2022</t>
  </si>
  <si>
    <t>1/28/2022</t>
  </si>
  <si>
    <t>1/27/2022</t>
  </si>
  <si>
    <t>1/26/2022</t>
  </si>
  <si>
    <t>1/25/2022</t>
  </si>
  <si>
    <t>1/24/2022</t>
  </si>
  <si>
    <t>SHELL C81152             SASKA</t>
  </si>
  <si>
    <t>1/22/2022</t>
  </si>
  <si>
    <t>1/21/2022</t>
  </si>
  <si>
    <t>1/20/2022</t>
  </si>
  <si>
    <t>1/19/2022</t>
  </si>
  <si>
    <t xml:space="preserve">Customer Transfer Dr.  </t>
  </si>
  <si>
    <t>MB-CREDIT CARD/LOC PAY.</t>
  </si>
  <si>
    <t>1/17/2022</t>
  </si>
  <si>
    <t>1/15/2022</t>
  </si>
  <si>
    <t>1/14/2022</t>
  </si>
  <si>
    <t>1/11/2022</t>
  </si>
  <si>
    <t>1/10/2022</t>
  </si>
  <si>
    <t>1/8/2022</t>
  </si>
  <si>
    <t>TIM HORTONS #5868        SASKA</t>
  </si>
  <si>
    <t>1/7/2022</t>
  </si>
  <si>
    <t>1/6/2022</t>
  </si>
  <si>
    <t>OPOS SASKTEL WIRELESS RECREGIN</t>
  </si>
  <si>
    <t>1/5/2022</t>
  </si>
  <si>
    <t>1/4/2022</t>
  </si>
  <si>
    <t xml:space="preserve">Miscellaneous Payment  </t>
  </si>
  <si>
    <t>12/31/2021</t>
  </si>
  <si>
    <t>12/30/2021</t>
  </si>
  <si>
    <t>12/29/2021</t>
  </si>
  <si>
    <t>12/23/2021</t>
  </si>
  <si>
    <t>12/22/2021</t>
  </si>
  <si>
    <t>HOMESENSE 082            SASKA</t>
  </si>
  <si>
    <t>12/21/2021</t>
  </si>
  <si>
    <t>12/20/2021</t>
  </si>
  <si>
    <t>KEO'S KITCHEN            SASKA</t>
  </si>
  <si>
    <t>12/18/2021</t>
  </si>
  <si>
    <t>12/17/2021</t>
  </si>
  <si>
    <t>12/16/2021</t>
  </si>
  <si>
    <t xml:space="preserve">POS Return             </t>
  </si>
  <si>
    <t>12/15/2021</t>
  </si>
  <si>
    <t>12/14/2021</t>
  </si>
  <si>
    <t xml:space="preserve">Correction             </t>
  </si>
  <si>
    <t>12/13/2021</t>
  </si>
  <si>
    <t>12/11/2021</t>
  </si>
  <si>
    <t>12/10/2021</t>
  </si>
  <si>
    <t>12/9/2021</t>
  </si>
  <si>
    <t xml:space="preserve">Bill Payment           </t>
  </si>
  <si>
    <t>12/8/2021</t>
  </si>
  <si>
    <t>12/7/2021</t>
  </si>
  <si>
    <t>12/6/2021</t>
  </si>
  <si>
    <t>12/4/2021</t>
  </si>
  <si>
    <t>12/3/2021</t>
  </si>
  <si>
    <t>12/2/2021</t>
  </si>
  <si>
    <t>12/1/2021</t>
  </si>
  <si>
    <t>11/30/2021</t>
  </si>
  <si>
    <t>11/29/2021</t>
  </si>
  <si>
    <t>11/27/2021</t>
  </si>
  <si>
    <t>11/26/2021</t>
  </si>
  <si>
    <t>11/25/2021</t>
  </si>
  <si>
    <t>11/24/2021</t>
  </si>
  <si>
    <t>11/23/2021</t>
  </si>
  <si>
    <t>11/22/2021</t>
  </si>
  <si>
    <t>11/20/2021</t>
  </si>
  <si>
    <t>SOBEYS LIQUOR #5053      SASKA</t>
  </si>
  <si>
    <t>11/19/2021</t>
  </si>
  <si>
    <t>11/17/2021</t>
  </si>
  <si>
    <t>11/16/2021</t>
  </si>
  <si>
    <t>11/15/2021</t>
  </si>
  <si>
    <t>TIM HORTONS #1156        REGIN</t>
  </si>
  <si>
    <t>11/13/2021</t>
  </si>
  <si>
    <t>11/12/2021</t>
  </si>
  <si>
    <t>11/10/2021</t>
  </si>
  <si>
    <t>11/9/2021</t>
  </si>
  <si>
    <t>11/8/2021</t>
  </si>
  <si>
    <t>PETRO-CANADA             SASKA</t>
  </si>
  <si>
    <t>11/6/2021</t>
  </si>
  <si>
    <t>11/5/2021</t>
  </si>
  <si>
    <t xml:space="preserve">WITHDRAWAL             </t>
  </si>
  <si>
    <t xml:space="preserve">DEPOSIT                </t>
  </si>
  <si>
    <t>11/4/2021</t>
  </si>
  <si>
    <t>11/3/2021</t>
  </si>
  <si>
    <t>11/2/2021</t>
  </si>
  <si>
    <t>11/1/2021</t>
  </si>
  <si>
    <t>10/30/2021</t>
  </si>
  <si>
    <t>10/29/2021</t>
  </si>
  <si>
    <t>10/28/2021</t>
  </si>
  <si>
    <t>10/27/2021</t>
  </si>
  <si>
    <t>10/26/2021</t>
  </si>
  <si>
    <t>10/25/2021</t>
  </si>
  <si>
    <t>10/23/2021</t>
  </si>
  <si>
    <t>10/22/2021</t>
  </si>
  <si>
    <t>10/20/2021</t>
  </si>
  <si>
    <t>10/19/2021</t>
  </si>
  <si>
    <t>10/18/2021</t>
  </si>
  <si>
    <t>10/16/2021</t>
  </si>
  <si>
    <t>10/15/2021</t>
  </si>
  <si>
    <t>10/14/2021</t>
  </si>
  <si>
    <t>10/13/2021</t>
  </si>
  <si>
    <t>10/12/2021</t>
  </si>
  <si>
    <t>10/9/2021</t>
  </si>
  <si>
    <t>10/8/2021</t>
  </si>
  <si>
    <t>10/7/2021</t>
  </si>
  <si>
    <t>10/6/2021</t>
  </si>
  <si>
    <t>10/5/2021</t>
  </si>
  <si>
    <t>10/4/2021</t>
  </si>
  <si>
    <t>10/2/2021</t>
  </si>
  <si>
    <t>10/1/2021</t>
  </si>
  <si>
    <t>9/29/2021</t>
  </si>
  <si>
    <t>9/28/2021</t>
  </si>
  <si>
    <t>9/27/2021</t>
  </si>
  <si>
    <t>9/25/2021</t>
  </si>
  <si>
    <t>9/24/2021</t>
  </si>
  <si>
    <t>9/23/2021</t>
  </si>
  <si>
    <t>9/22/2021</t>
  </si>
  <si>
    <t>9/21/2021</t>
  </si>
  <si>
    <t>9/20/2021</t>
  </si>
  <si>
    <t>9/17/2021</t>
  </si>
  <si>
    <t>9/16/2021</t>
  </si>
  <si>
    <t xml:space="preserve">Investment             </t>
  </si>
  <si>
    <t>9/15/2021</t>
  </si>
  <si>
    <t>9/14/2021</t>
  </si>
  <si>
    <t>9/13/2021</t>
  </si>
  <si>
    <t>9/11/2021</t>
  </si>
  <si>
    <t>9/10/2021</t>
  </si>
  <si>
    <t>9/9/2021</t>
  </si>
  <si>
    <t>9/8/2021</t>
  </si>
  <si>
    <t>9/7/2021</t>
  </si>
  <si>
    <t>9/4/2021</t>
  </si>
  <si>
    <t>9/3/2021</t>
  </si>
  <si>
    <t>9/2/2021</t>
  </si>
  <si>
    <t>9/1/2021</t>
  </si>
  <si>
    <t>8/31/2021</t>
  </si>
  <si>
    <t>8/30/2021</t>
  </si>
  <si>
    <t>8/28/2021</t>
  </si>
  <si>
    <t>8/27/2021</t>
  </si>
  <si>
    <t>8/26/2021</t>
  </si>
  <si>
    <t>8/24/2021</t>
  </si>
  <si>
    <t>8/23/2021</t>
  </si>
  <si>
    <t>8/21/2021</t>
  </si>
  <si>
    <t>8/20/2021</t>
  </si>
  <si>
    <t>8/19/2021</t>
  </si>
  <si>
    <t>8/18/2021</t>
  </si>
  <si>
    <t>8/17/2021</t>
  </si>
  <si>
    <t>8/16/2021</t>
  </si>
  <si>
    <t>8/13/2021</t>
  </si>
  <si>
    <t>8/12/2021</t>
  </si>
  <si>
    <t>8/11/2021</t>
  </si>
  <si>
    <t>8/10/2021</t>
  </si>
  <si>
    <t>8/9/2021</t>
  </si>
  <si>
    <t>8/7/2021</t>
  </si>
  <si>
    <t>8/6/2021</t>
  </si>
  <si>
    <t>8/5/2021</t>
  </si>
  <si>
    <t>8/4/2021</t>
  </si>
  <si>
    <t>8/3/2021</t>
  </si>
  <si>
    <t>8/2/2021</t>
  </si>
  <si>
    <t>7/31/2021</t>
  </si>
  <si>
    <t>7/30/2021</t>
  </si>
  <si>
    <t>7/29/2021</t>
  </si>
  <si>
    <t>7/28/2021</t>
  </si>
  <si>
    <t>7/27/2021</t>
  </si>
  <si>
    <t>7/26/2021</t>
  </si>
  <si>
    <t>7/24/2021</t>
  </si>
  <si>
    <t>7/23/2021</t>
  </si>
  <si>
    <t>7/22/2021</t>
  </si>
  <si>
    <t>7/21/2021</t>
  </si>
  <si>
    <t>7/20/2021</t>
  </si>
  <si>
    <t>7/19/2021</t>
  </si>
  <si>
    <t>7/17/2021</t>
  </si>
  <si>
    <t>7/16/2021</t>
  </si>
  <si>
    <t>7/15/2021</t>
  </si>
  <si>
    <t>7/13/2021</t>
  </si>
  <si>
    <t>7/12/2021</t>
  </si>
  <si>
    <t>7/10/2021</t>
  </si>
  <si>
    <t>7/9/2021</t>
  </si>
  <si>
    <t>7/8/2021</t>
  </si>
  <si>
    <t>7/7/2021</t>
  </si>
  <si>
    <t>7/6/2021</t>
  </si>
  <si>
    <t>7/5/2021</t>
  </si>
  <si>
    <t>7/3/2021</t>
  </si>
  <si>
    <t>7/2/2021</t>
  </si>
  <si>
    <t>6/30/2021</t>
  </si>
  <si>
    <t>6/28/2021</t>
  </si>
  <si>
    <t>6/26/2021</t>
  </si>
  <si>
    <t>6/25/2021</t>
  </si>
  <si>
    <t>6/24/2021</t>
  </si>
  <si>
    <t>6/22/2021</t>
  </si>
  <si>
    <t>6/21/2021</t>
  </si>
  <si>
    <t>6/19/2021</t>
  </si>
  <si>
    <t>6/18/2021</t>
  </si>
  <si>
    <t>6/17/2021</t>
  </si>
  <si>
    <t>6/16/2021</t>
  </si>
  <si>
    <t>6/15/2021</t>
  </si>
  <si>
    <t>6/14/2021</t>
  </si>
  <si>
    <t>6/12/2021</t>
  </si>
  <si>
    <t>6/11/2021</t>
  </si>
  <si>
    <t>6/10/2021</t>
  </si>
  <si>
    <t>6/7/2021</t>
  </si>
  <si>
    <t>EARLS SASKATOON          SASKA</t>
  </si>
  <si>
    <t>6/5/2021</t>
  </si>
  <si>
    <t>6/4/2021</t>
  </si>
  <si>
    <t>6/3/2021</t>
  </si>
  <si>
    <t>6/1/2021</t>
  </si>
  <si>
    <t>5/31/2021</t>
  </si>
  <si>
    <t>5/29/2021</t>
  </si>
  <si>
    <t>5/28/2021</t>
  </si>
  <si>
    <t>5/27/2021</t>
  </si>
  <si>
    <t>5/26/2021</t>
  </si>
  <si>
    <t>5/25/2021</t>
  </si>
  <si>
    <t>A&amp;W STORE 2285           SASKA</t>
  </si>
  <si>
    <t>5/21/2021</t>
  </si>
  <si>
    <t>5/19/2021</t>
  </si>
  <si>
    <t>5/17/2021</t>
  </si>
  <si>
    <t>5/15/2021</t>
  </si>
  <si>
    <t>5/14/2021</t>
  </si>
  <si>
    <t>5/13/2021</t>
  </si>
  <si>
    <t xml:space="preserve">Tax Refund             </t>
  </si>
  <si>
    <t>5/12/2021</t>
  </si>
  <si>
    <t>5/11/2021</t>
  </si>
  <si>
    <t>5/10/2021</t>
  </si>
  <si>
    <t>5/8/2021</t>
  </si>
  <si>
    <t>5/7/2021</t>
  </si>
  <si>
    <t>5/6/2021</t>
  </si>
  <si>
    <t>5/5/2021</t>
  </si>
  <si>
    <t>5/4/2021</t>
  </si>
  <si>
    <t>5/3/2021</t>
  </si>
  <si>
    <t>5/1/2021</t>
  </si>
  <si>
    <t>4/30/2021</t>
  </si>
  <si>
    <t>4/29/2021</t>
  </si>
  <si>
    <t>4/28/2021</t>
  </si>
  <si>
    <t>4/26/2021</t>
  </si>
  <si>
    <t>4/24/2021</t>
  </si>
  <si>
    <t>4/23/2021</t>
  </si>
  <si>
    <t>4/22/2021</t>
  </si>
  <si>
    <t>4/21/2021</t>
  </si>
  <si>
    <t>4/20/2021</t>
  </si>
  <si>
    <t>4/19/2021</t>
  </si>
  <si>
    <t>4/17/2021</t>
  </si>
  <si>
    <t>4/16/2021</t>
  </si>
  <si>
    <t>4/15/2021</t>
  </si>
  <si>
    <t>4/13/2021</t>
  </si>
  <si>
    <t>4/12/2021</t>
  </si>
  <si>
    <t>4/9/2021</t>
  </si>
  <si>
    <t>4/6/2021</t>
  </si>
  <si>
    <t>4/5/2021</t>
  </si>
  <si>
    <t>4/3/2021</t>
  </si>
  <si>
    <t>4/1/2021</t>
  </si>
  <si>
    <t>3/31/2021</t>
  </si>
  <si>
    <t>3/30/2021</t>
  </si>
  <si>
    <t>MB-DEP</t>
  </si>
  <si>
    <t>3/27/2021</t>
  </si>
  <si>
    <t>3/26/2021</t>
  </si>
  <si>
    <t>3/25/2021</t>
  </si>
  <si>
    <t>3/23/2021</t>
  </si>
  <si>
    <t>3/17/2021</t>
  </si>
  <si>
    <t>3/16/2021</t>
  </si>
  <si>
    <t>3/15/2021</t>
  </si>
  <si>
    <t>3/13/2021</t>
  </si>
  <si>
    <t>3/11/2021</t>
  </si>
  <si>
    <t>3/10/2021</t>
  </si>
  <si>
    <t>3/9/2021</t>
  </si>
  <si>
    <t>3/8/2021</t>
  </si>
  <si>
    <t>3/6/2021</t>
  </si>
  <si>
    <t>3/5/2021</t>
  </si>
  <si>
    <t>3/4/2021</t>
  </si>
  <si>
    <t>3/3/2021</t>
  </si>
  <si>
    <t>3/1/2021</t>
  </si>
  <si>
    <t>2/27/2021</t>
  </si>
  <si>
    <t>2/26/2021</t>
  </si>
  <si>
    <t>2/25/2021</t>
  </si>
  <si>
    <t>2/22/2021</t>
  </si>
  <si>
    <t>2/20/2021</t>
  </si>
  <si>
    <t>2/19/2021</t>
  </si>
  <si>
    <t>2/18/2021</t>
  </si>
  <si>
    <t>2/15/2021</t>
  </si>
  <si>
    <t>2/13/2021</t>
  </si>
  <si>
    <t>2/12/2021</t>
  </si>
  <si>
    <t>2/11/2021</t>
  </si>
  <si>
    <t>2/10/2021</t>
  </si>
  <si>
    <t>2/9/2021</t>
  </si>
  <si>
    <t>2/8/2021</t>
  </si>
  <si>
    <t>2/6/2021</t>
  </si>
  <si>
    <t>2/4/2021</t>
  </si>
  <si>
    <t>2/3/2021</t>
  </si>
  <si>
    <t>2/2/2021</t>
  </si>
  <si>
    <t>2/1/2021</t>
  </si>
  <si>
    <t>1/30/2021</t>
  </si>
  <si>
    <t>1/29/2021</t>
  </si>
  <si>
    <t>1/27/2021</t>
  </si>
  <si>
    <t>1/25/2021</t>
  </si>
  <si>
    <t>1/21/2021</t>
  </si>
  <si>
    <t>1/20/2021</t>
  </si>
  <si>
    <t>1/18/2021</t>
  </si>
  <si>
    <t>1/16/2021</t>
  </si>
  <si>
    <t>1/15/2021</t>
  </si>
  <si>
    <t>1/14/2021</t>
  </si>
  <si>
    <t>1/12/2021</t>
  </si>
  <si>
    <t>1/11/2021</t>
  </si>
  <si>
    <t>1/9/2021</t>
  </si>
  <si>
    <t>1/8/2021</t>
  </si>
  <si>
    <t>1/6/2021</t>
  </si>
  <si>
    <t>1/4/2021</t>
  </si>
  <si>
    <t>1/2/2021</t>
  </si>
  <si>
    <t>12/31/2020</t>
  </si>
  <si>
    <t>12/30/2020</t>
  </si>
  <si>
    <t>12/29/2020</t>
  </si>
  <si>
    <t>CANADIAN TIRE #275       REGIN</t>
  </si>
  <si>
    <t>12/24/2020</t>
  </si>
  <si>
    <t>DQ GRILL &amp; CHILL #2732   REGIN</t>
  </si>
  <si>
    <t>12/23/2020</t>
  </si>
  <si>
    <t>12/22/2020</t>
  </si>
  <si>
    <t>12/21/2020</t>
  </si>
  <si>
    <t>12/19/2020</t>
  </si>
  <si>
    <t>12/18/2020</t>
  </si>
  <si>
    <t>12/17/2020</t>
  </si>
  <si>
    <t>12/15/2020</t>
  </si>
  <si>
    <t>12/14/2020</t>
  </si>
  <si>
    <t>12/12/2020</t>
  </si>
  <si>
    <t>12/11/2020</t>
  </si>
  <si>
    <t>12/9/2020</t>
  </si>
  <si>
    <t>INTERAC E-TRANSFER</t>
  </si>
  <si>
    <t>12/7/2020</t>
  </si>
  <si>
    <t>12/5/2020</t>
  </si>
  <si>
    <t>12/4/2020</t>
  </si>
  <si>
    <t>12/3/2020</t>
  </si>
  <si>
    <t>12/1/2020</t>
  </si>
  <si>
    <t>11/30/2020</t>
  </si>
  <si>
    <t>11/28/2020</t>
  </si>
  <si>
    <t>11/25/2020</t>
  </si>
  <si>
    <t>11/23/2020</t>
  </si>
  <si>
    <t>11/21/2020</t>
  </si>
  <si>
    <t>11/19/2020</t>
  </si>
  <si>
    <t>11/17/2020</t>
  </si>
  <si>
    <t>11/16/2020</t>
  </si>
  <si>
    <t>11/14/2020</t>
  </si>
  <si>
    <t>11/13/2020</t>
  </si>
  <si>
    <t>11/12/2020</t>
  </si>
  <si>
    <t>11/10/2020</t>
  </si>
  <si>
    <t>11/7/2020</t>
  </si>
  <si>
    <t>11/6/2020</t>
  </si>
  <si>
    <t>11/5/2020</t>
  </si>
  <si>
    <t>11/3/2020</t>
  </si>
  <si>
    <t>10/31/2020</t>
  </si>
  <si>
    <t>10/30/2020</t>
  </si>
  <si>
    <t>10/29/2020</t>
  </si>
  <si>
    <t>10/28/2020</t>
  </si>
  <si>
    <t>10/27/2020</t>
  </si>
  <si>
    <t>10/26/2020</t>
  </si>
  <si>
    <t>10/24/2020</t>
  </si>
  <si>
    <t>10/23/2020</t>
  </si>
  <si>
    <t>10/22/2020</t>
  </si>
  <si>
    <t>10/21/2020</t>
  </si>
  <si>
    <t>10/20/2020</t>
  </si>
  <si>
    <t>REAL CDN SUPERSTORE #1   SASKA</t>
  </si>
  <si>
    <t>10/19/2020</t>
  </si>
  <si>
    <t xml:space="preserve">Service Charge         </t>
  </si>
  <si>
    <t>10/16/2020</t>
  </si>
  <si>
    <t>10/15/2020</t>
  </si>
  <si>
    <t>10/13/2020</t>
  </si>
  <si>
    <t>WENDY'S RESTAURANT       REGIN</t>
  </si>
  <si>
    <t>10/10/2020</t>
  </si>
  <si>
    <t>10/9/2020</t>
  </si>
  <si>
    <t>10/7/2020</t>
  </si>
  <si>
    <t>10/5/2020</t>
  </si>
  <si>
    <t>10/3/2020</t>
  </si>
  <si>
    <t>10/1/2020</t>
  </si>
  <si>
    <t>9/30/2020</t>
  </si>
  <si>
    <t>9/28/2020</t>
  </si>
  <si>
    <t>9/24/2020</t>
  </si>
  <si>
    <t>9/21/2020</t>
  </si>
  <si>
    <t>9/19/2020</t>
  </si>
  <si>
    <t>9/16/2020</t>
  </si>
  <si>
    <t>9/15/2020</t>
  </si>
  <si>
    <t>9/14/2020</t>
  </si>
  <si>
    <t>9/11/2020</t>
  </si>
  <si>
    <t>9/10/2020</t>
  </si>
  <si>
    <t>9/9/2020</t>
  </si>
  <si>
    <t>WAL-MART #5878           SASKA</t>
  </si>
  <si>
    <t>9/8/2020</t>
  </si>
  <si>
    <t>9/5/2020</t>
  </si>
  <si>
    <t>9/2/2020</t>
  </si>
  <si>
    <t>9/1/2020</t>
  </si>
  <si>
    <t>8/31/2020</t>
  </si>
  <si>
    <t>8/29/2020</t>
  </si>
  <si>
    <t>8/27/2020</t>
  </si>
  <si>
    <t>8/24/2020</t>
  </si>
  <si>
    <t>8/22/2020</t>
  </si>
  <si>
    <t>8/21/2020</t>
  </si>
  <si>
    <t>8/20/2020</t>
  </si>
  <si>
    <t>8/18/2020</t>
  </si>
  <si>
    <t>8/17/2020</t>
  </si>
  <si>
    <t>8/14/2020</t>
  </si>
  <si>
    <t>8/13/2020</t>
  </si>
  <si>
    <t>8/12/2020</t>
  </si>
  <si>
    <t>8/10/2020</t>
  </si>
  <si>
    <t>8/8/2020</t>
  </si>
  <si>
    <t>8/7/2020</t>
  </si>
  <si>
    <t>8/6/2020</t>
  </si>
  <si>
    <t xml:space="preserve">SASKTEL PAYROLL DME          </t>
  </si>
  <si>
    <t>8/5/2020</t>
  </si>
  <si>
    <t xml:space="preserve">Cheque                 </t>
  </si>
  <si>
    <t>8/4/2020</t>
  </si>
  <si>
    <t>8/3/2020</t>
  </si>
  <si>
    <t>8/1/2020</t>
  </si>
  <si>
    <t>7/31/2020</t>
  </si>
  <si>
    <t>7/29/2020</t>
  </si>
  <si>
    <t>SUPER CENTER #5878       SASKA</t>
  </si>
  <si>
    <t>7/27/2020</t>
  </si>
  <si>
    <t>SQ *STREET TREATS ICE    Lumsd</t>
  </si>
  <si>
    <t>7/25/2020</t>
  </si>
  <si>
    <t>PETRO-CANADA             REGIN</t>
  </si>
  <si>
    <t>7/24/2020</t>
  </si>
  <si>
    <t>PRAIRIE DONAIR           REGIN</t>
  </si>
  <si>
    <t>7/23/2020</t>
  </si>
  <si>
    <t>7/22/2020</t>
  </si>
  <si>
    <t>7/21/2020</t>
  </si>
  <si>
    <t>A &amp; W REGINA - AVONHUR   REGIN</t>
  </si>
  <si>
    <t>7/20/2020</t>
  </si>
  <si>
    <t>SHELL C11988             SASKA</t>
  </si>
  <si>
    <t>7/18/2020</t>
  </si>
  <si>
    <t>AFFINITY INSURANCE SER   REGIN</t>
  </si>
  <si>
    <t>7/17/2020</t>
  </si>
  <si>
    <t>THE FAT BADGER           REGIN</t>
  </si>
  <si>
    <t>A &amp; W REGINA - CORNWAL   REGIN</t>
  </si>
  <si>
    <t>7/16/2020</t>
  </si>
  <si>
    <t>BOSTON PIZZA # 210       REGIN</t>
  </si>
  <si>
    <t>FRESHII - REGINA         REGIN</t>
  </si>
  <si>
    <t>TANGERINE: THE FOOD BAR  REGIN</t>
  </si>
  <si>
    <t>TIM HORTONS #3282        REGIN</t>
  </si>
  <si>
    <t>7/15/2020</t>
  </si>
  <si>
    <t>7/14/2020</t>
  </si>
  <si>
    <t>DAIRY QUEEN #27215       REGIN</t>
  </si>
  <si>
    <t>SUBWAY # 33065           REGIN</t>
  </si>
  <si>
    <t>7/13/2020</t>
  </si>
  <si>
    <t>7/11/2020</t>
  </si>
  <si>
    <t>7/10/2020</t>
  </si>
  <si>
    <t>STARBUCKS #04496#        SASKA</t>
  </si>
  <si>
    <t>7/9/2020</t>
  </si>
  <si>
    <t>7/8/2020</t>
  </si>
  <si>
    <t>KUNG PAO WOK             REGIN</t>
  </si>
  <si>
    <t>7/7/2020</t>
  </si>
  <si>
    <t>REGINA POLICE 1          REGIN</t>
  </si>
  <si>
    <t>7/6/2020</t>
  </si>
  <si>
    <t>NEW YORK FRIES #3272     REGIN</t>
  </si>
  <si>
    <t>7/4/2020</t>
  </si>
  <si>
    <t>7/3/2020</t>
  </si>
  <si>
    <t>OPOS MICROSOFT*STORE     MSBIL</t>
  </si>
  <si>
    <t>OPOS 9.15 Amazon web servaws.a</t>
  </si>
  <si>
    <t>7/2/2020</t>
  </si>
  <si>
    <t>OPOS STASEON KLEIN APPLICREGIN</t>
  </si>
  <si>
    <t>6/30/2020</t>
  </si>
  <si>
    <t>6/27/2020</t>
  </si>
  <si>
    <t>6/26/2020</t>
  </si>
  <si>
    <t>6/25/2020</t>
  </si>
  <si>
    <t>6/24/2020</t>
  </si>
  <si>
    <t>6/23/2020</t>
  </si>
  <si>
    <t>6/22/2020</t>
  </si>
  <si>
    <t>6/20/2020</t>
  </si>
  <si>
    <t>6/16/2020</t>
  </si>
  <si>
    <t>6/15/2020</t>
  </si>
  <si>
    <t>6/12/2020</t>
  </si>
  <si>
    <t>6/11/2020</t>
  </si>
  <si>
    <t>6/10/2020</t>
  </si>
  <si>
    <t>6/8/2020</t>
  </si>
  <si>
    <t>6/6/2020</t>
  </si>
  <si>
    <t>6/5/2020</t>
  </si>
  <si>
    <t>6/3/2020</t>
  </si>
  <si>
    <t>6/2/2020</t>
  </si>
  <si>
    <t>6/1/2020</t>
  </si>
  <si>
    <t>5/29/2020</t>
  </si>
  <si>
    <t>5/28/2020</t>
  </si>
  <si>
    <t>5/27/2020</t>
  </si>
  <si>
    <t>5/26/2020</t>
  </si>
  <si>
    <t>5/25/2020</t>
  </si>
  <si>
    <t>5/23/2020</t>
  </si>
  <si>
    <t>5/20/2020</t>
  </si>
  <si>
    <t>5/19/2020</t>
  </si>
  <si>
    <t>5/14/2020</t>
  </si>
  <si>
    <t>5/11/2020</t>
  </si>
  <si>
    <t>5/9/2020</t>
  </si>
  <si>
    <t>5/7/2020</t>
  </si>
  <si>
    <t>5/5/2020</t>
  </si>
  <si>
    <t>5/4/2020</t>
  </si>
  <si>
    <t>5/1/2020</t>
  </si>
  <si>
    <t>4/30/2020</t>
  </si>
  <si>
    <t>4/29/2020</t>
  </si>
  <si>
    <t>4/27/2020</t>
  </si>
  <si>
    <t>4/23/2020</t>
  </si>
  <si>
    <t>4/21/2020</t>
  </si>
  <si>
    <t>4/20/2020</t>
  </si>
  <si>
    <t>4/16/2020</t>
  </si>
  <si>
    <t>4/9/2020</t>
  </si>
  <si>
    <t>4/6/2020</t>
  </si>
  <si>
    <t>4/4/2020</t>
  </si>
  <si>
    <t>4/2/2020</t>
  </si>
  <si>
    <t>4/1/2020</t>
  </si>
  <si>
    <t>3/30/2020</t>
  </si>
  <si>
    <t>3/27/2020</t>
  </si>
  <si>
    <t>3/24/2020</t>
  </si>
  <si>
    <t>3/19/2020</t>
  </si>
  <si>
    <t>3/18/2020</t>
  </si>
  <si>
    <t>3/17/2020</t>
  </si>
  <si>
    <t>3/16/2020</t>
  </si>
  <si>
    <t>3/14/2020</t>
  </si>
  <si>
    <t>3/12/2020</t>
  </si>
  <si>
    <t>3/11/2020</t>
  </si>
  <si>
    <t>3/10/2020</t>
  </si>
  <si>
    <t>3/9/2020</t>
  </si>
  <si>
    <t>3/6/2020</t>
  </si>
  <si>
    <t>3/5/2020</t>
  </si>
  <si>
    <t>3/4/2020</t>
  </si>
  <si>
    <t>3/3/2020</t>
  </si>
  <si>
    <t>3/2/2020</t>
  </si>
  <si>
    <t>2/29/2020</t>
  </si>
  <si>
    <t>2/28/2020</t>
  </si>
  <si>
    <t>2/27/2020</t>
  </si>
  <si>
    <t>2/26/2020</t>
  </si>
  <si>
    <t>2/25/2020</t>
  </si>
  <si>
    <t>2/21/2020</t>
  </si>
  <si>
    <t>2/20/2020</t>
  </si>
  <si>
    <t>2/19/2020</t>
  </si>
  <si>
    <t>2/18/2020</t>
  </si>
  <si>
    <t>2/17/2020</t>
  </si>
  <si>
    <t>2/14/2020</t>
  </si>
  <si>
    <t>2/13/2020</t>
  </si>
  <si>
    <t>2/12/2020</t>
  </si>
  <si>
    <t>2/11/2020</t>
  </si>
  <si>
    <t>2/10/2020</t>
  </si>
  <si>
    <t>2/8/2020</t>
  </si>
  <si>
    <t>2/7/2020</t>
  </si>
  <si>
    <t>2/6/2020</t>
  </si>
  <si>
    <t>2/4/2020</t>
  </si>
  <si>
    <t>2/3/2020</t>
  </si>
  <si>
    <t>2/1/2020</t>
  </si>
  <si>
    <t>1/30/2020</t>
  </si>
  <si>
    <t>1/29/2020</t>
  </si>
  <si>
    <t>1/28/2020</t>
  </si>
  <si>
    <t>1/27/2020</t>
  </si>
  <si>
    <t>1/25/2020</t>
  </si>
  <si>
    <t>1/24/2020</t>
  </si>
  <si>
    <t>1/23/2020</t>
  </si>
  <si>
    <t>1/22/2020</t>
  </si>
  <si>
    <t>1/20/2020</t>
  </si>
  <si>
    <t>1/18/2020</t>
  </si>
  <si>
    <t>1/17/2020</t>
  </si>
  <si>
    <t>1/16/2020</t>
  </si>
  <si>
    <t>1/15/2020</t>
  </si>
  <si>
    <t>1/14/2020</t>
  </si>
  <si>
    <t>1/13/2020</t>
  </si>
  <si>
    <t>1/11/2020</t>
  </si>
  <si>
    <t>1/10/2020</t>
  </si>
  <si>
    <t>1/9/2020</t>
  </si>
  <si>
    <t>1/8/2020</t>
  </si>
  <si>
    <t>1/7/2020</t>
  </si>
  <si>
    <t>1/6/2020</t>
  </si>
  <si>
    <t>1/3/2020</t>
  </si>
  <si>
    <t>1/2/2020</t>
  </si>
  <si>
    <t>12/31/2019</t>
  </si>
  <si>
    <t>12/30/2019</t>
  </si>
  <si>
    <t>12/27/2019</t>
  </si>
  <si>
    <t>12/24/2019</t>
  </si>
  <si>
    <t>12/23/2019</t>
  </si>
  <si>
    <t xml:space="preserve">Insurance              </t>
  </si>
  <si>
    <t>12/20/2019</t>
  </si>
  <si>
    <t>12/19/2019</t>
  </si>
  <si>
    <t>12/18/2019</t>
  </si>
  <si>
    <t>12/17/2019</t>
  </si>
  <si>
    <t>12/16/2019</t>
  </si>
  <si>
    <t>12/14/2019</t>
  </si>
  <si>
    <t>ABM Withdrawal</t>
  </si>
  <si>
    <t>12/13/2019</t>
  </si>
  <si>
    <t>12/12/2019</t>
  </si>
  <si>
    <t>12/11/2019</t>
  </si>
  <si>
    <t>12/10/2019</t>
  </si>
  <si>
    <t>12/9/2019</t>
  </si>
  <si>
    <t>12/7/2019</t>
  </si>
  <si>
    <t>12/6/2019</t>
  </si>
  <si>
    <t>12/5/2019</t>
  </si>
  <si>
    <t>12/4/2019</t>
  </si>
  <si>
    <t>12/3/2019</t>
  </si>
  <si>
    <t>12/2/2019</t>
  </si>
  <si>
    <t>11/30/2019</t>
  </si>
  <si>
    <t>11/28/2019</t>
  </si>
  <si>
    <t>11/27/2019</t>
  </si>
  <si>
    <t>11/26/2019</t>
  </si>
  <si>
    <t>11/25/2019</t>
  </si>
  <si>
    <t>11/23/2019</t>
  </si>
  <si>
    <t>11/22/2019</t>
  </si>
  <si>
    <t>11/21/2019</t>
  </si>
  <si>
    <t>11/20/2019</t>
  </si>
  <si>
    <t>11/19/2019</t>
  </si>
  <si>
    <t>11/18/2019</t>
  </si>
  <si>
    <t>11/15/2019</t>
  </si>
  <si>
    <t>11/14/2019</t>
  </si>
  <si>
    <t>11/12/2019</t>
  </si>
  <si>
    <t>11/9/2019</t>
  </si>
  <si>
    <t>11/7/2019</t>
  </si>
  <si>
    <t>11/6/2019</t>
  </si>
  <si>
    <t>11/5/2019</t>
  </si>
  <si>
    <t>11/4/2019</t>
  </si>
  <si>
    <t>11/1/2019</t>
  </si>
  <si>
    <t>10/31/2019</t>
  </si>
  <si>
    <t>10/30/2019</t>
  </si>
  <si>
    <t>10/29/2019</t>
  </si>
  <si>
    <t>10/28/2019</t>
  </si>
  <si>
    <t>10/25/2019</t>
  </si>
  <si>
    <t>10/24/2019</t>
  </si>
  <si>
    <t>10/23/2019</t>
  </si>
  <si>
    <t>10/22/2019</t>
  </si>
  <si>
    <t>10/21/2019</t>
  </si>
  <si>
    <t>10/17/2019</t>
  </si>
  <si>
    <t>10/16/2019</t>
  </si>
  <si>
    <t>10/15/2019</t>
  </si>
  <si>
    <t>10/11/2019</t>
  </si>
  <si>
    <t>10/10/2019</t>
  </si>
  <si>
    <t>10/8/2019</t>
  </si>
  <si>
    <t>10/5/2019</t>
  </si>
  <si>
    <t>10/4/2019</t>
  </si>
  <si>
    <t>10/3/2019</t>
  </si>
  <si>
    <t>10/2/2019</t>
  </si>
  <si>
    <t>10/1/2019</t>
  </si>
  <si>
    <t>9/30/2019</t>
  </si>
  <si>
    <t>9/27/2019</t>
  </si>
  <si>
    <t>9/26/2019</t>
  </si>
  <si>
    <t>9/25/2019</t>
  </si>
  <si>
    <t>9/24/2019</t>
  </si>
  <si>
    <t>9/23/2019</t>
  </si>
  <si>
    <t>9/20/2019</t>
  </si>
  <si>
    <t>9/19/2019</t>
  </si>
  <si>
    <t>9/18/2019</t>
  </si>
  <si>
    <t>9/17/2019</t>
  </si>
  <si>
    <t>9/16/2019</t>
  </si>
  <si>
    <t>9/13/2019</t>
  </si>
  <si>
    <t>9/12/2019</t>
  </si>
  <si>
    <t>9/11/2019</t>
  </si>
  <si>
    <t>9/10/2019</t>
  </si>
  <si>
    <t>9/9/2019</t>
  </si>
  <si>
    <t>9/7/2019</t>
  </si>
  <si>
    <t>9/6/2019</t>
  </si>
  <si>
    <t>9/5/2019</t>
  </si>
  <si>
    <t>9/4/2019</t>
  </si>
  <si>
    <t>9/3/2019</t>
  </si>
  <si>
    <t>8/31/2019</t>
  </si>
  <si>
    <t>8/30/2019</t>
  </si>
  <si>
    <t>8/29/2019</t>
  </si>
  <si>
    <t>8/28/2019</t>
  </si>
  <si>
    <t>8/27/2019</t>
  </si>
  <si>
    <t>8/26/2019</t>
  </si>
  <si>
    <t>8/24/2019</t>
  </si>
  <si>
    <t>8/23/2019</t>
  </si>
  <si>
    <t>8/22/2019</t>
  </si>
  <si>
    <t>8/21/2019</t>
  </si>
  <si>
    <t>8/20/2019</t>
  </si>
  <si>
    <t>8/19/2019</t>
  </si>
  <si>
    <t>8/16/2019</t>
  </si>
  <si>
    <t>8/15/2019</t>
  </si>
  <si>
    <t>8/14/2019</t>
  </si>
  <si>
    <t>8/13/2019</t>
  </si>
  <si>
    <t>8/12/2019</t>
  </si>
  <si>
    <t>8/10/2019</t>
  </si>
  <si>
    <t>8/9/2019</t>
  </si>
  <si>
    <t>8/8/2019</t>
  </si>
  <si>
    <t>8/7/2019</t>
  </si>
  <si>
    <t>8/6/2019</t>
  </si>
  <si>
    <t>8/5/2019</t>
  </si>
  <si>
    <t>8/3/2019</t>
  </si>
  <si>
    <t>8/2/2019</t>
  </si>
  <si>
    <t>8/1/2019</t>
  </si>
  <si>
    <t>7/31/2019</t>
  </si>
  <si>
    <t>7/30/2019</t>
  </si>
  <si>
    <t>7/29/2019</t>
  </si>
  <si>
    <t>7/26/2019</t>
  </si>
  <si>
    <t>7/25/2019</t>
  </si>
  <si>
    <t>7/24/2019</t>
  </si>
  <si>
    <t>7/23/2019</t>
  </si>
  <si>
    <t>7/22/2019</t>
  </si>
  <si>
    <t>7/20/2019</t>
  </si>
  <si>
    <t>MB-TRANSFER</t>
  </si>
  <si>
    <t>7/19/2019</t>
  </si>
  <si>
    <t>7/18/2019</t>
  </si>
  <si>
    <t>7/17/2019</t>
  </si>
  <si>
    <t>7/16/2019</t>
  </si>
  <si>
    <t>7/15/2019</t>
  </si>
  <si>
    <t>7/12/2019</t>
  </si>
  <si>
    <t>7/11/2019</t>
  </si>
  <si>
    <t>7/10/2019</t>
  </si>
  <si>
    <t>7/9/2019</t>
  </si>
  <si>
    <t>7/8/2019</t>
  </si>
  <si>
    <t>7/5/2019</t>
  </si>
  <si>
    <t>7/4/2019</t>
  </si>
  <si>
    <t>7/3/2019</t>
  </si>
  <si>
    <t>7/2/2019</t>
  </si>
  <si>
    <t>6/29/2019</t>
  </si>
  <si>
    <t>6/27/2019</t>
  </si>
  <si>
    <t>6/26/2019</t>
  </si>
  <si>
    <t>6/25/2019</t>
  </si>
  <si>
    <t>6/24/2019</t>
  </si>
  <si>
    <t>6/22/2019</t>
  </si>
  <si>
    <t>6/21/2019</t>
  </si>
  <si>
    <t>6/20/2019</t>
  </si>
  <si>
    <t>6/19/2019</t>
  </si>
  <si>
    <t>6/18/2019</t>
  </si>
  <si>
    <t>6/17/2019</t>
  </si>
  <si>
    <t>6/14/2019</t>
  </si>
  <si>
    <t>6/13/2019</t>
  </si>
  <si>
    <t>6/12/2019</t>
  </si>
  <si>
    <t>6/11/2019</t>
  </si>
  <si>
    <t>6/10/2019</t>
  </si>
  <si>
    <t>6/7/2019</t>
  </si>
  <si>
    <t>OPOS CITY OF REGINA      REGIN</t>
  </si>
  <si>
    <t>6/6/2019</t>
  </si>
  <si>
    <t>6/5/2019</t>
  </si>
  <si>
    <t>6/4/2019</t>
  </si>
  <si>
    <t>6/3/2019</t>
  </si>
  <si>
    <t>5/31/2019</t>
  </si>
  <si>
    <t>5/30/2019</t>
  </si>
  <si>
    <t>5/29/2019</t>
  </si>
  <si>
    <t>5/28/2019</t>
  </si>
  <si>
    <t>5/27/2019</t>
  </si>
  <si>
    <t>5/24/2019</t>
  </si>
  <si>
    <t>5/23/2019</t>
  </si>
  <si>
    <t>5/22/2019</t>
  </si>
  <si>
    <t>5/21/2019</t>
  </si>
  <si>
    <t>5/17/2019</t>
  </si>
  <si>
    <t>5/16/2019</t>
  </si>
  <si>
    <t>5/15/2019</t>
  </si>
  <si>
    <t>5/14/2019</t>
  </si>
  <si>
    <t>5/13/2019</t>
  </si>
  <si>
    <t>5/11/2019</t>
  </si>
  <si>
    <t>5/10/2019</t>
  </si>
  <si>
    <t>5/6/2019</t>
  </si>
  <si>
    <t>5/2/2019</t>
  </si>
  <si>
    <t>4/26/2019</t>
  </si>
  <si>
    <t>4/25/2019</t>
  </si>
  <si>
    <t>4/24/2019</t>
  </si>
  <si>
    <t>4/22/2019</t>
  </si>
  <si>
    <t>4/20/2019</t>
  </si>
  <si>
    <t>4/18/2019</t>
  </si>
  <si>
    <t>4/16/2019</t>
  </si>
  <si>
    <t>4/15/2019</t>
  </si>
  <si>
    <t>4/13/2019</t>
  </si>
  <si>
    <t>4/12/2019</t>
  </si>
  <si>
    <t>4/10/2019</t>
  </si>
  <si>
    <t>4/9/2019</t>
  </si>
  <si>
    <t>4/8/2019</t>
  </si>
  <si>
    <t>4/5/2019</t>
  </si>
  <si>
    <t>4/3/2019</t>
  </si>
  <si>
    <t>4/2/2019</t>
  </si>
  <si>
    <t>4/1/2019</t>
  </si>
  <si>
    <t>3/29/2019</t>
  </si>
  <si>
    <t>3/28/2019</t>
  </si>
  <si>
    <t>3/27/2019</t>
  </si>
  <si>
    <t>3/26/2019</t>
  </si>
  <si>
    <t>3/25/2019</t>
  </si>
  <si>
    <t>3/23/2019</t>
  </si>
  <si>
    <t>3/22/2019</t>
  </si>
  <si>
    <t>3/21/2019</t>
  </si>
  <si>
    <t>3/19/2019</t>
  </si>
  <si>
    <t>3/18/2019</t>
  </si>
  <si>
    <t>3/15/2019</t>
  </si>
  <si>
    <t xml:space="preserve">CORRECTION                    </t>
  </si>
  <si>
    <t>3/14/2019</t>
  </si>
  <si>
    <t>3/13/2019</t>
  </si>
  <si>
    <t>3/12/2019</t>
  </si>
  <si>
    <t>3/11/2019</t>
  </si>
  <si>
    <t>3/7/2019</t>
  </si>
  <si>
    <t>3/6/2019</t>
  </si>
  <si>
    <t>3/5/2019</t>
  </si>
  <si>
    <t>3/4/2019</t>
  </si>
  <si>
    <t>3/1/2019</t>
  </si>
  <si>
    <t>SHOPPERS DRUG MART #04   SASKA</t>
  </si>
  <si>
    <t>SHELL C22537             SASKA</t>
  </si>
  <si>
    <t>SQ *KEO?S KITCHEN        Saska</t>
  </si>
  <si>
    <t>Current Value</t>
  </si>
  <si>
    <t>2/27/2019</t>
  </si>
  <si>
    <t>2/21/2019</t>
  </si>
  <si>
    <t>2/19/2019</t>
  </si>
  <si>
    <t>2/18/2019</t>
  </si>
  <si>
    <t>2/16/2019</t>
  </si>
  <si>
    <t>2/15/2019</t>
  </si>
  <si>
    <t>2/14/2019</t>
  </si>
  <si>
    <t>2/13/2019</t>
  </si>
  <si>
    <t>2/12/2019</t>
  </si>
  <si>
    <t>2/8/2019</t>
  </si>
  <si>
    <t>2/7/2019</t>
  </si>
  <si>
    <t>2/6/2019</t>
  </si>
  <si>
    <t>2/5/2019</t>
  </si>
  <si>
    <t>2/4/2019</t>
  </si>
  <si>
    <t>2/2/2019</t>
  </si>
  <si>
    <t>2/1/2019</t>
  </si>
  <si>
    <t>1/31/2019</t>
  </si>
  <si>
    <t>1/30/2019</t>
  </si>
  <si>
    <t>1/29/2019</t>
  </si>
  <si>
    <t>1/23/2019</t>
  </si>
  <si>
    <t>1/22/2019</t>
  </si>
  <si>
    <t>1/21/2019</t>
  </si>
  <si>
    <t>1/19/2019</t>
  </si>
  <si>
    <t>1/17/2019</t>
  </si>
  <si>
    <t>1/16/2019</t>
  </si>
  <si>
    <t>1/15/2019</t>
  </si>
  <si>
    <t>1/14/2019</t>
  </si>
  <si>
    <t>1/8/2019</t>
  </si>
  <si>
    <t>1/7/2019</t>
  </si>
  <si>
    <t>1/5/2019</t>
  </si>
  <si>
    <t>Average Per Month</t>
  </si>
  <si>
    <t xml:space="preserve">CALIAN                       </t>
  </si>
  <si>
    <t>OPOS PP *SASKATOON REC LE30622</t>
  </si>
  <si>
    <t>OPOS SQ *THE ADMIT ONE TI87741</t>
  </si>
  <si>
    <t>THE VAULT RESTAURANT     SASKA</t>
  </si>
  <si>
    <t>BR-BR BILL PAYMENT</t>
  </si>
  <si>
    <t>OPOS Amazon Web Services www.a</t>
  </si>
  <si>
    <t>Unknown</t>
  </si>
  <si>
    <t>OPOS Riot* AN2ABPNNHNGX  866-3</t>
  </si>
  <si>
    <t xml:space="preserve">OTHER ADJUSTMENT              </t>
  </si>
  <si>
    <t>SQ *ESCAPE CITY SASKAT   Saska</t>
  </si>
  <si>
    <t>OPOS UOFS-PARKING PAY-BY-SASKA</t>
  </si>
  <si>
    <t>OPOS BROADWAY THEATRE/123SASKA</t>
  </si>
  <si>
    <t>TASTE OF SYRIA RESTAUR   SASKA</t>
  </si>
  <si>
    <t>OPOS Riot* AN2T6PXKEK55  866-3</t>
  </si>
  <si>
    <t>OPOS TICKETMASTER CANADA TORON</t>
  </si>
  <si>
    <t>XTRATIME SPORTS SOCCER   SASKA</t>
  </si>
  <si>
    <t>CLARK'S CROSSING BREW    SASKA</t>
  </si>
  <si>
    <t>THIRTEEN PIES PIZZA +    SASKA</t>
  </si>
  <si>
    <t>OPOS 85.50 BANDCAMP SUB Pbandc</t>
  </si>
  <si>
    <t>SHOELESS JOE'S SPORTS    SASKA</t>
  </si>
  <si>
    <t>TALAYAHS SOUTHERN GRIL   SASKA</t>
  </si>
  <si>
    <t>SQ *RH MERCHANDISE       MONTR</t>
  </si>
  <si>
    <t>COORS EVENT CENTRE       SASKA</t>
  </si>
  <si>
    <t>OPOS 58.15 SP HARRY STYLE+4420</t>
  </si>
  <si>
    <t>CAPITOL MUSIC CLUB       SASKA</t>
  </si>
  <si>
    <t>OPOS SP* CAPITOLMUSIC-KH1+1844</t>
  </si>
  <si>
    <t>KRAZY BINZ LIQUIDATION   SASKA</t>
  </si>
  <si>
    <t>THE WILLOW ON WASCANA    REGIN</t>
  </si>
  <si>
    <t>GAMESTOP 893             SASKA</t>
  </si>
  <si>
    <t>OPOS TCU PLACE           SASKA</t>
  </si>
  <si>
    <t>THE WHISKEY BARREL       SASKA</t>
  </si>
  <si>
    <t>Hazelview Property Services In</t>
  </si>
  <si>
    <t>OPOS STARBUCKS 800-782-72800-7</t>
  </si>
  <si>
    <t>SQ *FABLE ICE CREAM      Saska</t>
  </si>
  <si>
    <t>FGP40240 CARDSTON SERV   CARDS</t>
  </si>
  <si>
    <t>WAFFLETON                WATER</t>
  </si>
  <si>
    <t>TINO'S DRIVE IN          MEDIC</t>
  </si>
  <si>
    <t>382193751873639 PAYPAL *TMSTOR</t>
  </si>
  <si>
    <t>SASKTEL CENTRE           SASKA</t>
  </si>
  <si>
    <t xml:space="preserve">Federal Payment        </t>
  </si>
  <si>
    <t>OPOS 38.83 SP MAKESHIP ST+1844</t>
  </si>
  <si>
    <t>OPOS PAYPAL *TMSTORES    01254</t>
  </si>
  <si>
    <t>OPOS PAYPAL *TMSTORES    35314</t>
  </si>
  <si>
    <t>TIM HORTONS #3677        SASKA</t>
  </si>
  <si>
    <t>OPOS MICHAELS CANADA #349800-6</t>
  </si>
  <si>
    <t>BK #28806                SASKA</t>
  </si>
  <si>
    <t>HAWAIIAN SHAVED ICE &amp;    SASKA</t>
  </si>
  <si>
    <t>SQ *PRAIRIE FLAVOURED    Saska</t>
  </si>
  <si>
    <t>SQ *SASKATOON EX GATES   Saska</t>
  </si>
  <si>
    <t>FUH STATION 2            SASKA</t>
  </si>
  <si>
    <t>MICHAELS #3924           SASKA</t>
  </si>
  <si>
    <t>OPA| #119 - STONEGATE    SASKA</t>
  </si>
  <si>
    <t>BOOSTER JUICE #312       SASKA</t>
  </si>
  <si>
    <t>DOMINOS PIZZA #10154     SASKA</t>
  </si>
  <si>
    <t>OPOS UBER* TRIP          UBER.</t>
  </si>
  <si>
    <t>OPOS UBER* PENDING       UBER.</t>
  </si>
  <si>
    <t>OPOS 597.00 JetBrains Ame165-0</t>
  </si>
  <si>
    <t>44057 CIRCLE K           KINDE</t>
  </si>
  <si>
    <t>SOUTH COUNTRY CO-OP -    TABER</t>
  </si>
  <si>
    <t>TIM HORTONS #3655        CRANB</t>
  </si>
  <si>
    <t>WENDYS- CRANBROOK        CRANB</t>
  </si>
  <si>
    <t>FOOD N STUFF ESSO        CRANB</t>
  </si>
  <si>
    <t>PITCHFORK EATERY         NELSO</t>
  </si>
  <si>
    <t>SQ *GINA'S GELATO        Nelso</t>
  </si>
  <si>
    <t>MB-SASKPOWER</t>
  </si>
  <si>
    <t>OPOS 47.99 SANDBAG US    +1323</t>
  </si>
  <si>
    <t>Climate Action Incentive</t>
  </si>
  <si>
    <t>OPOS Nintendo CD83907829080025</t>
  </si>
  <si>
    <t>OPOS 45.38 SANDBAG US    +1323</t>
  </si>
  <si>
    <t>OPOS 59.00 SP KFU MUSIC M+1877</t>
  </si>
  <si>
    <t>OPOS SUDS* SUDS          SASKA</t>
  </si>
  <si>
    <t>OPOS URBAN OUTFITTERS    PHILA</t>
  </si>
  <si>
    <t>WADENA CO-OP ASSN  QPE   WADEN</t>
  </si>
  <si>
    <t>GATEWAY FOOD STORE       CANOR</t>
  </si>
  <si>
    <t>OPOS TSN                 VERDU</t>
  </si>
  <si>
    <t xml:space="preserve">TIM HORTONS #3382        SWAN </t>
  </si>
  <si>
    <t xml:space="preserve">SWAN VALLEY CO-OP  QPE   SWAN </t>
  </si>
  <si>
    <t xml:space="preserve">TIMBERLAND INN           SWAN </t>
  </si>
  <si>
    <t>WYNYARD COOP 2950  QPE   WYNYA</t>
  </si>
  <si>
    <t>TWISTED GOODS  MIDTOWN   SASKA</t>
  </si>
  <si>
    <t>BOURBON STREET GRILL     SASKA</t>
  </si>
  <si>
    <t>3 STAR AUTO REPAIR       SASKA</t>
  </si>
  <si>
    <t>TIM HORTONS #8373        SASKA</t>
  </si>
  <si>
    <t>SPORTS ON TAP            SASKA</t>
  </si>
  <si>
    <t>OPOS SQ *CALIAN AT SOCIAL87741</t>
  </si>
  <si>
    <t>HOTEL SENATOR 1987 LTD   SASKA</t>
  </si>
  <si>
    <t>UNA PIZZA + WINE         SASKA</t>
  </si>
  <si>
    <t>SASK LIQ &amp; GAMING AUTH   SASKA</t>
  </si>
  <si>
    <t>THE THIRSTY SCHOLAR      SASKA</t>
  </si>
  <si>
    <t>SQ *VANCE JOY MERCHAND   Saska</t>
  </si>
  <si>
    <t>Wealthsimple Investments Inc.</t>
  </si>
  <si>
    <t>SHELL C00372             SASKA</t>
  </si>
  <si>
    <t>SMITTY'S MARKET MALL     SASKA</t>
  </si>
  <si>
    <t>SAVE ON FOODS #5533      SASKA</t>
  </si>
  <si>
    <t>YXE GOLF LOUNGE          SASKA</t>
  </si>
  <si>
    <t>BOOSTER JUICE #49        SASKA</t>
  </si>
  <si>
    <t>OPOS SP* CAPITOLMUSIC-HKK+1844</t>
  </si>
  <si>
    <t>FOX &amp; HOUNDS PUB         SASKA</t>
  </si>
  <si>
    <t>OPOS PAYPAL *SERIFEUROPE 01159</t>
  </si>
  <si>
    <t>KFC 8002                 SASKA</t>
  </si>
  <si>
    <t>ALVVAYS (CANADA)         HALIF</t>
  </si>
  <si>
    <t>OPOS TMCANADA    *RESALE 855-9</t>
  </si>
  <si>
    <t>WOK BOX #94              SASKA</t>
  </si>
  <si>
    <t>SQ *TOT CAFE             Saska</t>
  </si>
  <si>
    <t>OPOS ZYIA CANADA         BURNA</t>
  </si>
  <si>
    <t>SQ *KEO?S KITCHEN        SASKA</t>
  </si>
  <si>
    <t>WALMART STORE #3077      REGIN</t>
  </si>
  <si>
    <t>13TH AVE COFFEE HOUSE    REGIN</t>
  </si>
  <si>
    <t>KENORA DESIGNS           REGIN</t>
  </si>
  <si>
    <t>OPOS MCCABE PROMOTIONAL ALONDO</t>
  </si>
  <si>
    <t>SQ *REUBEN AND THE DAR   CALGA</t>
  </si>
  <si>
    <t>EDO JAPAN STONEBRIDGE    SASKA</t>
  </si>
  <si>
    <t>EDO JAPAN MILLAR         SASKA</t>
  </si>
  <si>
    <t>DOLLARAMA #0912          SASKA</t>
  </si>
  <si>
    <t>REAL CDN SUPERSTORE #1   EDMON</t>
  </si>
  <si>
    <t>CHEVRON #52507           LLOYD</t>
  </si>
  <si>
    <t>SASKATOON COOP COLONSA   COLON</t>
  </si>
  <si>
    <t>BOARDWALK FRIES BURGER   SASKA</t>
  </si>
  <si>
    <t>HOMESENSE #156           SASKA</t>
  </si>
  <si>
    <t>BIG WING'S               SASKA</t>
  </si>
  <si>
    <t>BEPPIS GELATO            SASKA</t>
  </si>
  <si>
    <t>SIZZLING WOK             SASKA</t>
  </si>
  <si>
    <t># 878 PARTY CITY         SASKA</t>
  </si>
  <si>
    <t>DOLLARAMA # 524          SASKA</t>
  </si>
  <si>
    <t>SHELL C00178             SASKA</t>
  </si>
  <si>
    <t>MCDONALD'S #8865   Q04   SASKA</t>
  </si>
  <si>
    <t>LS DUTCH GROWERS         SASKA</t>
  </si>
  <si>
    <t>#338 SPORT CHEK          SASKA</t>
  </si>
  <si>
    <t>CINEPLEX #4115           SASKA</t>
  </si>
  <si>
    <t>EVERGREEN CLINIC PHARM   SASKA</t>
  </si>
  <si>
    <t>ROCK CREEK TAP &amp; GRILL   SASKA</t>
  </si>
  <si>
    <t>HOMETOWN DINER           SASKA</t>
  </si>
  <si>
    <t>THE WOK                  SASKA</t>
  </si>
  <si>
    <t>SAFEWAY #8922            LLOYD</t>
  </si>
  <si>
    <t>SAFEWAY GAS BAR # 8922   LLOYD</t>
  </si>
  <si>
    <t>02'S TAP HOUSE &amp; GRILL   EDMON</t>
  </si>
  <si>
    <t>MUTTART #1               EDMON</t>
  </si>
  <si>
    <t>COSTCO GAS W1234         SASKA</t>
  </si>
  <si>
    <t>82 BAKESHOP LTD          SASKA</t>
  </si>
  <si>
    <t>SP SMASH NATION          SASKA</t>
  </si>
  <si>
    <t>COHEN'S/PICARO           SASKA</t>
  </si>
  <si>
    <t>SQ *SECOND CITY PRINTS   Saska</t>
  </si>
  <si>
    <t>INVESTMENT PURCHASE</t>
  </si>
  <si>
    <t>SMOKES POUTINERIE        SASKA</t>
  </si>
  <si>
    <t>PETRO CANADA74977        SASKA</t>
  </si>
  <si>
    <t>SOMEWHERE ELSE PUB       SASKA</t>
  </si>
  <si>
    <t>CAMP FIRE GRILL FOOD T   REGIN</t>
  </si>
  <si>
    <t>BOSTON PIZZA # 214       SASKA</t>
  </si>
  <si>
    <t>OPOS 44.75 SP VINYL MOON +1818</t>
  </si>
  <si>
    <t>BOSTON PIZZA # 205       REGIN</t>
  </si>
  <si>
    <t>CRAVE SASKATOON INC.     SASKA</t>
  </si>
  <si>
    <t>PRAIRIE DONAIR           Saska</t>
  </si>
  <si>
    <t xml:space="preserve">SOLIUM DISBURSE CAD          </t>
  </si>
  <si>
    <t>OPOS 54.98 SP MISTERWIVES+1323</t>
  </si>
  <si>
    <t>POPEYES 12956            SASKA</t>
  </si>
  <si>
    <t>OPOS SP UMUSIC SHOP CA   +1416</t>
  </si>
  <si>
    <t xml:space="preserve">CRD. Card Bill Payment </t>
  </si>
  <si>
    <t>OPOS Nintendo CD10684995680025</t>
  </si>
  <si>
    <t xml:space="preserve">Debit Memo             </t>
  </si>
  <si>
    <t>TRANSFER TO</t>
  </si>
  <si>
    <t>WAYBACK BURGERS          SASKA</t>
  </si>
  <si>
    <t>SQ *THE PEPPER GANG IN   Saska</t>
  </si>
  <si>
    <t>GATEWAY CO-OP GB P@P     CANOR</t>
  </si>
  <si>
    <t>DOLLARAMA #1458          REGIN</t>
  </si>
  <si>
    <t>COSTCO GAS W1296         REGIN</t>
  </si>
  <si>
    <t>ASIAN KITCHEN            SASKA</t>
  </si>
  <si>
    <t>KFC 8004                 SASKA</t>
  </si>
  <si>
    <t>PRESS'D STONEBR          SASKA</t>
  </si>
  <si>
    <t>PIZZA HUT                SASKA</t>
  </si>
  <si>
    <t>TST-Una Pizzeria - Sas   Saska</t>
  </si>
  <si>
    <t>DENNY'S 03-141 SK LORN   SASKA</t>
  </si>
  <si>
    <t>HOTEL SENATOR ( FOOD &amp; B SASKA</t>
  </si>
  <si>
    <t>ARBY'S 2100              SASKA</t>
  </si>
  <si>
    <t>7- ELEVEN 32230          SASKA</t>
  </si>
  <si>
    <t>OPOS EVENTBRITE/SASKATOONSAINT</t>
  </si>
  <si>
    <t>PAPA JOHNS PIZZA 8 STR   SASKA</t>
  </si>
  <si>
    <t>TIM HORTONS #7644        SASKA</t>
  </si>
  <si>
    <t>HM Midtown Plaza         Saska</t>
  </si>
  <si>
    <t>QUILTS ETC #400          SASKA</t>
  </si>
  <si>
    <t xml:space="preserve">CALIAN LTD.                  </t>
  </si>
  <si>
    <t>DAIRY QUEEN #27171       SASKA</t>
  </si>
  <si>
    <t>Government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</si>
</sst>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$&quot;* #,##0.00_-;\-&quot;$&quot;* #,##0.00_-;_-&quot;$&quot;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color theme="1"/>
      <name val="Calibri"/>
      <scheme val="minor"/>
    </font>
    <font>
      <b/>
      <sz val="11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3" fillId="2" borderId="0" applyNumberFormat="0" applyBorder="0" applyAlignment="0" applyProtection="0"/>
  </cellStyleXfs>
  <cellXfs count="21">
    <xf numFmtId="0" fontId="0" fillId="0" borderId="0" xfId="0"/>
    <xf numFmtId="0" fontId="2" fillId="0" borderId="0" xfId="0" applyFont="1"/>
    <xf numFmtId="0" fontId="0" fillId="0" borderId="0" xfId="0" applyFont="1"/>
    <xf numFmtId="44" fontId="0" fillId="0" borderId="0" xfId="1" applyFont="1"/>
    <xf numFmtId="10" fontId="0" fillId="0" borderId="0" xfId="0" applyNumberFormat="1"/>
    <xf numFmtId="0" fontId="2" fillId="0" borderId="0" xfId="0" applyFont="1" applyBorder="1"/>
    <xf numFmtId="10" fontId="2" fillId="0" borderId="0" xfId="1" applyNumberFormat="1" applyFont="1" applyBorder="1"/>
    <xf numFmtId="44" fontId="2" fillId="0" borderId="0" xfId="1" applyFont="1" applyBorder="1"/>
    <xf numFmtId="10" fontId="0" fillId="0" borderId="0" xfId="1" applyNumberFormat="1" applyFont="1" applyBorder="1"/>
    <xf numFmtId="44" fontId="0" fillId="0" borderId="0" xfId="1" applyFont="1" applyBorder="1"/>
    <xf numFmtId="10" fontId="2" fillId="0" borderId="0" xfId="0" applyNumberFormat="1" applyFont="1" applyBorder="1"/>
    <xf numFmtId="0" fontId="4" fillId="0" borderId="0" xfId="0" applyFont="1"/>
    <xf numFmtId="0" fontId="3" fillId="2" borderId="0" xfId="2" applyBorder="1"/>
    <xf numFmtId="14" fontId="3" fillId="2" borderId="0" xfId="2" applyNumberFormat="1" applyBorder="1"/>
    <xf numFmtId="0" fontId="3" fillId="2" borderId="0" xfId="2"/>
    <xf numFmtId="44" fontId="5" fillId="0" borderId="0" xfId="1" applyFont="1" applyBorder="1"/>
    <xf numFmtId="0" fontId="6" fillId="0" borderId="0" xfId="0" applyFont="1" applyBorder="1"/>
    <xf numFmtId="44" fontId="2" fillId="0" borderId="0" xfId="1" applyFont="1"/>
    <xf numFmtId="44" fontId="0" fillId="0" borderId="0" xfId="0" applyNumberFormat="1"/>
    <xf numFmtId="14" fontId="0" fillId="0" borderId="0" xfId="0" applyNumberFormat="1"/>
    <xf numFmtId="49" fontId="0" fillId="0" borderId="0" xfId="0" applyNumberFormat="1"/>
  </cellXfs>
  <cellStyles count="3">
    <cellStyle name="Accent1" xfId="2" builtinId="29"/>
    <cellStyle name="Currency" xfId="1" builtinId="4"/>
    <cellStyle name="Normal" xfId="0" builtinId="0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  <dxf>
      <numFmt numFmtId="19" formatCode="yyyy/mm/dd"/>
    </dxf>
    <dxf>
      <border outline="0">
        <left style="thick">
          <color indexed="64"/>
        </left>
        <right style="thick">
          <color indexed="64"/>
        </right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yyyy/mm/dd"/>
    </dxf>
    <dxf>
      <border outline="0">
        <left style="thick">
          <color indexed="64"/>
        </left>
        <right style="thick">
          <color indexed="64"/>
        </right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ED2938"/>
      <color rgb="FF00FF7F"/>
      <color rgb="FF3BCA6D"/>
      <color rgb="FFB71F13"/>
      <color rgb="FFE8FB89"/>
      <color rgb="FFF79494"/>
      <color rgb="FFC5F19A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1.xml"/><Relationship Id="rId18" Type="http://schemas.openxmlformats.org/officeDocument/2006/relationships/worksheet" Target="worksheets/sheet16.xml"/><Relationship Id="rId26" Type="http://schemas.openxmlformats.org/officeDocument/2006/relationships/worksheet" Target="worksheets/sheet24.xml"/><Relationship Id="rId39" Type="http://schemas.openxmlformats.org/officeDocument/2006/relationships/worksheet" Target="worksheets/sheet37.xml"/><Relationship Id="rId21" Type="http://schemas.openxmlformats.org/officeDocument/2006/relationships/worksheet" Target="worksheets/sheet19.xml"/><Relationship Id="rId34" Type="http://schemas.openxmlformats.org/officeDocument/2006/relationships/worksheet" Target="worksheets/sheet32.xml"/><Relationship Id="rId42" Type="http://schemas.openxmlformats.org/officeDocument/2006/relationships/worksheet" Target="worksheets/sheet40.xml"/><Relationship Id="rId47" Type="http://schemas.openxmlformats.org/officeDocument/2006/relationships/worksheet" Target="worksheets/sheet45.xml"/><Relationship Id="rId50" Type="http://schemas.openxmlformats.org/officeDocument/2006/relationships/worksheet" Target="worksheets/sheet48.xml"/><Relationship Id="rId55" Type="http://schemas.openxmlformats.org/officeDocument/2006/relationships/worksheet" Target="worksheets/sheet53.xml"/><Relationship Id="rId63" Type="http://schemas.openxmlformats.org/officeDocument/2006/relationships/worksheet" Target="worksheets/sheet61.xml"/><Relationship Id="rId68" Type="http://schemas.openxmlformats.org/officeDocument/2006/relationships/worksheet" Target="worksheets/sheet66.xml"/><Relationship Id="rId76" Type="http://schemas.microsoft.com/office/2006/relationships/vbaProject" Target="vbaProject.bin"/><Relationship Id="rId7" Type="http://schemas.openxmlformats.org/officeDocument/2006/relationships/worksheet" Target="worksheets/sheet5.xml"/><Relationship Id="rId71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4.xml"/><Relationship Id="rId29" Type="http://schemas.openxmlformats.org/officeDocument/2006/relationships/worksheet" Target="worksheets/sheet27.xml"/><Relationship Id="rId11" Type="http://schemas.openxmlformats.org/officeDocument/2006/relationships/worksheet" Target="worksheets/sheet9.xml"/><Relationship Id="rId24" Type="http://schemas.openxmlformats.org/officeDocument/2006/relationships/worksheet" Target="worksheets/sheet22.xml"/><Relationship Id="rId32" Type="http://schemas.openxmlformats.org/officeDocument/2006/relationships/worksheet" Target="worksheets/sheet30.xml"/><Relationship Id="rId37" Type="http://schemas.openxmlformats.org/officeDocument/2006/relationships/worksheet" Target="worksheets/sheet35.xml"/><Relationship Id="rId40" Type="http://schemas.openxmlformats.org/officeDocument/2006/relationships/worksheet" Target="worksheets/sheet38.xml"/><Relationship Id="rId45" Type="http://schemas.openxmlformats.org/officeDocument/2006/relationships/worksheet" Target="worksheets/sheet43.xml"/><Relationship Id="rId53" Type="http://schemas.openxmlformats.org/officeDocument/2006/relationships/worksheet" Target="worksheets/sheet51.xml"/><Relationship Id="rId58" Type="http://schemas.openxmlformats.org/officeDocument/2006/relationships/worksheet" Target="worksheets/sheet56.xml"/><Relationship Id="rId66" Type="http://schemas.openxmlformats.org/officeDocument/2006/relationships/worksheet" Target="worksheets/sheet64.xml"/><Relationship Id="rId74" Type="http://schemas.openxmlformats.org/officeDocument/2006/relationships/sharedStrings" Target="sharedStrings.xml"/><Relationship Id="rId5" Type="http://schemas.openxmlformats.org/officeDocument/2006/relationships/chartsheet" Target="chartsheets/sheet1.xml"/><Relationship Id="rId15" Type="http://schemas.openxmlformats.org/officeDocument/2006/relationships/worksheet" Target="worksheets/sheet13.xml"/><Relationship Id="rId23" Type="http://schemas.openxmlformats.org/officeDocument/2006/relationships/worksheet" Target="worksheets/sheet21.xml"/><Relationship Id="rId28" Type="http://schemas.openxmlformats.org/officeDocument/2006/relationships/worksheet" Target="worksheets/sheet26.xml"/><Relationship Id="rId36" Type="http://schemas.openxmlformats.org/officeDocument/2006/relationships/worksheet" Target="worksheets/sheet34.xml"/><Relationship Id="rId49" Type="http://schemas.openxmlformats.org/officeDocument/2006/relationships/worksheet" Target="worksheets/sheet47.xml"/><Relationship Id="rId57" Type="http://schemas.openxmlformats.org/officeDocument/2006/relationships/worksheet" Target="worksheets/sheet55.xml"/><Relationship Id="rId61" Type="http://schemas.openxmlformats.org/officeDocument/2006/relationships/worksheet" Target="worksheets/sheet59.xml"/><Relationship Id="rId10" Type="http://schemas.openxmlformats.org/officeDocument/2006/relationships/worksheet" Target="worksheets/sheet8.xml"/><Relationship Id="rId19" Type="http://schemas.openxmlformats.org/officeDocument/2006/relationships/worksheet" Target="worksheets/sheet17.xml"/><Relationship Id="rId31" Type="http://schemas.openxmlformats.org/officeDocument/2006/relationships/worksheet" Target="worksheets/sheet29.xml"/><Relationship Id="rId44" Type="http://schemas.openxmlformats.org/officeDocument/2006/relationships/worksheet" Target="worksheets/sheet42.xml"/><Relationship Id="rId52" Type="http://schemas.openxmlformats.org/officeDocument/2006/relationships/worksheet" Target="worksheets/sheet50.xml"/><Relationship Id="rId60" Type="http://schemas.openxmlformats.org/officeDocument/2006/relationships/worksheet" Target="worksheets/sheet58.xml"/><Relationship Id="rId65" Type="http://schemas.openxmlformats.org/officeDocument/2006/relationships/worksheet" Target="worksheets/sheet63.xml"/><Relationship Id="rId73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7.xml"/><Relationship Id="rId14" Type="http://schemas.openxmlformats.org/officeDocument/2006/relationships/worksheet" Target="worksheets/sheet12.xml"/><Relationship Id="rId22" Type="http://schemas.openxmlformats.org/officeDocument/2006/relationships/worksheet" Target="worksheets/sheet20.xml"/><Relationship Id="rId27" Type="http://schemas.openxmlformats.org/officeDocument/2006/relationships/worksheet" Target="worksheets/sheet25.xml"/><Relationship Id="rId30" Type="http://schemas.openxmlformats.org/officeDocument/2006/relationships/worksheet" Target="worksheets/sheet28.xml"/><Relationship Id="rId35" Type="http://schemas.openxmlformats.org/officeDocument/2006/relationships/worksheet" Target="worksheets/sheet33.xml"/><Relationship Id="rId43" Type="http://schemas.openxmlformats.org/officeDocument/2006/relationships/worksheet" Target="worksheets/sheet41.xml"/><Relationship Id="rId48" Type="http://schemas.openxmlformats.org/officeDocument/2006/relationships/worksheet" Target="worksheets/sheet46.xml"/><Relationship Id="rId56" Type="http://schemas.openxmlformats.org/officeDocument/2006/relationships/worksheet" Target="worksheets/sheet54.xml"/><Relationship Id="rId64" Type="http://schemas.openxmlformats.org/officeDocument/2006/relationships/worksheet" Target="worksheets/sheet62.xml"/><Relationship Id="rId69" Type="http://schemas.openxmlformats.org/officeDocument/2006/relationships/worksheet" Target="worksheets/sheet67.xml"/><Relationship Id="rId8" Type="http://schemas.openxmlformats.org/officeDocument/2006/relationships/worksheet" Target="worksheets/sheet6.xml"/><Relationship Id="rId51" Type="http://schemas.openxmlformats.org/officeDocument/2006/relationships/worksheet" Target="worksheets/sheet49.xml"/><Relationship Id="rId72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0.xml"/><Relationship Id="rId17" Type="http://schemas.openxmlformats.org/officeDocument/2006/relationships/worksheet" Target="worksheets/sheet15.xml"/><Relationship Id="rId25" Type="http://schemas.openxmlformats.org/officeDocument/2006/relationships/worksheet" Target="worksheets/sheet23.xml"/><Relationship Id="rId33" Type="http://schemas.openxmlformats.org/officeDocument/2006/relationships/worksheet" Target="worksheets/sheet31.xml"/><Relationship Id="rId38" Type="http://schemas.openxmlformats.org/officeDocument/2006/relationships/worksheet" Target="worksheets/sheet36.xml"/><Relationship Id="rId46" Type="http://schemas.openxmlformats.org/officeDocument/2006/relationships/worksheet" Target="worksheets/sheet44.xml"/><Relationship Id="rId59" Type="http://schemas.openxmlformats.org/officeDocument/2006/relationships/worksheet" Target="worksheets/sheet57.xml"/><Relationship Id="rId67" Type="http://schemas.openxmlformats.org/officeDocument/2006/relationships/worksheet" Target="worksheets/sheet65.xml"/><Relationship Id="rId20" Type="http://schemas.openxmlformats.org/officeDocument/2006/relationships/worksheet" Target="worksheets/sheet18.xml"/><Relationship Id="rId41" Type="http://schemas.openxmlformats.org/officeDocument/2006/relationships/worksheet" Target="worksheets/sheet39.xml"/><Relationship Id="rId54" Type="http://schemas.openxmlformats.org/officeDocument/2006/relationships/worksheet" Target="worksheets/sheet52.xml"/><Relationship Id="rId62" Type="http://schemas.openxmlformats.org/officeDocument/2006/relationships/worksheet" Target="worksheets/sheet60.xml"/><Relationship Id="rId70" Type="http://schemas.openxmlformats.org/officeDocument/2006/relationships/worksheet" Target="worksheets/sheet68.xml"/><Relationship Id="rId75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Current Value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59"/>
          <c:order val="0"/>
          <c:tx>
            <c:strRef>
              <c:f>Overview!$U$2</c:f>
              <c:strCache>
                <c:ptCount val="1"/>
                <c:pt idx="0">
                  <c:v>Current Value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cat>
            <c:numRef>
              <c:f>Overview!$A$3:$A$147</c:f>
              <c:numCache>
                <c:formatCode>m/d/yyyy</c:formatCode>
                <c:ptCount val="145"/>
                <c:pt idx="1">
                  <c:v>43466</c:v>
                </c:pt>
                <c:pt idx="2">
                  <c:v>43497</c:v>
                </c:pt>
                <c:pt idx="3">
                  <c:v>43525</c:v>
                </c:pt>
                <c:pt idx="4">
                  <c:v>43556</c:v>
                </c:pt>
                <c:pt idx="5">
                  <c:v>43586</c:v>
                </c:pt>
                <c:pt idx="6">
                  <c:v>43617</c:v>
                </c:pt>
                <c:pt idx="7">
                  <c:v>43647</c:v>
                </c:pt>
                <c:pt idx="8">
                  <c:v>43678</c:v>
                </c:pt>
                <c:pt idx="9">
                  <c:v>43709</c:v>
                </c:pt>
                <c:pt idx="10">
                  <c:v>43739</c:v>
                </c:pt>
                <c:pt idx="11">
                  <c:v>43770</c:v>
                </c:pt>
                <c:pt idx="12">
                  <c:v>43800</c:v>
                </c:pt>
                <c:pt idx="13">
                  <c:v>43831</c:v>
                </c:pt>
                <c:pt idx="14">
                  <c:v>43862</c:v>
                </c:pt>
                <c:pt idx="15">
                  <c:v>43891</c:v>
                </c:pt>
                <c:pt idx="16">
                  <c:v>43922</c:v>
                </c:pt>
                <c:pt idx="17">
                  <c:v>43952</c:v>
                </c:pt>
                <c:pt idx="18">
                  <c:v>43983</c:v>
                </c:pt>
                <c:pt idx="19">
                  <c:v>44013</c:v>
                </c:pt>
                <c:pt idx="20">
                  <c:v>44044</c:v>
                </c:pt>
                <c:pt idx="21">
                  <c:v>44075</c:v>
                </c:pt>
                <c:pt idx="22">
                  <c:v>44105</c:v>
                </c:pt>
                <c:pt idx="23">
                  <c:v>44136</c:v>
                </c:pt>
                <c:pt idx="24">
                  <c:v>44166</c:v>
                </c:pt>
                <c:pt idx="25">
                  <c:v>44197</c:v>
                </c:pt>
                <c:pt idx="26">
                  <c:v>44228</c:v>
                </c:pt>
                <c:pt idx="27">
                  <c:v>44256</c:v>
                </c:pt>
                <c:pt idx="28">
                  <c:v>44287</c:v>
                </c:pt>
                <c:pt idx="29">
                  <c:v>44317</c:v>
                </c:pt>
                <c:pt idx="30">
                  <c:v>44348</c:v>
                </c:pt>
                <c:pt idx="31">
                  <c:v>44378</c:v>
                </c:pt>
                <c:pt idx="32">
                  <c:v>44409</c:v>
                </c:pt>
                <c:pt idx="33">
                  <c:v>44440</c:v>
                </c:pt>
                <c:pt idx="34">
                  <c:v>44470</c:v>
                </c:pt>
                <c:pt idx="35">
                  <c:v>44501</c:v>
                </c:pt>
                <c:pt idx="36">
                  <c:v>44531</c:v>
                </c:pt>
                <c:pt idx="37">
                  <c:v>44562</c:v>
                </c:pt>
                <c:pt idx="38">
                  <c:v>44593</c:v>
                </c:pt>
                <c:pt idx="39">
                  <c:v>44621</c:v>
                </c:pt>
                <c:pt idx="40">
                  <c:v>44652</c:v>
                </c:pt>
                <c:pt idx="41">
                  <c:v>44682</c:v>
                </c:pt>
                <c:pt idx="42">
                  <c:v>44713</c:v>
                </c:pt>
                <c:pt idx="43">
                  <c:v>44743</c:v>
                </c:pt>
                <c:pt idx="44">
                  <c:v>44774</c:v>
                </c:pt>
                <c:pt idx="45">
                  <c:v>44805</c:v>
                </c:pt>
                <c:pt idx="46">
                  <c:v>44835</c:v>
                </c:pt>
                <c:pt idx="47">
                  <c:v>44866</c:v>
                </c:pt>
                <c:pt idx="48">
                  <c:v>44896</c:v>
                </c:pt>
                <c:pt idx="49">
                  <c:v>44927</c:v>
                </c:pt>
                <c:pt idx="50">
                  <c:v>44958</c:v>
                </c:pt>
                <c:pt idx="51">
                  <c:v>44986</c:v>
                </c:pt>
                <c:pt idx="52">
                  <c:v>45017</c:v>
                </c:pt>
                <c:pt idx="53">
                  <c:v>45047</c:v>
                </c:pt>
                <c:pt idx="54">
                  <c:v>45078</c:v>
                </c:pt>
                <c:pt idx="55">
                  <c:v>45108</c:v>
                </c:pt>
                <c:pt idx="56">
                  <c:v>45139</c:v>
                </c:pt>
                <c:pt idx="57">
                  <c:v>45170</c:v>
                </c:pt>
                <c:pt idx="58">
                  <c:v>45200</c:v>
                </c:pt>
                <c:pt idx="59">
                  <c:v>45231</c:v>
                </c:pt>
                <c:pt idx="60">
                  <c:v>45261</c:v>
                </c:pt>
                <c:pt idx="61">
                  <c:v>45292</c:v>
                </c:pt>
                <c:pt idx="62">
                  <c:v>45323</c:v>
                </c:pt>
                <c:pt idx="63">
                  <c:v>45352</c:v>
                </c:pt>
                <c:pt idx="64">
                  <c:v>45383</c:v>
                </c:pt>
                <c:pt idx="65">
                  <c:v>45413</c:v>
                </c:pt>
                <c:pt idx="66">
                  <c:v>45444</c:v>
                </c:pt>
                <c:pt idx="67">
                  <c:v>45474</c:v>
                </c:pt>
                <c:pt idx="68">
                  <c:v>45505</c:v>
                </c:pt>
                <c:pt idx="69">
                  <c:v>45536</c:v>
                </c:pt>
                <c:pt idx="70">
                  <c:v>45566</c:v>
                </c:pt>
                <c:pt idx="71">
                  <c:v>45597</c:v>
                </c:pt>
                <c:pt idx="72">
                  <c:v>45627</c:v>
                </c:pt>
                <c:pt idx="73">
                  <c:v>45658</c:v>
                </c:pt>
                <c:pt idx="74">
                  <c:v>45689</c:v>
                </c:pt>
                <c:pt idx="75">
                  <c:v>45717</c:v>
                </c:pt>
                <c:pt idx="76">
                  <c:v>45748</c:v>
                </c:pt>
                <c:pt idx="77">
                  <c:v>45778</c:v>
                </c:pt>
                <c:pt idx="78">
                  <c:v>45809</c:v>
                </c:pt>
                <c:pt idx="79">
                  <c:v>45839</c:v>
                </c:pt>
                <c:pt idx="80">
                  <c:v>45870</c:v>
                </c:pt>
                <c:pt idx="81">
                  <c:v>45901</c:v>
                </c:pt>
                <c:pt idx="82">
                  <c:v>45931</c:v>
                </c:pt>
                <c:pt idx="83">
                  <c:v>45962</c:v>
                </c:pt>
                <c:pt idx="84">
                  <c:v>45992</c:v>
                </c:pt>
                <c:pt idx="85">
                  <c:v>46023</c:v>
                </c:pt>
                <c:pt idx="86">
                  <c:v>46054</c:v>
                </c:pt>
                <c:pt idx="87">
                  <c:v>46082</c:v>
                </c:pt>
                <c:pt idx="88">
                  <c:v>46113</c:v>
                </c:pt>
                <c:pt idx="89">
                  <c:v>46143</c:v>
                </c:pt>
                <c:pt idx="90">
                  <c:v>46174</c:v>
                </c:pt>
                <c:pt idx="91">
                  <c:v>46204</c:v>
                </c:pt>
                <c:pt idx="92">
                  <c:v>46235</c:v>
                </c:pt>
                <c:pt idx="93">
                  <c:v>46266</c:v>
                </c:pt>
                <c:pt idx="94">
                  <c:v>46296</c:v>
                </c:pt>
                <c:pt idx="95">
                  <c:v>46327</c:v>
                </c:pt>
                <c:pt idx="96">
                  <c:v>46357</c:v>
                </c:pt>
                <c:pt idx="97">
                  <c:v>46388</c:v>
                </c:pt>
                <c:pt idx="98">
                  <c:v>46419</c:v>
                </c:pt>
                <c:pt idx="99">
                  <c:v>46447</c:v>
                </c:pt>
                <c:pt idx="100">
                  <c:v>46478</c:v>
                </c:pt>
                <c:pt idx="101">
                  <c:v>46508</c:v>
                </c:pt>
                <c:pt idx="102">
                  <c:v>46539</c:v>
                </c:pt>
                <c:pt idx="103">
                  <c:v>46569</c:v>
                </c:pt>
                <c:pt idx="104">
                  <c:v>46600</c:v>
                </c:pt>
                <c:pt idx="105">
                  <c:v>46631</c:v>
                </c:pt>
                <c:pt idx="106">
                  <c:v>46661</c:v>
                </c:pt>
                <c:pt idx="107">
                  <c:v>46692</c:v>
                </c:pt>
                <c:pt idx="108">
                  <c:v>46722</c:v>
                </c:pt>
                <c:pt idx="109">
                  <c:v>46753</c:v>
                </c:pt>
                <c:pt idx="110">
                  <c:v>46784</c:v>
                </c:pt>
                <c:pt idx="111">
                  <c:v>46813</c:v>
                </c:pt>
                <c:pt idx="112">
                  <c:v>46844</c:v>
                </c:pt>
                <c:pt idx="113">
                  <c:v>46874</c:v>
                </c:pt>
                <c:pt idx="114">
                  <c:v>46905</c:v>
                </c:pt>
                <c:pt idx="115">
                  <c:v>46935</c:v>
                </c:pt>
                <c:pt idx="116">
                  <c:v>46966</c:v>
                </c:pt>
                <c:pt idx="117">
                  <c:v>46997</c:v>
                </c:pt>
                <c:pt idx="118">
                  <c:v>47027</c:v>
                </c:pt>
                <c:pt idx="119">
                  <c:v>47058</c:v>
                </c:pt>
                <c:pt idx="120">
                  <c:v>47088</c:v>
                </c:pt>
                <c:pt idx="121">
                  <c:v>47119</c:v>
                </c:pt>
                <c:pt idx="122">
                  <c:v>47150</c:v>
                </c:pt>
                <c:pt idx="123">
                  <c:v>47178</c:v>
                </c:pt>
                <c:pt idx="124">
                  <c:v>47209</c:v>
                </c:pt>
                <c:pt idx="125">
                  <c:v>47239</c:v>
                </c:pt>
                <c:pt idx="126">
                  <c:v>47270</c:v>
                </c:pt>
                <c:pt idx="127">
                  <c:v>47300</c:v>
                </c:pt>
                <c:pt idx="128">
                  <c:v>47331</c:v>
                </c:pt>
                <c:pt idx="129">
                  <c:v>47362</c:v>
                </c:pt>
                <c:pt idx="130">
                  <c:v>47392</c:v>
                </c:pt>
                <c:pt idx="131">
                  <c:v>47423</c:v>
                </c:pt>
                <c:pt idx="132">
                  <c:v>47453</c:v>
                </c:pt>
                <c:pt idx="133">
                  <c:v>47484</c:v>
                </c:pt>
                <c:pt idx="134">
                  <c:v>47515</c:v>
                </c:pt>
                <c:pt idx="135">
                  <c:v>47543</c:v>
                </c:pt>
                <c:pt idx="136">
                  <c:v>47574</c:v>
                </c:pt>
                <c:pt idx="137">
                  <c:v>47604</c:v>
                </c:pt>
                <c:pt idx="138">
                  <c:v>47635</c:v>
                </c:pt>
                <c:pt idx="139">
                  <c:v>47665</c:v>
                </c:pt>
                <c:pt idx="140">
                  <c:v>47696</c:v>
                </c:pt>
                <c:pt idx="141">
                  <c:v>47727</c:v>
                </c:pt>
                <c:pt idx="142">
                  <c:v>47757</c:v>
                </c:pt>
                <c:pt idx="143">
                  <c:v>47788</c:v>
                </c:pt>
                <c:pt idx="144">
                  <c:v>47818</c:v>
                </c:pt>
              </c:numCache>
            </c:numRef>
          </c:cat>
          <c:val>
            <c:numRef>
              <c:f>Overview!$U$3:$U$147</c:f>
              <c:numCache>
                <c:formatCode>_("$"* #,##0.00_);_("$"* \(#,##0.00\);_("$"* "-"??_);_(@_)</c:formatCode>
                <c:ptCount val="145"/>
                <c:pt idx="0">
                  <c:v>11923.43</c:v>
                </c:pt>
                <c:pt idx="1">
                  <c:v>11591.99</c:v>
                </c:pt>
                <c:pt idx="2">
                  <c:v>6441.5599999999995</c:v>
                </c:pt>
                <c:pt idx="3">
                  <c:v>5275.9</c:v>
                </c:pt>
                <c:pt idx="4">
                  <c:v>5290.2599999999993</c:v>
                </c:pt>
                <c:pt idx="5">
                  <c:v>7374.6899999999987</c:v>
                </c:pt>
                <c:pt idx="6">
                  <c:v>9054.8699999999972</c:v>
                </c:pt>
                <c:pt idx="7">
                  <c:v>6776.9199999999973</c:v>
                </c:pt>
                <c:pt idx="8">
                  <c:v>9518.4199999999983</c:v>
                </c:pt>
                <c:pt idx="9">
                  <c:v>12499.279999999999</c:v>
                </c:pt>
                <c:pt idx="10">
                  <c:v>16954.489999999998</c:v>
                </c:pt>
                <c:pt idx="11">
                  <c:v>20785.439999999999</c:v>
                </c:pt>
                <c:pt idx="12">
                  <c:v>22699.079999999998</c:v>
                </c:pt>
                <c:pt idx="13">
                  <c:v>23828.359999999997</c:v>
                </c:pt>
                <c:pt idx="14">
                  <c:v>26671.1</c:v>
                </c:pt>
                <c:pt idx="15">
                  <c:v>29532.27</c:v>
                </c:pt>
                <c:pt idx="16">
                  <c:v>39204.58</c:v>
                </c:pt>
                <c:pt idx="17">
                  <c:v>41855.54</c:v>
                </c:pt>
                <c:pt idx="18">
                  <c:v>43967.83</c:v>
                </c:pt>
                <c:pt idx="19">
                  <c:v>45590.01</c:v>
                </c:pt>
                <c:pt idx="20">
                  <c:v>45879.08</c:v>
                </c:pt>
                <c:pt idx="21">
                  <c:v>49852.5</c:v>
                </c:pt>
                <c:pt idx="22">
                  <c:v>51439.55</c:v>
                </c:pt>
                <c:pt idx="23">
                  <c:v>52359.710000000006</c:v>
                </c:pt>
                <c:pt idx="24">
                  <c:v>53443.310000000005</c:v>
                </c:pt>
                <c:pt idx="25">
                  <c:v>53392.91</c:v>
                </c:pt>
                <c:pt idx="26">
                  <c:v>54637.4</c:v>
                </c:pt>
                <c:pt idx="27">
                  <c:v>56401.99</c:v>
                </c:pt>
                <c:pt idx="28">
                  <c:v>57157.7</c:v>
                </c:pt>
                <c:pt idx="29">
                  <c:v>62184.689999999995</c:v>
                </c:pt>
                <c:pt idx="30">
                  <c:v>63350.2</c:v>
                </c:pt>
                <c:pt idx="31">
                  <c:v>65026.81</c:v>
                </c:pt>
                <c:pt idx="32">
                  <c:v>66825.649999999994</c:v>
                </c:pt>
                <c:pt idx="33">
                  <c:v>67016.569999999992</c:v>
                </c:pt>
                <c:pt idx="34">
                  <c:v>68568.39</c:v>
                </c:pt>
                <c:pt idx="35">
                  <c:v>69899.02</c:v>
                </c:pt>
                <c:pt idx="36">
                  <c:v>71056.66</c:v>
                </c:pt>
                <c:pt idx="37">
                  <c:v>71179.820000000007</c:v>
                </c:pt>
                <c:pt idx="38">
                  <c:v>73102.080000000002</c:v>
                </c:pt>
                <c:pt idx="39">
                  <c:v>72873.400000000009</c:v>
                </c:pt>
                <c:pt idx="40">
                  <c:v>76034.930000000008</c:v>
                </c:pt>
                <c:pt idx="41">
                  <c:v>77031.490000000005</c:v>
                </c:pt>
                <c:pt idx="42">
                  <c:v>80119.960000000006</c:v>
                </c:pt>
                <c:pt idx="43">
                  <c:v>85542.46</c:v>
                </c:pt>
                <c:pt idx="44">
                  <c:v>86048.85</c:v>
                </c:pt>
                <c:pt idx="45">
                  <c:v>85824.14</c:v>
                </c:pt>
                <c:pt idx="46">
                  <c:v>86458.9</c:v>
                </c:pt>
                <c:pt idx="47">
                  <c:v>86819.04</c:v>
                </c:pt>
                <c:pt idx="48">
                  <c:v>90464.37</c:v>
                </c:pt>
                <c:pt idx="49">
                  <c:v>90704.989999999991</c:v>
                </c:pt>
                <c:pt idx="50">
                  <c:v>90715.799999999988</c:v>
                </c:pt>
                <c:pt idx="51">
                  <c:v>90038.219999999987</c:v>
                </c:pt>
                <c:pt idx="52">
                  <c:v>89247.479999999981</c:v>
                </c:pt>
                <c:pt idx="53">
                  <c:v>93748.679999999978</c:v>
                </c:pt>
                <c:pt idx="54">
                  <c:v>95447.979999999981</c:v>
                </c:pt>
                <c:pt idx="55">
                  <c:v>95171.639999999985</c:v>
                </c:pt>
                <c:pt idx="56">
                  <c:v>29360.309999999998</c:v>
                </c:pt>
                <c:pt idx="57">
                  <c:v>29958.62</c:v>
                </c:pt>
                <c:pt idx="58">
                  <c:v>30205.469999999998</c:v>
                </c:pt>
                <c:pt idx="59">
                  <c:v>31063.129999999997</c:v>
                </c:pt>
                <c:pt idx="60">
                  <c:v>34247.42</c:v>
                </c:pt>
                <c:pt idx="61">
                  <c:v>21780.070000000003</c:v>
                </c:pt>
                <c:pt idx="62">
                  <c:v>21486.840000000004</c:v>
                </c:pt>
                <c:pt idx="63">
                  <c:v>19080.270000000004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450880"/>
        <c:axId val="229452800"/>
      </c:lineChart>
      <c:dateAx>
        <c:axId val="229450880"/>
        <c:scaling>
          <c:orientation val="minMax"/>
          <c:max val="45292"/>
        </c:scaling>
        <c:delete val="0"/>
        <c:axPos val="b"/>
        <c:majorGridlines/>
        <c:numFmt formatCode="mmmm\,\ yyyy" sourceLinked="0"/>
        <c:majorTickMark val="out"/>
        <c:minorTickMark val="none"/>
        <c:tickLblPos val="low"/>
        <c:crossAx val="229452800"/>
        <c:crosses val="autoZero"/>
        <c:auto val="0"/>
        <c:lblOffset val="100"/>
        <c:baseTimeUnit val="months"/>
        <c:minorUnit val="1"/>
        <c:minorTimeUnit val="months"/>
      </c:dateAx>
      <c:valAx>
        <c:axId val="229452800"/>
        <c:scaling>
          <c:orientation val="minMax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Amount</a:t>
                </a:r>
              </a:p>
            </c:rich>
          </c:tx>
          <c:overlay val="0"/>
        </c:title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229450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Delta</a:t>
            </a:r>
            <a:r>
              <a:rPr lang="en-US" baseline="0"/>
              <a:t> </a:t>
            </a:r>
            <a:r>
              <a:rPr lang="en-US"/>
              <a:t>Per Month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59"/>
          <c:order val="0"/>
          <c:tx>
            <c:strRef>
              <c:f>Overview!$T$2</c:f>
              <c:strCache>
                <c:ptCount val="1"/>
                <c:pt idx="0">
                  <c:v>Total Monthly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cat>
            <c:numRef>
              <c:f>Overview!$A$3:$A$147</c:f>
              <c:numCache>
                <c:formatCode>m/d/yyyy</c:formatCode>
                <c:ptCount val="145"/>
                <c:pt idx="1">
                  <c:v>43466</c:v>
                </c:pt>
                <c:pt idx="2">
                  <c:v>43497</c:v>
                </c:pt>
                <c:pt idx="3">
                  <c:v>43525</c:v>
                </c:pt>
                <c:pt idx="4">
                  <c:v>43556</c:v>
                </c:pt>
                <c:pt idx="5">
                  <c:v>43586</c:v>
                </c:pt>
                <c:pt idx="6">
                  <c:v>43617</c:v>
                </c:pt>
                <c:pt idx="7">
                  <c:v>43647</c:v>
                </c:pt>
                <c:pt idx="8">
                  <c:v>43678</c:v>
                </c:pt>
                <c:pt idx="9">
                  <c:v>43709</c:v>
                </c:pt>
                <c:pt idx="10">
                  <c:v>43739</c:v>
                </c:pt>
                <c:pt idx="11">
                  <c:v>43770</c:v>
                </c:pt>
                <c:pt idx="12">
                  <c:v>43800</c:v>
                </c:pt>
                <c:pt idx="13">
                  <c:v>43831</c:v>
                </c:pt>
                <c:pt idx="14">
                  <c:v>43862</c:v>
                </c:pt>
                <c:pt idx="15">
                  <c:v>43891</c:v>
                </c:pt>
                <c:pt idx="16">
                  <c:v>43922</c:v>
                </c:pt>
                <c:pt idx="17">
                  <c:v>43952</c:v>
                </c:pt>
                <c:pt idx="18">
                  <c:v>43983</c:v>
                </c:pt>
                <c:pt idx="19">
                  <c:v>44013</c:v>
                </c:pt>
                <c:pt idx="20">
                  <c:v>44044</c:v>
                </c:pt>
                <c:pt idx="21">
                  <c:v>44075</c:v>
                </c:pt>
                <c:pt idx="22">
                  <c:v>44105</c:v>
                </c:pt>
                <c:pt idx="23">
                  <c:v>44136</c:v>
                </c:pt>
                <c:pt idx="24">
                  <c:v>44166</c:v>
                </c:pt>
                <c:pt idx="25">
                  <c:v>44197</c:v>
                </c:pt>
                <c:pt idx="26">
                  <c:v>44228</c:v>
                </c:pt>
                <c:pt idx="27">
                  <c:v>44256</c:v>
                </c:pt>
                <c:pt idx="28">
                  <c:v>44287</c:v>
                </c:pt>
                <c:pt idx="29">
                  <c:v>44317</c:v>
                </c:pt>
                <c:pt idx="30">
                  <c:v>44348</c:v>
                </c:pt>
                <c:pt idx="31">
                  <c:v>44378</c:v>
                </c:pt>
                <c:pt idx="32">
                  <c:v>44409</c:v>
                </c:pt>
                <c:pt idx="33">
                  <c:v>44440</c:v>
                </c:pt>
                <c:pt idx="34">
                  <c:v>44470</c:v>
                </c:pt>
                <c:pt idx="35">
                  <c:v>44501</c:v>
                </c:pt>
                <c:pt idx="36">
                  <c:v>44531</c:v>
                </c:pt>
                <c:pt idx="37">
                  <c:v>44562</c:v>
                </c:pt>
                <c:pt idx="38">
                  <c:v>44593</c:v>
                </c:pt>
                <c:pt idx="39">
                  <c:v>44621</c:v>
                </c:pt>
                <c:pt idx="40">
                  <c:v>44652</c:v>
                </c:pt>
                <c:pt idx="41">
                  <c:v>44682</c:v>
                </c:pt>
                <c:pt idx="42">
                  <c:v>44713</c:v>
                </c:pt>
                <c:pt idx="43">
                  <c:v>44743</c:v>
                </c:pt>
                <c:pt idx="44">
                  <c:v>44774</c:v>
                </c:pt>
                <c:pt idx="45">
                  <c:v>44805</c:v>
                </c:pt>
                <c:pt idx="46">
                  <c:v>44835</c:v>
                </c:pt>
                <c:pt idx="47">
                  <c:v>44866</c:v>
                </c:pt>
                <c:pt idx="48">
                  <c:v>44896</c:v>
                </c:pt>
                <c:pt idx="49">
                  <c:v>44927</c:v>
                </c:pt>
                <c:pt idx="50">
                  <c:v>44958</c:v>
                </c:pt>
                <c:pt idx="51">
                  <c:v>44986</c:v>
                </c:pt>
                <c:pt idx="52">
                  <c:v>45017</c:v>
                </c:pt>
                <c:pt idx="53">
                  <c:v>45047</c:v>
                </c:pt>
                <c:pt idx="54">
                  <c:v>45078</c:v>
                </c:pt>
                <c:pt idx="55">
                  <c:v>45108</c:v>
                </c:pt>
                <c:pt idx="56">
                  <c:v>45139</c:v>
                </c:pt>
                <c:pt idx="57">
                  <c:v>45170</c:v>
                </c:pt>
                <c:pt idx="58">
                  <c:v>45200</c:v>
                </c:pt>
                <c:pt idx="59">
                  <c:v>45231</c:v>
                </c:pt>
                <c:pt idx="60">
                  <c:v>45261</c:v>
                </c:pt>
                <c:pt idx="61">
                  <c:v>45292</c:v>
                </c:pt>
                <c:pt idx="62">
                  <c:v>45323</c:v>
                </c:pt>
                <c:pt idx="63">
                  <c:v>45352</c:v>
                </c:pt>
                <c:pt idx="64">
                  <c:v>45383</c:v>
                </c:pt>
                <c:pt idx="65">
                  <c:v>45413</c:v>
                </c:pt>
                <c:pt idx="66">
                  <c:v>45444</c:v>
                </c:pt>
                <c:pt idx="67">
                  <c:v>45474</c:v>
                </c:pt>
                <c:pt idx="68">
                  <c:v>45505</c:v>
                </c:pt>
                <c:pt idx="69">
                  <c:v>45536</c:v>
                </c:pt>
                <c:pt idx="70">
                  <c:v>45566</c:v>
                </c:pt>
                <c:pt idx="71">
                  <c:v>45597</c:v>
                </c:pt>
                <c:pt idx="72">
                  <c:v>45627</c:v>
                </c:pt>
                <c:pt idx="73">
                  <c:v>45658</c:v>
                </c:pt>
                <c:pt idx="74">
                  <c:v>45689</c:v>
                </c:pt>
                <c:pt idx="75">
                  <c:v>45717</c:v>
                </c:pt>
                <c:pt idx="76">
                  <c:v>45748</c:v>
                </c:pt>
                <c:pt idx="77">
                  <c:v>45778</c:v>
                </c:pt>
                <c:pt idx="78">
                  <c:v>45809</c:v>
                </c:pt>
                <c:pt idx="79">
                  <c:v>45839</c:v>
                </c:pt>
                <c:pt idx="80">
                  <c:v>45870</c:v>
                </c:pt>
                <c:pt idx="81">
                  <c:v>45901</c:v>
                </c:pt>
                <c:pt idx="82">
                  <c:v>45931</c:v>
                </c:pt>
                <c:pt idx="83">
                  <c:v>45962</c:v>
                </c:pt>
                <c:pt idx="84">
                  <c:v>45992</c:v>
                </c:pt>
                <c:pt idx="85">
                  <c:v>46023</c:v>
                </c:pt>
                <c:pt idx="86">
                  <c:v>46054</c:v>
                </c:pt>
                <c:pt idx="87">
                  <c:v>46082</c:v>
                </c:pt>
                <c:pt idx="88">
                  <c:v>46113</c:v>
                </c:pt>
                <c:pt idx="89">
                  <c:v>46143</c:v>
                </c:pt>
                <c:pt idx="90">
                  <c:v>46174</c:v>
                </c:pt>
                <c:pt idx="91">
                  <c:v>46204</c:v>
                </c:pt>
                <c:pt idx="92">
                  <c:v>46235</c:v>
                </c:pt>
                <c:pt idx="93">
                  <c:v>46266</c:v>
                </c:pt>
                <c:pt idx="94">
                  <c:v>46296</c:v>
                </c:pt>
                <c:pt idx="95">
                  <c:v>46327</c:v>
                </c:pt>
                <c:pt idx="96">
                  <c:v>46357</c:v>
                </c:pt>
                <c:pt idx="97">
                  <c:v>46388</c:v>
                </c:pt>
                <c:pt idx="98">
                  <c:v>46419</c:v>
                </c:pt>
                <c:pt idx="99">
                  <c:v>46447</c:v>
                </c:pt>
                <c:pt idx="100">
                  <c:v>46478</c:v>
                </c:pt>
                <c:pt idx="101">
                  <c:v>46508</c:v>
                </c:pt>
                <c:pt idx="102">
                  <c:v>46539</c:v>
                </c:pt>
                <c:pt idx="103">
                  <c:v>46569</c:v>
                </c:pt>
                <c:pt idx="104">
                  <c:v>46600</c:v>
                </c:pt>
                <c:pt idx="105">
                  <c:v>46631</c:v>
                </c:pt>
                <c:pt idx="106">
                  <c:v>46661</c:v>
                </c:pt>
                <c:pt idx="107">
                  <c:v>46692</c:v>
                </c:pt>
                <c:pt idx="108">
                  <c:v>46722</c:v>
                </c:pt>
                <c:pt idx="109">
                  <c:v>46753</c:v>
                </c:pt>
                <c:pt idx="110">
                  <c:v>46784</c:v>
                </c:pt>
                <c:pt idx="111">
                  <c:v>46813</c:v>
                </c:pt>
                <c:pt idx="112">
                  <c:v>46844</c:v>
                </c:pt>
                <c:pt idx="113">
                  <c:v>46874</c:v>
                </c:pt>
                <c:pt idx="114">
                  <c:v>46905</c:v>
                </c:pt>
                <c:pt idx="115">
                  <c:v>46935</c:v>
                </c:pt>
                <c:pt idx="116">
                  <c:v>46966</c:v>
                </c:pt>
                <c:pt idx="117">
                  <c:v>46997</c:v>
                </c:pt>
                <c:pt idx="118">
                  <c:v>47027</c:v>
                </c:pt>
                <c:pt idx="119">
                  <c:v>47058</c:v>
                </c:pt>
                <c:pt idx="120">
                  <c:v>47088</c:v>
                </c:pt>
                <c:pt idx="121">
                  <c:v>47119</c:v>
                </c:pt>
                <c:pt idx="122">
                  <c:v>47150</c:v>
                </c:pt>
                <c:pt idx="123">
                  <c:v>47178</c:v>
                </c:pt>
                <c:pt idx="124">
                  <c:v>47209</c:v>
                </c:pt>
                <c:pt idx="125">
                  <c:v>47239</c:v>
                </c:pt>
                <c:pt idx="126">
                  <c:v>47270</c:v>
                </c:pt>
                <c:pt idx="127">
                  <c:v>47300</c:v>
                </c:pt>
                <c:pt idx="128">
                  <c:v>47331</c:v>
                </c:pt>
                <c:pt idx="129">
                  <c:v>47362</c:v>
                </c:pt>
                <c:pt idx="130">
                  <c:v>47392</c:v>
                </c:pt>
                <c:pt idx="131">
                  <c:v>47423</c:v>
                </c:pt>
                <c:pt idx="132">
                  <c:v>47453</c:v>
                </c:pt>
                <c:pt idx="133">
                  <c:v>47484</c:v>
                </c:pt>
                <c:pt idx="134">
                  <c:v>47515</c:v>
                </c:pt>
                <c:pt idx="135">
                  <c:v>47543</c:v>
                </c:pt>
                <c:pt idx="136">
                  <c:v>47574</c:v>
                </c:pt>
                <c:pt idx="137">
                  <c:v>47604</c:v>
                </c:pt>
                <c:pt idx="138">
                  <c:v>47635</c:v>
                </c:pt>
                <c:pt idx="139">
                  <c:v>47665</c:v>
                </c:pt>
                <c:pt idx="140">
                  <c:v>47696</c:v>
                </c:pt>
                <c:pt idx="141">
                  <c:v>47727</c:v>
                </c:pt>
                <c:pt idx="142">
                  <c:v>47757</c:v>
                </c:pt>
                <c:pt idx="143">
                  <c:v>47788</c:v>
                </c:pt>
                <c:pt idx="144">
                  <c:v>47818</c:v>
                </c:pt>
              </c:numCache>
            </c:numRef>
          </c:cat>
          <c:val>
            <c:numRef>
              <c:f>Overview!$T$3:$T$147</c:f>
              <c:numCache>
                <c:formatCode>_("$"* #,##0.00_);_("$"* \(#,##0.00\);_("$"* "-"??_);_(@_)</c:formatCode>
                <c:ptCount val="145"/>
                <c:pt idx="0">
                  <c:v>11923.43</c:v>
                </c:pt>
                <c:pt idx="1">
                  <c:v>-331.44000000000005</c:v>
                </c:pt>
                <c:pt idx="2">
                  <c:v>-5150.43</c:v>
                </c:pt>
                <c:pt idx="3">
                  <c:v>-1165.6600000000001</c:v>
                </c:pt>
                <c:pt idx="4">
                  <c:v>14.36000000000007</c:v>
                </c:pt>
                <c:pt idx="5">
                  <c:v>2084.4299999999998</c:v>
                </c:pt>
                <c:pt idx="6">
                  <c:v>1680.1799999999992</c:v>
                </c:pt>
                <c:pt idx="7">
                  <c:v>-2277.9499999999998</c:v>
                </c:pt>
                <c:pt idx="8">
                  <c:v>2741.5000000000005</c:v>
                </c:pt>
                <c:pt idx="9">
                  <c:v>2980.8599999999997</c:v>
                </c:pt>
                <c:pt idx="10">
                  <c:v>4455.2099999999991</c:v>
                </c:pt>
                <c:pt idx="11">
                  <c:v>3830.9500000000016</c:v>
                </c:pt>
                <c:pt idx="12">
                  <c:v>1913.6399999999996</c:v>
                </c:pt>
                <c:pt idx="13">
                  <c:v>1129.2799999999995</c:v>
                </c:pt>
                <c:pt idx="14">
                  <c:v>2842.74</c:v>
                </c:pt>
                <c:pt idx="15">
                  <c:v>2861.1700000000005</c:v>
                </c:pt>
                <c:pt idx="16">
                  <c:v>9672.3100000000013</c:v>
                </c:pt>
                <c:pt idx="17">
                  <c:v>2650.9599999999991</c:v>
                </c:pt>
                <c:pt idx="18">
                  <c:v>2112.29</c:v>
                </c:pt>
                <c:pt idx="19">
                  <c:v>1622.1799999999996</c:v>
                </c:pt>
                <c:pt idx="20">
                  <c:v>289.06999999999977</c:v>
                </c:pt>
                <c:pt idx="21">
                  <c:v>3973.4199999999992</c:v>
                </c:pt>
                <c:pt idx="22">
                  <c:v>1587.0499999999997</c:v>
                </c:pt>
                <c:pt idx="23">
                  <c:v>920.16</c:v>
                </c:pt>
                <c:pt idx="24">
                  <c:v>1083.5999999999995</c:v>
                </c:pt>
                <c:pt idx="25">
                  <c:v>-50.400000000000553</c:v>
                </c:pt>
                <c:pt idx="26">
                  <c:v>1244.49</c:v>
                </c:pt>
                <c:pt idx="27">
                  <c:v>1764.5899999999997</c:v>
                </c:pt>
                <c:pt idx="28">
                  <c:v>755.70999999999913</c:v>
                </c:pt>
                <c:pt idx="29">
                  <c:v>5026.9900000000007</c:v>
                </c:pt>
                <c:pt idx="30">
                  <c:v>1165.5100000000004</c:v>
                </c:pt>
                <c:pt idx="31">
                  <c:v>1676.6099999999997</c:v>
                </c:pt>
                <c:pt idx="32">
                  <c:v>1798.8399999999988</c:v>
                </c:pt>
                <c:pt idx="33">
                  <c:v>190.92000000000147</c:v>
                </c:pt>
                <c:pt idx="34">
                  <c:v>1551.8200000000011</c:v>
                </c:pt>
                <c:pt idx="35">
                  <c:v>1330.6299999999987</c:v>
                </c:pt>
                <c:pt idx="36">
                  <c:v>1157.6399999999987</c:v>
                </c:pt>
                <c:pt idx="37">
                  <c:v>123.1599999999999</c:v>
                </c:pt>
                <c:pt idx="38">
                  <c:v>1922.2599999999995</c:v>
                </c:pt>
                <c:pt idx="39">
                  <c:v>-228.67999999999984</c:v>
                </c:pt>
                <c:pt idx="40">
                  <c:v>3161.5299999999979</c:v>
                </c:pt>
                <c:pt idx="41">
                  <c:v>996.55999999999972</c:v>
                </c:pt>
                <c:pt idx="42">
                  <c:v>3088.4699999999993</c:v>
                </c:pt>
                <c:pt idx="43">
                  <c:v>5422.5000000000009</c:v>
                </c:pt>
                <c:pt idx="44">
                  <c:v>506.38999999999874</c:v>
                </c:pt>
                <c:pt idx="45">
                  <c:v>-224.71000000000012</c:v>
                </c:pt>
                <c:pt idx="46">
                  <c:v>634.76000000000056</c:v>
                </c:pt>
                <c:pt idx="47">
                  <c:v>360.14000000000033</c:v>
                </c:pt>
                <c:pt idx="48">
                  <c:v>3645.3300000000017</c:v>
                </c:pt>
                <c:pt idx="49">
                  <c:v>240.61999999999989</c:v>
                </c:pt>
                <c:pt idx="50">
                  <c:v>10.809999999999739</c:v>
                </c:pt>
                <c:pt idx="51">
                  <c:v>-677.58</c:v>
                </c:pt>
                <c:pt idx="52">
                  <c:v>-790.74000000000024</c:v>
                </c:pt>
                <c:pt idx="53">
                  <c:v>4501.2</c:v>
                </c:pt>
                <c:pt idx="54">
                  <c:v>1699.3000000000006</c:v>
                </c:pt>
                <c:pt idx="55">
                  <c:v>-276.340000000001</c:v>
                </c:pt>
                <c:pt idx="56">
                  <c:v>-65811.329999999987</c:v>
                </c:pt>
                <c:pt idx="57">
                  <c:v>598.3099999999996</c:v>
                </c:pt>
                <c:pt idx="58">
                  <c:v>246.85000000000008</c:v>
                </c:pt>
                <c:pt idx="59">
                  <c:v>857.66000000000008</c:v>
                </c:pt>
                <c:pt idx="60">
                  <c:v>3184.2900000000031</c:v>
                </c:pt>
                <c:pt idx="61">
                  <c:v>-12467.349999999995</c:v>
                </c:pt>
                <c:pt idx="62">
                  <c:v>-293.22999999999979</c:v>
                </c:pt>
                <c:pt idx="63">
                  <c:v>-2406.5699999999993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489280"/>
        <c:axId val="229491456"/>
      </c:lineChart>
      <c:dateAx>
        <c:axId val="229489280"/>
        <c:scaling>
          <c:orientation val="minMax"/>
          <c:max val="45292"/>
        </c:scaling>
        <c:delete val="0"/>
        <c:axPos val="b"/>
        <c:majorGridlines>
          <c:spPr>
            <a:ln w="9525" cmpd="sng">
              <a:solidFill>
                <a:schemeClr val="tx1"/>
              </a:solidFill>
            </a:ln>
          </c:spPr>
        </c:majorGridlines>
        <c:numFmt formatCode="mmmm\,\ yyyy" sourceLinked="0"/>
        <c:majorTickMark val="out"/>
        <c:minorTickMark val="none"/>
        <c:tickLblPos val="low"/>
        <c:crossAx val="229491456"/>
        <c:crosses val="autoZero"/>
        <c:auto val="0"/>
        <c:lblOffset val="100"/>
        <c:baseTimeUnit val="months"/>
        <c:minorUnit val="1"/>
        <c:minorTimeUnit val="months"/>
      </c:dateAx>
      <c:valAx>
        <c:axId val="229491456"/>
        <c:scaling>
          <c:orientation val="minMax"/>
        </c:scaling>
        <c:delete val="0"/>
        <c:axPos val="l"/>
        <c:majorGridlines>
          <c:spPr>
            <a:ln>
              <a:solidFill>
                <a:schemeClr val="tx1"/>
              </a:solidFill>
            </a:ln>
          </c:spPr>
        </c:majorGridlines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Amount</a:t>
                </a:r>
              </a:p>
            </c:rich>
          </c:tx>
          <c:overlay val="0"/>
        </c:title>
        <c:numFmt formatCode="&quot;$&quot;#,##0.00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crossAx val="229489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 Per Month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59"/>
          <c:order val="0"/>
          <c:tx>
            <c:strRef>
              <c:f>Overview!$J$2</c:f>
              <c:strCache>
                <c:ptCount val="1"/>
                <c:pt idx="0">
                  <c:v>Personal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cat>
            <c:numRef>
              <c:f>Overview!$A$3:$A$147</c:f>
              <c:numCache>
                <c:formatCode>m/d/yyyy</c:formatCode>
                <c:ptCount val="145"/>
                <c:pt idx="1">
                  <c:v>43466</c:v>
                </c:pt>
                <c:pt idx="2">
                  <c:v>43497</c:v>
                </c:pt>
                <c:pt idx="3">
                  <c:v>43525</c:v>
                </c:pt>
                <c:pt idx="4">
                  <c:v>43556</c:v>
                </c:pt>
                <c:pt idx="5">
                  <c:v>43586</c:v>
                </c:pt>
                <c:pt idx="6">
                  <c:v>43617</c:v>
                </c:pt>
                <c:pt idx="7">
                  <c:v>43647</c:v>
                </c:pt>
                <c:pt idx="8">
                  <c:v>43678</c:v>
                </c:pt>
                <c:pt idx="9">
                  <c:v>43709</c:v>
                </c:pt>
                <c:pt idx="10">
                  <c:v>43739</c:v>
                </c:pt>
                <c:pt idx="11">
                  <c:v>43770</c:v>
                </c:pt>
                <c:pt idx="12">
                  <c:v>43800</c:v>
                </c:pt>
                <c:pt idx="13">
                  <c:v>43831</c:v>
                </c:pt>
                <c:pt idx="14">
                  <c:v>43862</c:v>
                </c:pt>
                <c:pt idx="15">
                  <c:v>43891</c:v>
                </c:pt>
                <c:pt idx="16">
                  <c:v>43922</c:v>
                </c:pt>
                <c:pt idx="17">
                  <c:v>43952</c:v>
                </c:pt>
                <c:pt idx="18">
                  <c:v>43983</c:v>
                </c:pt>
                <c:pt idx="19">
                  <c:v>44013</c:v>
                </c:pt>
                <c:pt idx="20">
                  <c:v>44044</c:v>
                </c:pt>
                <c:pt idx="21">
                  <c:v>44075</c:v>
                </c:pt>
                <c:pt idx="22">
                  <c:v>44105</c:v>
                </c:pt>
                <c:pt idx="23">
                  <c:v>44136</c:v>
                </c:pt>
                <c:pt idx="24">
                  <c:v>44166</c:v>
                </c:pt>
                <c:pt idx="25">
                  <c:v>44197</c:v>
                </c:pt>
                <c:pt idx="26">
                  <c:v>44228</c:v>
                </c:pt>
                <c:pt idx="27">
                  <c:v>44256</c:v>
                </c:pt>
                <c:pt idx="28">
                  <c:v>44287</c:v>
                </c:pt>
                <c:pt idx="29">
                  <c:v>44317</c:v>
                </c:pt>
                <c:pt idx="30">
                  <c:v>44348</c:v>
                </c:pt>
                <c:pt idx="31">
                  <c:v>44378</c:v>
                </c:pt>
                <c:pt idx="32">
                  <c:v>44409</c:v>
                </c:pt>
                <c:pt idx="33">
                  <c:v>44440</c:v>
                </c:pt>
                <c:pt idx="34">
                  <c:v>44470</c:v>
                </c:pt>
                <c:pt idx="35">
                  <c:v>44501</c:v>
                </c:pt>
                <c:pt idx="36">
                  <c:v>44531</c:v>
                </c:pt>
                <c:pt idx="37">
                  <c:v>44562</c:v>
                </c:pt>
                <c:pt idx="38">
                  <c:v>44593</c:v>
                </c:pt>
                <c:pt idx="39">
                  <c:v>44621</c:v>
                </c:pt>
                <c:pt idx="40">
                  <c:v>44652</c:v>
                </c:pt>
                <c:pt idx="41">
                  <c:v>44682</c:v>
                </c:pt>
                <c:pt idx="42">
                  <c:v>44713</c:v>
                </c:pt>
                <c:pt idx="43">
                  <c:v>44743</c:v>
                </c:pt>
                <c:pt idx="44">
                  <c:v>44774</c:v>
                </c:pt>
                <c:pt idx="45">
                  <c:v>44805</c:v>
                </c:pt>
                <c:pt idx="46">
                  <c:v>44835</c:v>
                </c:pt>
                <c:pt idx="47">
                  <c:v>44866</c:v>
                </c:pt>
                <c:pt idx="48">
                  <c:v>44896</c:v>
                </c:pt>
                <c:pt idx="49">
                  <c:v>44927</c:v>
                </c:pt>
                <c:pt idx="50">
                  <c:v>44958</c:v>
                </c:pt>
                <c:pt idx="51">
                  <c:v>44986</c:v>
                </c:pt>
                <c:pt idx="52">
                  <c:v>45017</c:v>
                </c:pt>
                <c:pt idx="53">
                  <c:v>45047</c:v>
                </c:pt>
                <c:pt idx="54">
                  <c:v>45078</c:v>
                </c:pt>
                <c:pt idx="55">
                  <c:v>45108</c:v>
                </c:pt>
                <c:pt idx="56">
                  <c:v>45139</c:v>
                </c:pt>
                <c:pt idx="57">
                  <c:v>45170</c:v>
                </c:pt>
                <c:pt idx="58">
                  <c:v>45200</c:v>
                </c:pt>
                <c:pt idx="59">
                  <c:v>45231</c:v>
                </c:pt>
                <c:pt idx="60">
                  <c:v>45261</c:v>
                </c:pt>
                <c:pt idx="61">
                  <c:v>45292</c:v>
                </c:pt>
                <c:pt idx="62">
                  <c:v>45323</c:v>
                </c:pt>
                <c:pt idx="63">
                  <c:v>45352</c:v>
                </c:pt>
                <c:pt idx="64">
                  <c:v>45383</c:v>
                </c:pt>
                <c:pt idx="65">
                  <c:v>45413</c:v>
                </c:pt>
                <c:pt idx="66">
                  <c:v>45444</c:v>
                </c:pt>
                <c:pt idx="67">
                  <c:v>45474</c:v>
                </c:pt>
                <c:pt idx="68">
                  <c:v>45505</c:v>
                </c:pt>
                <c:pt idx="69">
                  <c:v>45536</c:v>
                </c:pt>
                <c:pt idx="70">
                  <c:v>45566</c:v>
                </c:pt>
                <c:pt idx="71">
                  <c:v>45597</c:v>
                </c:pt>
                <c:pt idx="72">
                  <c:v>45627</c:v>
                </c:pt>
                <c:pt idx="73">
                  <c:v>45658</c:v>
                </c:pt>
                <c:pt idx="74">
                  <c:v>45689</c:v>
                </c:pt>
                <c:pt idx="75">
                  <c:v>45717</c:v>
                </c:pt>
                <c:pt idx="76">
                  <c:v>45748</c:v>
                </c:pt>
                <c:pt idx="77">
                  <c:v>45778</c:v>
                </c:pt>
                <c:pt idx="78">
                  <c:v>45809</c:v>
                </c:pt>
                <c:pt idx="79">
                  <c:v>45839</c:v>
                </c:pt>
                <c:pt idx="80">
                  <c:v>45870</c:v>
                </c:pt>
                <c:pt idx="81">
                  <c:v>45901</c:v>
                </c:pt>
                <c:pt idx="82">
                  <c:v>45931</c:v>
                </c:pt>
                <c:pt idx="83">
                  <c:v>45962</c:v>
                </c:pt>
                <c:pt idx="84">
                  <c:v>45992</c:v>
                </c:pt>
                <c:pt idx="85">
                  <c:v>46023</c:v>
                </c:pt>
                <c:pt idx="86">
                  <c:v>46054</c:v>
                </c:pt>
                <c:pt idx="87">
                  <c:v>46082</c:v>
                </c:pt>
                <c:pt idx="88">
                  <c:v>46113</c:v>
                </c:pt>
                <c:pt idx="89">
                  <c:v>46143</c:v>
                </c:pt>
                <c:pt idx="90">
                  <c:v>46174</c:v>
                </c:pt>
                <c:pt idx="91">
                  <c:v>46204</c:v>
                </c:pt>
                <c:pt idx="92">
                  <c:v>46235</c:v>
                </c:pt>
                <c:pt idx="93">
                  <c:v>46266</c:v>
                </c:pt>
                <c:pt idx="94">
                  <c:v>46296</c:v>
                </c:pt>
                <c:pt idx="95">
                  <c:v>46327</c:v>
                </c:pt>
                <c:pt idx="96">
                  <c:v>46357</c:v>
                </c:pt>
                <c:pt idx="97">
                  <c:v>46388</c:v>
                </c:pt>
                <c:pt idx="98">
                  <c:v>46419</c:v>
                </c:pt>
                <c:pt idx="99">
                  <c:v>46447</c:v>
                </c:pt>
                <c:pt idx="100">
                  <c:v>46478</c:v>
                </c:pt>
                <c:pt idx="101">
                  <c:v>46508</c:v>
                </c:pt>
                <c:pt idx="102">
                  <c:v>46539</c:v>
                </c:pt>
                <c:pt idx="103">
                  <c:v>46569</c:v>
                </c:pt>
                <c:pt idx="104">
                  <c:v>46600</c:v>
                </c:pt>
                <c:pt idx="105">
                  <c:v>46631</c:v>
                </c:pt>
                <c:pt idx="106">
                  <c:v>46661</c:v>
                </c:pt>
                <c:pt idx="107">
                  <c:v>46692</c:v>
                </c:pt>
                <c:pt idx="108">
                  <c:v>46722</c:v>
                </c:pt>
                <c:pt idx="109">
                  <c:v>46753</c:v>
                </c:pt>
                <c:pt idx="110">
                  <c:v>46784</c:v>
                </c:pt>
                <c:pt idx="111">
                  <c:v>46813</c:v>
                </c:pt>
                <c:pt idx="112">
                  <c:v>46844</c:v>
                </c:pt>
                <c:pt idx="113">
                  <c:v>46874</c:v>
                </c:pt>
                <c:pt idx="114">
                  <c:v>46905</c:v>
                </c:pt>
                <c:pt idx="115">
                  <c:v>46935</c:v>
                </c:pt>
                <c:pt idx="116">
                  <c:v>46966</c:v>
                </c:pt>
                <c:pt idx="117">
                  <c:v>46997</c:v>
                </c:pt>
                <c:pt idx="118">
                  <c:v>47027</c:v>
                </c:pt>
                <c:pt idx="119">
                  <c:v>47058</c:v>
                </c:pt>
                <c:pt idx="120">
                  <c:v>47088</c:v>
                </c:pt>
                <c:pt idx="121">
                  <c:v>47119</c:v>
                </c:pt>
                <c:pt idx="122">
                  <c:v>47150</c:v>
                </c:pt>
                <c:pt idx="123">
                  <c:v>47178</c:v>
                </c:pt>
                <c:pt idx="124">
                  <c:v>47209</c:v>
                </c:pt>
                <c:pt idx="125">
                  <c:v>47239</c:v>
                </c:pt>
                <c:pt idx="126">
                  <c:v>47270</c:v>
                </c:pt>
                <c:pt idx="127">
                  <c:v>47300</c:v>
                </c:pt>
                <c:pt idx="128">
                  <c:v>47331</c:v>
                </c:pt>
                <c:pt idx="129">
                  <c:v>47362</c:v>
                </c:pt>
                <c:pt idx="130">
                  <c:v>47392</c:v>
                </c:pt>
                <c:pt idx="131">
                  <c:v>47423</c:v>
                </c:pt>
                <c:pt idx="132">
                  <c:v>47453</c:v>
                </c:pt>
                <c:pt idx="133">
                  <c:v>47484</c:v>
                </c:pt>
                <c:pt idx="134">
                  <c:v>47515</c:v>
                </c:pt>
                <c:pt idx="135">
                  <c:v>47543</c:v>
                </c:pt>
                <c:pt idx="136">
                  <c:v>47574</c:v>
                </c:pt>
                <c:pt idx="137">
                  <c:v>47604</c:v>
                </c:pt>
                <c:pt idx="138">
                  <c:v>47635</c:v>
                </c:pt>
                <c:pt idx="139">
                  <c:v>47665</c:v>
                </c:pt>
                <c:pt idx="140">
                  <c:v>47696</c:v>
                </c:pt>
                <c:pt idx="141">
                  <c:v>47727</c:v>
                </c:pt>
                <c:pt idx="142">
                  <c:v>47757</c:v>
                </c:pt>
                <c:pt idx="143">
                  <c:v>47788</c:v>
                </c:pt>
                <c:pt idx="144">
                  <c:v>47818</c:v>
                </c:pt>
              </c:numCache>
            </c:numRef>
          </c:cat>
          <c:val>
            <c:numRef>
              <c:f>Overview!$J$3:$J$147</c:f>
              <c:numCache>
                <c:formatCode>_("$"* #,##0.00_);_("$"* \(#,##0.00\);_("$"* "-"??_);_(@_)</c:formatCode>
                <c:ptCount val="145"/>
                <c:pt idx="1">
                  <c:v>-55.5</c:v>
                </c:pt>
                <c:pt idx="2">
                  <c:v>0</c:v>
                </c:pt>
                <c:pt idx="3">
                  <c:v>-809.43999999999994</c:v>
                </c:pt>
                <c:pt idx="4">
                  <c:v>-29.22</c:v>
                </c:pt>
                <c:pt idx="5">
                  <c:v>-6.16</c:v>
                </c:pt>
                <c:pt idx="6">
                  <c:v>-350.57</c:v>
                </c:pt>
                <c:pt idx="7">
                  <c:v>40</c:v>
                </c:pt>
                <c:pt idx="8">
                  <c:v>-50.61</c:v>
                </c:pt>
                <c:pt idx="9">
                  <c:v>-26.05</c:v>
                </c:pt>
                <c:pt idx="10">
                  <c:v>-256.2</c:v>
                </c:pt>
                <c:pt idx="11">
                  <c:v>-84.600000000000009</c:v>
                </c:pt>
                <c:pt idx="12">
                  <c:v>-273.05</c:v>
                </c:pt>
                <c:pt idx="13">
                  <c:v>0</c:v>
                </c:pt>
                <c:pt idx="14">
                  <c:v>-55.05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-208.93</c:v>
                </c:pt>
                <c:pt idx="19">
                  <c:v>0</c:v>
                </c:pt>
                <c:pt idx="20">
                  <c:v>-925.68000000000006</c:v>
                </c:pt>
                <c:pt idx="21">
                  <c:v>-33.840000000000003</c:v>
                </c:pt>
                <c:pt idx="22">
                  <c:v>-250.56</c:v>
                </c:pt>
                <c:pt idx="23">
                  <c:v>-320.66000000000003</c:v>
                </c:pt>
                <c:pt idx="24">
                  <c:v>-194.42</c:v>
                </c:pt>
                <c:pt idx="25">
                  <c:v>-512.49</c:v>
                </c:pt>
                <c:pt idx="26">
                  <c:v>-751.4</c:v>
                </c:pt>
                <c:pt idx="27">
                  <c:v>-86.87</c:v>
                </c:pt>
                <c:pt idx="28">
                  <c:v>-39.869999999999997</c:v>
                </c:pt>
                <c:pt idx="29">
                  <c:v>-296.69</c:v>
                </c:pt>
                <c:pt idx="30">
                  <c:v>-108.50999999999999</c:v>
                </c:pt>
                <c:pt idx="31">
                  <c:v>1829.9099999999999</c:v>
                </c:pt>
                <c:pt idx="32">
                  <c:v>-81.02</c:v>
                </c:pt>
                <c:pt idx="33">
                  <c:v>-1325.69</c:v>
                </c:pt>
                <c:pt idx="34">
                  <c:v>-170.92000000000002</c:v>
                </c:pt>
                <c:pt idx="35">
                  <c:v>-39.06</c:v>
                </c:pt>
                <c:pt idx="36">
                  <c:v>-78.55</c:v>
                </c:pt>
                <c:pt idx="37">
                  <c:v>-169.84</c:v>
                </c:pt>
                <c:pt idx="38">
                  <c:v>-52.629999999999995</c:v>
                </c:pt>
                <c:pt idx="39">
                  <c:v>0</c:v>
                </c:pt>
                <c:pt idx="40">
                  <c:v>-388.63</c:v>
                </c:pt>
                <c:pt idx="41">
                  <c:v>-125.73</c:v>
                </c:pt>
                <c:pt idx="42">
                  <c:v>-68.8</c:v>
                </c:pt>
                <c:pt idx="43">
                  <c:v>-342.06000000000006</c:v>
                </c:pt>
                <c:pt idx="44">
                  <c:v>-213.21999999999997</c:v>
                </c:pt>
                <c:pt idx="45">
                  <c:v>-1032.28</c:v>
                </c:pt>
                <c:pt idx="46">
                  <c:v>-200</c:v>
                </c:pt>
                <c:pt idx="47">
                  <c:v>-90.48</c:v>
                </c:pt>
                <c:pt idx="48">
                  <c:v>-160.84</c:v>
                </c:pt>
                <c:pt idx="49">
                  <c:v>-382.01000000000005</c:v>
                </c:pt>
                <c:pt idx="50">
                  <c:v>-223.33</c:v>
                </c:pt>
                <c:pt idx="51">
                  <c:v>-36.89</c:v>
                </c:pt>
                <c:pt idx="52">
                  <c:v>-289.87</c:v>
                </c:pt>
                <c:pt idx="53">
                  <c:v>-533.30999999999995</c:v>
                </c:pt>
                <c:pt idx="54">
                  <c:v>-283.71000000000004</c:v>
                </c:pt>
                <c:pt idx="55">
                  <c:v>-119.63</c:v>
                </c:pt>
                <c:pt idx="56">
                  <c:v>-120.78999999999999</c:v>
                </c:pt>
                <c:pt idx="57">
                  <c:v>-104.77000000000001</c:v>
                </c:pt>
                <c:pt idx="58">
                  <c:v>-38.39</c:v>
                </c:pt>
                <c:pt idx="59">
                  <c:v>-125.4</c:v>
                </c:pt>
                <c:pt idx="60">
                  <c:v>-161.19</c:v>
                </c:pt>
                <c:pt idx="61">
                  <c:v>-60.09</c:v>
                </c:pt>
                <c:pt idx="62">
                  <c:v>-10.55</c:v>
                </c:pt>
                <c:pt idx="63">
                  <c:v>-155.10000000000002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783744"/>
        <c:axId val="240785664"/>
      </c:lineChart>
      <c:dateAx>
        <c:axId val="240783744"/>
        <c:scaling>
          <c:orientation val="minMax"/>
          <c:max val="45292"/>
        </c:scaling>
        <c:delete val="0"/>
        <c:axPos val="b"/>
        <c:majorGridlines/>
        <c:numFmt formatCode="mmmm\,\ yyyy" sourceLinked="0"/>
        <c:majorTickMark val="out"/>
        <c:minorTickMark val="none"/>
        <c:tickLblPos val="low"/>
        <c:crossAx val="240785664"/>
        <c:crosses val="autoZero"/>
        <c:auto val="0"/>
        <c:lblOffset val="100"/>
        <c:baseTimeUnit val="months"/>
        <c:minorUnit val="1"/>
        <c:minorTimeUnit val="months"/>
      </c:dateAx>
      <c:valAx>
        <c:axId val="240785664"/>
        <c:scaling>
          <c:orientation val="minMax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Amount</a:t>
                </a:r>
              </a:p>
            </c:rich>
          </c:tx>
          <c:overlay val="0"/>
        </c:title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240783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Overview!$C$2</c:f>
              <c:strCache>
                <c:ptCount val="1"/>
                <c:pt idx="0">
                  <c:v>Job</c:v>
                </c:pt>
              </c:strCache>
            </c:strRef>
          </c:tx>
          <c:marker>
            <c:symbol val="none"/>
          </c:marker>
          <c:cat>
            <c:numRef>
              <c:f>Overview!$A$3:$A$147</c:f>
              <c:numCache>
                <c:formatCode>m/d/yyyy</c:formatCode>
                <c:ptCount val="145"/>
                <c:pt idx="1">
                  <c:v>43466</c:v>
                </c:pt>
                <c:pt idx="2">
                  <c:v>43497</c:v>
                </c:pt>
                <c:pt idx="3">
                  <c:v>43525</c:v>
                </c:pt>
                <c:pt idx="4">
                  <c:v>43556</c:v>
                </c:pt>
                <c:pt idx="5">
                  <c:v>43586</c:v>
                </c:pt>
                <c:pt idx="6">
                  <c:v>43617</c:v>
                </c:pt>
                <c:pt idx="7">
                  <c:v>43647</c:v>
                </c:pt>
                <c:pt idx="8">
                  <c:v>43678</c:v>
                </c:pt>
                <c:pt idx="9">
                  <c:v>43709</c:v>
                </c:pt>
                <c:pt idx="10">
                  <c:v>43739</c:v>
                </c:pt>
                <c:pt idx="11">
                  <c:v>43770</c:v>
                </c:pt>
                <c:pt idx="12">
                  <c:v>43800</c:v>
                </c:pt>
                <c:pt idx="13">
                  <c:v>43831</c:v>
                </c:pt>
                <c:pt idx="14">
                  <c:v>43862</c:v>
                </c:pt>
                <c:pt idx="15">
                  <c:v>43891</c:v>
                </c:pt>
                <c:pt idx="16">
                  <c:v>43922</c:v>
                </c:pt>
                <c:pt idx="17">
                  <c:v>43952</c:v>
                </c:pt>
                <c:pt idx="18">
                  <c:v>43983</c:v>
                </c:pt>
                <c:pt idx="19">
                  <c:v>44013</c:v>
                </c:pt>
                <c:pt idx="20">
                  <c:v>44044</c:v>
                </c:pt>
                <c:pt idx="21">
                  <c:v>44075</c:v>
                </c:pt>
                <c:pt idx="22">
                  <c:v>44105</c:v>
                </c:pt>
                <c:pt idx="23">
                  <c:v>44136</c:v>
                </c:pt>
                <c:pt idx="24">
                  <c:v>44166</c:v>
                </c:pt>
                <c:pt idx="25">
                  <c:v>44197</c:v>
                </c:pt>
                <c:pt idx="26">
                  <c:v>44228</c:v>
                </c:pt>
                <c:pt idx="27">
                  <c:v>44256</c:v>
                </c:pt>
                <c:pt idx="28">
                  <c:v>44287</c:v>
                </c:pt>
                <c:pt idx="29">
                  <c:v>44317</c:v>
                </c:pt>
                <c:pt idx="30">
                  <c:v>44348</c:v>
                </c:pt>
                <c:pt idx="31">
                  <c:v>44378</c:v>
                </c:pt>
                <c:pt idx="32">
                  <c:v>44409</c:v>
                </c:pt>
                <c:pt idx="33">
                  <c:v>44440</c:v>
                </c:pt>
                <c:pt idx="34">
                  <c:v>44470</c:v>
                </c:pt>
                <c:pt idx="35">
                  <c:v>44501</c:v>
                </c:pt>
                <c:pt idx="36">
                  <c:v>44531</c:v>
                </c:pt>
                <c:pt idx="37">
                  <c:v>44562</c:v>
                </c:pt>
                <c:pt idx="38">
                  <c:v>44593</c:v>
                </c:pt>
                <c:pt idx="39">
                  <c:v>44621</c:v>
                </c:pt>
                <c:pt idx="40">
                  <c:v>44652</c:v>
                </c:pt>
                <c:pt idx="41">
                  <c:v>44682</c:v>
                </c:pt>
                <c:pt idx="42">
                  <c:v>44713</c:v>
                </c:pt>
                <c:pt idx="43">
                  <c:v>44743</c:v>
                </c:pt>
                <c:pt idx="44">
                  <c:v>44774</c:v>
                </c:pt>
                <c:pt idx="45">
                  <c:v>44805</c:v>
                </c:pt>
                <c:pt idx="46">
                  <c:v>44835</c:v>
                </c:pt>
                <c:pt idx="47">
                  <c:v>44866</c:v>
                </c:pt>
                <c:pt idx="48">
                  <c:v>44896</c:v>
                </c:pt>
                <c:pt idx="49">
                  <c:v>44927</c:v>
                </c:pt>
                <c:pt idx="50">
                  <c:v>44958</c:v>
                </c:pt>
                <c:pt idx="51">
                  <c:v>44986</c:v>
                </c:pt>
                <c:pt idx="52">
                  <c:v>45017</c:v>
                </c:pt>
                <c:pt idx="53">
                  <c:v>45047</c:v>
                </c:pt>
                <c:pt idx="54">
                  <c:v>45078</c:v>
                </c:pt>
                <c:pt idx="55">
                  <c:v>45108</c:v>
                </c:pt>
                <c:pt idx="56">
                  <c:v>45139</c:v>
                </c:pt>
                <c:pt idx="57">
                  <c:v>45170</c:v>
                </c:pt>
                <c:pt idx="58">
                  <c:v>45200</c:v>
                </c:pt>
                <c:pt idx="59">
                  <c:v>45231</c:v>
                </c:pt>
                <c:pt idx="60">
                  <c:v>45261</c:v>
                </c:pt>
                <c:pt idx="61">
                  <c:v>45292</c:v>
                </c:pt>
                <c:pt idx="62">
                  <c:v>45323</c:v>
                </c:pt>
                <c:pt idx="63">
                  <c:v>45352</c:v>
                </c:pt>
                <c:pt idx="64">
                  <c:v>45383</c:v>
                </c:pt>
                <c:pt idx="65">
                  <c:v>45413</c:v>
                </c:pt>
                <c:pt idx="66">
                  <c:v>45444</c:v>
                </c:pt>
                <c:pt idx="67">
                  <c:v>45474</c:v>
                </c:pt>
                <c:pt idx="68">
                  <c:v>45505</c:v>
                </c:pt>
                <c:pt idx="69">
                  <c:v>45536</c:v>
                </c:pt>
                <c:pt idx="70">
                  <c:v>45566</c:v>
                </c:pt>
                <c:pt idx="71">
                  <c:v>45597</c:v>
                </c:pt>
                <c:pt idx="72">
                  <c:v>45627</c:v>
                </c:pt>
                <c:pt idx="73">
                  <c:v>45658</c:v>
                </c:pt>
                <c:pt idx="74">
                  <c:v>45689</c:v>
                </c:pt>
                <c:pt idx="75">
                  <c:v>45717</c:v>
                </c:pt>
                <c:pt idx="76">
                  <c:v>45748</c:v>
                </c:pt>
                <c:pt idx="77">
                  <c:v>45778</c:v>
                </c:pt>
                <c:pt idx="78">
                  <c:v>45809</c:v>
                </c:pt>
                <c:pt idx="79">
                  <c:v>45839</c:v>
                </c:pt>
                <c:pt idx="80">
                  <c:v>45870</c:v>
                </c:pt>
                <c:pt idx="81">
                  <c:v>45901</c:v>
                </c:pt>
                <c:pt idx="82">
                  <c:v>45931</c:v>
                </c:pt>
                <c:pt idx="83">
                  <c:v>45962</c:v>
                </c:pt>
                <c:pt idx="84">
                  <c:v>45992</c:v>
                </c:pt>
                <c:pt idx="85">
                  <c:v>46023</c:v>
                </c:pt>
                <c:pt idx="86">
                  <c:v>46054</c:v>
                </c:pt>
                <c:pt idx="87">
                  <c:v>46082</c:v>
                </c:pt>
                <c:pt idx="88">
                  <c:v>46113</c:v>
                </c:pt>
                <c:pt idx="89">
                  <c:v>46143</c:v>
                </c:pt>
                <c:pt idx="90">
                  <c:v>46174</c:v>
                </c:pt>
                <c:pt idx="91">
                  <c:v>46204</c:v>
                </c:pt>
                <c:pt idx="92">
                  <c:v>46235</c:v>
                </c:pt>
                <c:pt idx="93">
                  <c:v>46266</c:v>
                </c:pt>
                <c:pt idx="94">
                  <c:v>46296</c:v>
                </c:pt>
                <c:pt idx="95">
                  <c:v>46327</c:v>
                </c:pt>
                <c:pt idx="96">
                  <c:v>46357</c:v>
                </c:pt>
                <c:pt idx="97">
                  <c:v>46388</c:v>
                </c:pt>
                <c:pt idx="98">
                  <c:v>46419</c:v>
                </c:pt>
                <c:pt idx="99">
                  <c:v>46447</c:v>
                </c:pt>
                <c:pt idx="100">
                  <c:v>46478</c:v>
                </c:pt>
                <c:pt idx="101">
                  <c:v>46508</c:v>
                </c:pt>
                <c:pt idx="102">
                  <c:v>46539</c:v>
                </c:pt>
                <c:pt idx="103">
                  <c:v>46569</c:v>
                </c:pt>
                <c:pt idx="104">
                  <c:v>46600</c:v>
                </c:pt>
                <c:pt idx="105">
                  <c:v>46631</c:v>
                </c:pt>
                <c:pt idx="106">
                  <c:v>46661</c:v>
                </c:pt>
                <c:pt idx="107">
                  <c:v>46692</c:v>
                </c:pt>
                <c:pt idx="108">
                  <c:v>46722</c:v>
                </c:pt>
                <c:pt idx="109">
                  <c:v>46753</c:v>
                </c:pt>
                <c:pt idx="110">
                  <c:v>46784</c:v>
                </c:pt>
                <c:pt idx="111">
                  <c:v>46813</c:v>
                </c:pt>
                <c:pt idx="112">
                  <c:v>46844</c:v>
                </c:pt>
                <c:pt idx="113">
                  <c:v>46874</c:v>
                </c:pt>
                <c:pt idx="114">
                  <c:v>46905</c:v>
                </c:pt>
                <c:pt idx="115">
                  <c:v>46935</c:v>
                </c:pt>
                <c:pt idx="116">
                  <c:v>46966</c:v>
                </c:pt>
                <c:pt idx="117">
                  <c:v>46997</c:v>
                </c:pt>
                <c:pt idx="118">
                  <c:v>47027</c:v>
                </c:pt>
                <c:pt idx="119">
                  <c:v>47058</c:v>
                </c:pt>
                <c:pt idx="120">
                  <c:v>47088</c:v>
                </c:pt>
                <c:pt idx="121">
                  <c:v>47119</c:v>
                </c:pt>
                <c:pt idx="122">
                  <c:v>47150</c:v>
                </c:pt>
                <c:pt idx="123">
                  <c:v>47178</c:v>
                </c:pt>
                <c:pt idx="124">
                  <c:v>47209</c:v>
                </c:pt>
                <c:pt idx="125">
                  <c:v>47239</c:v>
                </c:pt>
                <c:pt idx="126">
                  <c:v>47270</c:v>
                </c:pt>
                <c:pt idx="127">
                  <c:v>47300</c:v>
                </c:pt>
                <c:pt idx="128">
                  <c:v>47331</c:v>
                </c:pt>
                <c:pt idx="129">
                  <c:v>47362</c:v>
                </c:pt>
                <c:pt idx="130">
                  <c:v>47392</c:v>
                </c:pt>
                <c:pt idx="131">
                  <c:v>47423</c:v>
                </c:pt>
                <c:pt idx="132">
                  <c:v>47453</c:v>
                </c:pt>
                <c:pt idx="133">
                  <c:v>47484</c:v>
                </c:pt>
                <c:pt idx="134">
                  <c:v>47515</c:v>
                </c:pt>
                <c:pt idx="135">
                  <c:v>47543</c:v>
                </c:pt>
                <c:pt idx="136">
                  <c:v>47574</c:v>
                </c:pt>
                <c:pt idx="137">
                  <c:v>47604</c:v>
                </c:pt>
                <c:pt idx="138">
                  <c:v>47635</c:v>
                </c:pt>
                <c:pt idx="139">
                  <c:v>47665</c:v>
                </c:pt>
                <c:pt idx="140">
                  <c:v>47696</c:v>
                </c:pt>
                <c:pt idx="141">
                  <c:v>47727</c:v>
                </c:pt>
                <c:pt idx="142">
                  <c:v>47757</c:v>
                </c:pt>
                <c:pt idx="143">
                  <c:v>47788</c:v>
                </c:pt>
                <c:pt idx="144">
                  <c:v>47818</c:v>
                </c:pt>
              </c:numCache>
            </c:numRef>
          </c:cat>
          <c:val>
            <c:numRef>
              <c:f>Overview!$C$3:$C$147</c:f>
              <c:numCache>
                <c:formatCode>_("$"* #,##0.00_);_("$"* \(#,##0.00\);_("$"* "-"??_);_(@_)</c:formatCode>
                <c:ptCount val="145"/>
                <c:pt idx="1">
                  <c:v>0</c:v>
                </c:pt>
                <c:pt idx="2">
                  <c:v>-35.700000000000003</c:v>
                </c:pt>
                <c:pt idx="3">
                  <c:v>0</c:v>
                </c:pt>
                <c:pt idx="4">
                  <c:v>0</c:v>
                </c:pt>
                <c:pt idx="5">
                  <c:v>1704.24</c:v>
                </c:pt>
                <c:pt idx="6">
                  <c:v>3533.96</c:v>
                </c:pt>
                <c:pt idx="7">
                  <c:v>3471.22</c:v>
                </c:pt>
                <c:pt idx="8">
                  <c:v>3471.22</c:v>
                </c:pt>
                <c:pt idx="9">
                  <c:v>3471.22</c:v>
                </c:pt>
                <c:pt idx="10">
                  <c:v>5206.83</c:v>
                </c:pt>
                <c:pt idx="11">
                  <c:v>4652.3900000000003</c:v>
                </c:pt>
                <c:pt idx="12">
                  <c:v>3420.24</c:v>
                </c:pt>
                <c:pt idx="13">
                  <c:v>3316.72</c:v>
                </c:pt>
                <c:pt idx="14">
                  <c:v>3471.22</c:v>
                </c:pt>
                <c:pt idx="15">
                  <c:v>3471.22</c:v>
                </c:pt>
                <c:pt idx="16">
                  <c:v>9539.2899999999991</c:v>
                </c:pt>
                <c:pt idx="17">
                  <c:v>3527.64</c:v>
                </c:pt>
                <c:pt idx="18">
                  <c:v>3527.64</c:v>
                </c:pt>
                <c:pt idx="19">
                  <c:v>4087.5199999999995</c:v>
                </c:pt>
                <c:pt idx="20">
                  <c:v>5288.41</c:v>
                </c:pt>
                <c:pt idx="21">
                  <c:v>4184.96</c:v>
                </c:pt>
                <c:pt idx="22">
                  <c:v>4184.96</c:v>
                </c:pt>
                <c:pt idx="23">
                  <c:v>4184.96</c:v>
                </c:pt>
                <c:pt idx="24">
                  <c:v>4184.96</c:v>
                </c:pt>
                <c:pt idx="25">
                  <c:v>4191.7699999999995</c:v>
                </c:pt>
                <c:pt idx="26">
                  <c:v>4191.7699999999995</c:v>
                </c:pt>
                <c:pt idx="27">
                  <c:v>4191.7699999999995</c:v>
                </c:pt>
                <c:pt idx="28">
                  <c:v>4708.01</c:v>
                </c:pt>
                <c:pt idx="29">
                  <c:v>4191.7699999999995</c:v>
                </c:pt>
                <c:pt idx="30">
                  <c:v>4261.32</c:v>
                </c:pt>
                <c:pt idx="31">
                  <c:v>4366.29</c:v>
                </c:pt>
                <c:pt idx="32">
                  <c:v>4366.29</c:v>
                </c:pt>
                <c:pt idx="33">
                  <c:v>4367.21</c:v>
                </c:pt>
                <c:pt idx="34">
                  <c:v>4477.26</c:v>
                </c:pt>
                <c:pt idx="35">
                  <c:v>4685.58</c:v>
                </c:pt>
                <c:pt idx="36">
                  <c:v>4743.5499999999993</c:v>
                </c:pt>
                <c:pt idx="37">
                  <c:v>7357.02</c:v>
                </c:pt>
                <c:pt idx="38">
                  <c:v>4576.25</c:v>
                </c:pt>
                <c:pt idx="39">
                  <c:v>3803.31</c:v>
                </c:pt>
                <c:pt idx="40">
                  <c:v>3972.2299999999996</c:v>
                </c:pt>
                <c:pt idx="41">
                  <c:v>3977.4399999999996</c:v>
                </c:pt>
                <c:pt idx="42">
                  <c:v>5973.98</c:v>
                </c:pt>
                <c:pt idx="43">
                  <c:v>4029.0699999999997</c:v>
                </c:pt>
                <c:pt idx="44">
                  <c:v>3982.6499999999996</c:v>
                </c:pt>
                <c:pt idx="45">
                  <c:v>3993.33</c:v>
                </c:pt>
                <c:pt idx="46">
                  <c:v>3993.3</c:v>
                </c:pt>
                <c:pt idx="47">
                  <c:v>4069.1800000000003</c:v>
                </c:pt>
                <c:pt idx="48">
                  <c:v>6544.26</c:v>
                </c:pt>
                <c:pt idx="49">
                  <c:v>4296.93</c:v>
                </c:pt>
                <c:pt idx="50">
                  <c:v>4296.95</c:v>
                </c:pt>
                <c:pt idx="51">
                  <c:v>3972.52</c:v>
                </c:pt>
                <c:pt idx="52">
                  <c:v>4039.21</c:v>
                </c:pt>
                <c:pt idx="53">
                  <c:v>3932.85</c:v>
                </c:pt>
                <c:pt idx="54">
                  <c:v>6075.07</c:v>
                </c:pt>
                <c:pt idx="55">
                  <c:v>4053.63</c:v>
                </c:pt>
                <c:pt idx="56">
                  <c:v>4285.9799999999996</c:v>
                </c:pt>
                <c:pt idx="57">
                  <c:v>4225.3</c:v>
                </c:pt>
                <c:pt idx="58">
                  <c:v>4545.34</c:v>
                </c:pt>
                <c:pt idx="59">
                  <c:v>4612.9399999999996</c:v>
                </c:pt>
                <c:pt idx="60">
                  <c:v>7254.72</c:v>
                </c:pt>
                <c:pt idx="61">
                  <c:v>4324.51</c:v>
                </c:pt>
                <c:pt idx="62">
                  <c:v>4340.84</c:v>
                </c:pt>
                <c:pt idx="63">
                  <c:v>4698.8499999999995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Overview!$D$2</c:f>
              <c:strCache>
                <c:ptCount val="1"/>
                <c:pt idx="0">
                  <c:v>Food</c:v>
                </c:pt>
              </c:strCache>
            </c:strRef>
          </c:tx>
          <c:marker>
            <c:symbol val="none"/>
          </c:marker>
          <c:cat>
            <c:numRef>
              <c:f>Overview!$A$3:$A$147</c:f>
              <c:numCache>
                <c:formatCode>m/d/yyyy</c:formatCode>
                <c:ptCount val="145"/>
                <c:pt idx="1">
                  <c:v>43466</c:v>
                </c:pt>
                <c:pt idx="2">
                  <c:v>43497</c:v>
                </c:pt>
                <c:pt idx="3">
                  <c:v>43525</c:v>
                </c:pt>
                <c:pt idx="4">
                  <c:v>43556</c:v>
                </c:pt>
                <c:pt idx="5">
                  <c:v>43586</c:v>
                </c:pt>
                <c:pt idx="6">
                  <c:v>43617</c:v>
                </c:pt>
                <c:pt idx="7">
                  <c:v>43647</c:v>
                </c:pt>
                <c:pt idx="8">
                  <c:v>43678</c:v>
                </c:pt>
                <c:pt idx="9">
                  <c:v>43709</c:v>
                </c:pt>
                <c:pt idx="10">
                  <c:v>43739</c:v>
                </c:pt>
                <c:pt idx="11">
                  <c:v>43770</c:v>
                </c:pt>
                <c:pt idx="12">
                  <c:v>43800</c:v>
                </c:pt>
                <c:pt idx="13">
                  <c:v>43831</c:v>
                </c:pt>
                <c:pt idx="14">
                  <c:v>43862</c:v>
                </c:pt>
                <c:pt idx="15">
                  <c:v>43891</c:v>
                </c:pt>
                <c:pt idx="16">
                  <c:v>43922</c:v>
                </c:pt>
                <c:pt idx="17">
                  <c:v>43952</c:v>
                </c:pt>
                <c:pt idx="18">
                  <c:v>43983</c:v>
                </c:pt>
                <c:pt idx="19">
                  <c:v>44013</c:v>
                </c:pt>
                <c:pt idx="20">
                  <c:v>44044</c:v>
                </c:pt>
                <c:pt idx="21">
                  <c:v>44075</c:v>
                </c:pt>
                <c:pt idx="22">
                  <c:v>44105</c:v>
                </c:pt>
                <c:pt idx="23">
                  <c:v>44136</c:v>
                </c:pt>
                <c:pt idx="24">
                  <c:v>44166</c:v>
                </c:pt>
                <c:pt idx="25">
                  <c:v>44197</c:v>
                </c:pt>
                <c:pt idx="26">
                  <c:v>44228</c:v>
                </c:pt>
                <c:pt idx="27">
                  <c:v>44256</c:v>
                </c:pt>
                <c:pt idx="28">
                  <c:v>44287</c:v>
                </c:pt>
                <c:pt idx="29">
                  <c:v>44317</c:v>
                </c:pt>
                <c:pt idx="30">
                  <c:v>44348</c:v>
                </c:pt>
                <c:pt idx="31">
                  <c:v>44378</c:v>
                </c:pt>
                <c:pt idx="32">
                  <c:v>44409</c:v>
                </c:pt>
                <c:pt idx="33">
                  <c:v>44440</c:v>
                </c:pt>
                <c:pt idx="34">
                  <c:v>44470</c:v>
                </c:pt>
                <c:pt idx="35">
                  <c:v>44501</c:v>
                </c:pt>
                <c:pt idx="36">
                  <c:v>44531</c:v>
                </c:pt>
                <c:pt idx="37">
                  <c:v>44562</c:v>
                </c:pt>
                <c:pt idx="38">
                  <c:v>44593</c:v>
                </c:pt>
                <c:pt idx="39">
                  <c:v>44621</c:v>
                </c:pt>
                <c:pt idx="40">
                  <c:v>44652</c:v>
                </c:pt>
                <c:pt idx="41">
                  <c:v>44682</c:v>
                </c:pt>
                <c:pt idx="42">
                  <c:v>44713</c:v>
                </c:pt>
                <c:pt idx="43">
                  <c:v>44743</c:v>
                </c:pt>
                <c:pt idx="44">
                  <c:v>44774</c:v>
                </c:pt>
                <c:pt idx="45">
                  <c:v>44805</c:v>
                </c:pt>
                <c:pt idx="46">
                  <c:v>44835</c:v>
                </c:pt>
                <c:pt idx="47">
                  <c:v>44866</c:v>
                </c:pt>
                <c:pt idx="48">
                  <c:v>44896</c:v>
                </c:pt>
                <c:pt idx="49">
                  <c:v>44927</c:v>
                </c:pt>
                <c:pt idx="50">
                  <c:v>44958</c:v>
                </c:pt>
                <c:pt idx="51">
                  <c:v>44986</c:v>
                </c:pt>
                <c:pt idx="52">
                  <c:v>45017</c:v>
                </c:pt>
                <c:pt idx="53">
                  <c:v>45047</c:v>
                </c:pt>
                <c:pt idx="54">
                  <c:v>45078</c:v>
                </c:pt>
                <c:pt idx="55">
                  <c:v>45108</c:v>
                </c:pt>
                <c:pt idx="56">
                  <c:v>45139</c:v>
                </c:pt>
                <c:pt idx="57">
                  <c:v>45170</c:v>
                </c:pt>
                <c:pt idx="58">
                  <c:v>45200</c:v>
                </c:pt>
                <c:pt idx="59">
                  <c:v>45231</c:v>
                </c:pt>
                <c:pt idx="60">
                  <c:v>45261</c:v>
                </c:pt>
                <c:pt idx="61">
                  <c:v>45292</c:v>
                </c:pt>
                <c:pt idx="62">
                  <c:v>45323</c:v>
                </c:pt>
                <c:pt idx="63">
                  <c:v>45352</c:v>
                </c:pt>
                <c:pt idx="64">
                  <c:v>45383</c:v>
                </c:pt>
                <c:pt idx="65">
                  <c:v>45413</c:v>
                </c:pt>
                <c:pt idx="66">
                  <c:v>45444</c:v>
                </c:pt>
                <c:pt idx="67">
                  <c:v>45474</c:v>
                </c:pt>
                <c:pt idx="68">
                  <c:v>45505</c:v>
                </c:pt>
                <c:pt idx="69">
                  <c:v>45536</c:v>
                </c:pt>
                <c:pt idx="70">
                  <c:v>45566</c:v>
                </c:pt>
                <c:pt idx="71">
                  <c:v>45597</c:v>
                </c:pt>
                <c:pt idx="72">
                  <c:v>45627</c:v>
                </c:pt>
                <c:pt idx="73">
                  <c:v>45658</c:v>
                </c:pt>
                <c:pt idx="74">
                  <c:v>45689</c:v>
                </c:pt>
                <c:pt idx="75">
                  <c:v>45717</c:v>
                </c:pt>
                <c:pt idx="76">
                  <c:v>45748</c:v>
                </c:pt>
                <c:pt idx="77">
                  <c:v>45778</c:v>
                </c:pt>
                <c:pt idx="78">
                  <c:v>45809</c:v>
                </c:pt>
                <c:pt idx="79">
                  <c:v>45839</c:v>
                </c:pt>
                <c:pt idx="80">
                  <c:v>45870</c:v>
                </c:pt>
                <c:pt idx="81">
                  <c:v>45901</c:v>
                </c:pt>
                <c:pt idx="82">
                  <c:v>45931</c:v>
                </c:pt>
                <c:pt idx="83">
                  <c:v>45962</c:v>
                </c:pt>
                <c:pt idx="84">
                  <c:v>45992</c:v>
                </c:pt>
                <c:pt idx="85">
                  <c:v>46023</c:v>
                </c:pt>
                <c:pt idx="86">
                  <c:v>46054</c:v>
                </c:pt>
                <c:pt idx="87">
                  <c:v>46082</c:v>
                </c:pt>
                <c:pt idx="88">
                  <c:v>46113</c:v>
                </c:pt>
                <c:pt idx="89">
                  <c:v>46143</c:v>
                </c:pt>
                <c:pt idx="90">
                  <c:v>46174</c:v>
                </c:pt>
                <c:pt idx="91">
                  <c:v>46204</c:v>
                </c:pt>
                <c:pt idx="92">
                  <c:v>46235</c:v>
                </c:pt>
                <c:pt idx="93">
                  <c:v>46266</c:v>
                </c:pt>
                <c:pt idx="94">
                  <c:v>46296</c:v>
                </c:pt>
                <c:pt idx="95">
                  <c:v>46327</c:v>
                </c:pt>
                <c:pt idx="96">
                  <c:v>46357</c:v>
                </c:pt>
                <c:pt idx="97">
                  <c:v>46388</c:v>
                </c:pt>
                <c:pt idx="98">
                  <c:v>46419</c:v>
                </c:pt>
                <c:pt idx="99">
                  <c:v>46447</c:v>
                </c:pt>
                <c:pt idx="100">
                  <c:v>46478</c:v>
                </c:pt>
                <c:pt idx="101">
                  <c:v>46508</c:v>
                </c:pt>
                <c:pt idx="102">
                  <c:v>46539</c:v>
                </c:pt>
                <c:pt idx="103">
                  <c:v>46569</c:v>
                </c:pt>
                <c:pt idx="104">
                  <c:v>46600</c:v>
                </c:pt>
                <c:pt idx="105">
                  <c:v>46631</c:v>
                </c:pt>
                <c:pt idx="106">
                  <c:v>46661</c:v>
                </c:pt>
                <c:pt idx="107">
                  <c:v>46692</c:v>
                </c:pt>
                <c:pt idx="108">
                  <c:v>46722</c:v>
                </c:pt>
                <c:pt idx="109">
                  <c:v>46753</c:v>
                </c:pt>
                <c:pt idx="110">
                  <c:v>46784</c:v>
                </c:pt>
                <c:pt idx="111">
                  <c:v>46813</c:v>
                </c:pt>
                <c:pt idx="112">
                  <c:v>46844</c:v>
                </c:pt>
                <c:pt idx="113">
                  <c:v>46874</c:v>
                </c:pt>
                <c:pt idx="114">
                  <c:v>46905</c:v>
                </c:pt>
                <c:pt idx="115">
                  <c:v>46935</c:v>
                </c:pt>
                <c:pt idx="116">
                  <c:v>46966</c:v>
                </c:pt>
                <c:pt idx="117">
                  <c:v>46997</c:v>
                </c:pt>
                <c:pt idx="118">
                  <c:v>47027</c:v>
                </c:pt>
                <c:pt idx="119">
                  <c:v>47058</c:v>
                </c:pt>
                <c:pt idx="120">
                  <c:v>47088</c:v>
                </c:pt>
                <c:pt idx="121">
                  <c:v>47119</c:v>
                </c:pt>
                <c:pt idx="122">
                  <c:v>47150</c:v>
                </c:pt>
                <c:pt idx="123">
                  <c:v>47178</c:v>
                </c:pt>
                <c:pt idx="124">
                  <c:v>47209</c:v>
                </c:pt>
                <c:pt idx="125">
                  <c:v>47239</c:v>
                </c:pt>
                <c:pt idx="126">
                  <c:v>47270</c:v>
                </c:pt>
                <c:pt idx="127">
                  <c:v>47300</c:v>
                </c:pt>
                <c:pt idx="128">
                  <c:v>47331</c:v>
                </c:pt>
                <c:pt idx="129">
                  <c:v>47362</c:v>
                </c:pt>
                <c:pt idx="130">
                  <c:v>47392</c:v>
                </c:pt>
                <c:pt idx="131">
                  <c:v>47423</c:v>
                </c:pt>
                <c:pt idx="132">
                  <c:v>47453</c:v>
                </c:pt>
                <c:pt idx="133">
                  <c:v>47484</c:v>
                </c:pt>
                <c:pt idx="134">
                  <c:v>47515</c:v>
                </c:pt>
                <c:pt idx="135">
                  <c:v>47543</c:v>
                </c:pt>
                <c:pt idx="136">
                  <c:v>47574</c:v>
                </c:pt>
                <c:pt idx="137">
                  <c:v>47604</c:v>
                </c:pt>
                <c:pt idx="138">
                  <c:v>47635</c:v>
                </c:pt>
                <c:pt idx="139">
                  <c:v>47665</c:v>
                </c:pt>
                <c:pt idx="140">
                  <c:v>47696</c:v>
                </c:pt>
                <c:pt idx="141">
                  <c:v>47727</c:v>
                </c:pt>
                <c:pt idx="142">
                  <c:v>47757</c:v>
                </c:pt>
                <c:pt idx="143">
                  <c:v>47788</c:v>
                </c:pt>
                <c:pt idx="144">
                  <c:v>47818</c:v>
                </c:pt>
              </c:numCache>
            </c:numRef>
          </c:cat>
          <c:val>
            <c:numRef>
              <c:f>Overview!$D$3:$D$147</c:f>
              <c:numCache>
                <c:formatCode>_("$"* #,##0.00_);_("$"* \(#,##0.00\);_("$"* "-"??_);_(@_)</c:formatCode>
                <c:ptCount val="145"/>
                <c:pt idx="1">
                  <c:v>-123.97999999999999</c:v>
                </c:pt>
                <c:pt idx="2">
                  <c:v>-230.95999999999998</c:v>
                </c:pt>
                <c:pt idx="3">
                  <c:v>-281.78000000000003</c:v>
                </c:pt>
                <c:pt idx="4">
                  <c:v>-332.09</c:v>
                </c:pt>
                <c:pt idx="5">
                  <c:v>-386.34000000000003</c:v>
                </c:pt>
                <c:pt idx="6">
                  <c:v>-342.06</c:v>
                </c:pt>
                <c:pt idx="7">
                  <c:v>-594.07000000000005</c:v>
                </c:pt>
                <c:pt idx="8">
                  <c:v>-534.89000000000033</c:v>
                </c:pt>
                <c:pt idx="9">
                  <c:v>-456.72000000000008</c:v>
                </c:pt>
                <c:pt idx="10">
                  <c:v>-428.81999999999994</c:v>
                </c:pt>
                <c:pt idx="11">
                  <c:v>-409.80000000000013</c:v>
                </c:pt>
                <c:pt idx="12">
                  <c:v>-439.61</c:v>
                </c:pt>
                <c:pt idx="13">
                  <c:v>-392.15000000000009</c:v>
                </c:pt>
                <c:pt idx="14">
                  <c:v>-413.49</c:v>
                </c:pt>
                <c:pt idx="15">
                  <c:v>-374.51</c:v>
                </c:pt>
                <c:pt idx="16">
                  <c:v>-296.35000000000002</c:v>
                </c:pt>
                <c:pt idx="17">
                  <c:v>-671.73</c:v>
                </c:pt>
                <c:pt idx="18">
                  <c:v>-855.1099999999999</c:v>
                </c:pt>
                <c:pt idx="19">
                  <c:v>-1296.9500000000003</c:v>
                </c:pt>
                <c:pt idx="20">
                  <c:v>-1159.8500000000001</c:v>
                </c:pt>
                <c:pt idx="21">
                  <c:v>-398.75999999999993</c:v>
                </c:pt>
                <c:pt idx="22">
                  <c:v>-608.26</c:v>
                </c:pt>
                <c:pt idx="23">
                  <c:v>-399.38999999999993</c:v>
                </c:pt>
                <c:pt idx="24">
                  <c:v>-592.25999999999988</c:v>
                </c:pt>
                <c:pt idx="25">
                  <c:v>-983.58000000000015</c:v>
                </c:pt>
                <c:pt idx="26">
                  <c:v>-494.28000000000003</c:v>
                </c:pt>
                <c:pt idx="27">
                  <c:v>-559.31999999999982</c:v>
                </c:pt>
                <c:pt idx="28">
                  <c:v>-666.47000000000014</c:v>
                </c:pt>
                <c:pt idx="29">
                  <c:v>-1054.1099999999999</c:v>
                </c:pt>
                <c:pt idx="30">
                  <c:v>-833.3</c:v>
                </c:pt>
                <c:pt idx="31">
                  <c:v>-744.39999999999986</c:v>
                </c:pt>
                <c:pt idx="32">
                  <c:v>-1224.3999999999999</c:v>
                </c:pt>
                <c:pt idx="33">
                  <c:v>-1017.3900000000001</c:v>
                </c:pt>
                <c:pt idx="34">
                  <c:v>-819.47</c:v>
                </c:pt>
                <c:pt idx="35">
                  <c:v>-979.48000000000013</c:v>
                </c:pt>
                <c:pt idx="36">
                  <c:v>-1184.2899999999991</c:v>
                </c:pt>
                <c:pt idx="37">
                  <c:v>-1267.0099999999998</c:v>
                </c:pt>
                <c:pt idx="38">
                  <c:v>-1113.01</c:v>
                </c:pt>
                <c:pt idx="39">
                  <c:v>-704.78</c:v>
                </c:pt>
                <c:pt idx="40">
                  <c:v>-652.78</c:v>
                </c:pt>
                <c:pt idx="41">
                  <c:v>-796.75</c:v>
                </c:pt>
                <c:pt idx="42">
                  <c:v>-984.36</c:v>
                </c:pt>
                <c:pt idx="43">
                  <c:v>-1085.7899999999995</c:v>
                </c:pt>
                <c:pt idx="44">
                  <c:v>-979.52000000000032</c:v>
                </c:pt>
                <c:pt idx="45">
                  <c:v>-995.21999999999991</c:v>
                </c:pt>
                <c:pt idx="46">
                  <c:v>-944.42999999999984</c:v>
                </c:pt>
                <c:pt idx="47">
                  <c:v>-780.34</c:v>
                </c:pt>
                <c:pt idx="48">
                  <c:v>-682.61000000000024</c:v>
                </c:pt>
                <c:pt idx="49">
                  <c:v>-571.81999999999994</c:v>
                </c:pt>
                <c:pt idx="50">
                  <c:v>-1410.7199999999993</c:v>
                </c:pt>
                <c:pt idx="51">
                  <c:v>-1829.7000000000005</c:v>
                </c:pt>
                <c:pt idx="52">
                  <c:v>-1249.4799999999993</c:v>
                </c:pt>
                <c:pt idx="53">
                  <c:v>-1854.7299999999989</c:v>
                </c:pt>
                <c:pt idx="54">
                  <c:v>-1518.6</c:v>
                </c:pt>
                <c:pt idx="55">
                  <c:v>-1145.8400000000001</c:v>
                </c:pt>
                <c:pt idx="56">
                  <c:v>-1941.86</c:v>
                </c:pt>
                <c:pt idx="57">
                  <c:v>-1020.21</c:v>
                </c:pt>
                <c:pt idx="58">
                  <c:v>-1252.03</c:v>
                </c:pt>
                <c:pt idx="59">
                  <c:v>-1189.47</c:v>
                </c:pt>
                <c:pt idx="60">
                  <c:v>-1272.6600000000003</c:v>
                </c:pt>
                <c:pt idx="61">
                  <c:v>-822.77</c:v>
                </c:pt>
                <c:pt idx="62">
                  <c:v>-398.68999999999994</c:v>
                </c:pt>
                <c:pt idx="63">
                  <c:v>-1888.28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Overview!$E$2</c:f>
              <c:strCache>
                <c:ptCount val="1"/>
                <c:pt idx="0">
                  <c:v>Bills</c:v>
                </c:pt>
              </c:strCache>
            </c:strRef>
          </c:tx>
          <c:marker>
            <c:symbol val="none"/>
          </c:marker>
          <c:cat>
            <c:numRef>
              <c:f>Overview!$A$3:$A$147</c:f>
              <c:numCache>
                <c:formatCode>m/d/yyyy</c:formatCode>
                <c:ptCount val="145"/>
                <c:pt idx="1">
                  <c:v>43466</c:v>
                </c:pt>
                <c:pt idx="2">
                  <c:v>43497</c:v>
                </c:pt>
                <c:pt idx="3">
                  <c:v>43525</c:v>
                </c:pt>
                <c:pt idx="4">
                  <c:v>43556</c:v>
                </c:pt>
                <c:pt idx="5">
                  <c:v>43586</c:v>
                </c:pt>
                <c:pt idx="6">
                  <c:v>43617</c:v>
                </c:pt>
                <c:pt idx="7">
                  <c:v>43647</c:v>
                </c:pt>
                <c:pt idx="8">
                  <c:v>43678</c:v>
                </c:pt>
                <c:pt idx="9">
                  <c:v>43709</c:v>
                </c:pt>
                <c:pt idx="10">
                  <c:v>43739</c:v>
                </c:pt>
                <c:pt idx="11">
                  <c:v>43770</c:v>
                </c:pt>
                <c:pt idx="12">
                  <c:v>43800</c:v>
                </c:pt>
                <c:pt idx="13">
                  <c:v>43831</c:v>
                </c:pt>
                <c:pt idx="14">
                  <c:v>43862</c:v>
                </c:pt>
                <c:pt idx="15">
                  <c:v>43891</c:v>
                </c:pt>
                <c:pt idx="16">
                  <c:v>43922</c:v>
                </c:pt>
                <c:pt idx="17">
                  <c:v>43952</c:v>
                </c:pt>
                <c:pt idx="18">
                  <c:v>43983</c:v>
                </c:pt>
                <c:pt idx="19">
                  <c:v>44013</c:v>
                </c:pt>
                <c:pt idx="20">
                  <c:v>44044</c:v>
                </c:pt>
                <c:pt idx="21">
                  <c:v>44075</c:v>
                </c:pt>
                <c:pt idx="22">
                  <c:v>44105</c:v>
                </c:pt>
                <c:pt idx="23">
                  <c:v>44136</c:v>
                </c:pt>
                <c:pt idx="24">
                  <c:v>44166</c:v>
                </c:pt>
                <c:pt idx="25">
                  <c:v>44197</c:v>
                </c:pt>
                <c:pt idx="26">
                  <c:v>44228</c:v>
                </c:pt>
                <c:pt idx="27">
                  <c:v>44256</c:v>
                </c:pt>
                <c:pt idx="28">
                  <c:v>44287</c:v>
                </c:pt>
                <c:pt idx="29">
                  <c:v>44317</c:v>
                </c:pt>
                <c:pt idx="30">
                  <c:v>44348</c:v>
                </c:pt>
                <c:pt idx="31">
                  <c:v>44378</c:v>
                </c:pt>
                <c:pt idx="32">
                  <c:v>44409</c:v>
                </c:pt>
                <c:pt idx="33">
                  <c:v>44440</c:v>
                </c:pt>
                <c:pt idx="34">
                  <c:v>44470</c:v>
                </c:pt>
                <c:pt idx="35">
                  <c:v>44501</c:v>
                </c:pt>
                <c:pt idx="36">
                  <c:v>44531</c:v>
                </c:pt>
                <c:pt idx="37">
                  <c:v>44562</c:v>
                </c:pt>
                <c:pt idx="38">
                  <c:v>44593</c:v>
                </c:pt>
                <c:pt idx="39">
                  <c:v>44621</c:v>
                </c:pt>
                <c:pt idx="40">
                  <c:v>44652</c:v>
                </c:pt>
                <c:pt idx="41">
                  <c:v>44682</c:v>
                </c:pt>
                <c:pt idx="42">
                  <c:v>44713</c:v>
                </c:pt>
                <c:pt idx="43">
                  <c:v>44743</c:v>
                </c:pt>
                <c:pt idx="44">
                  <c:v>44774</c:v>
                </c:pt>
                <c:pt idx="45">
                  <c:v>44805</c:v>
                </c:pt>
                <c:pt idx="46">
                  <c:v>44835</c:v>
                </c:pt>
                <c:pt idx="47">
                  <c:v>44866</c:v>
                </c:pt>
                <c:pt idx="48">
                  <c:v>44896</c:v>
                </c:pt>
                <c:pt idx="49">
                  <c:v>44927</c:v>
                </c:pt>
                <c:pt idx="50">
                  <c:v>44958</c:v>
                </c:pt>
                <c:pt idx="51">
                  <c:v>44986</c:v>
                </c:pt>
                <c:pt idx="52">
                  <c:v>45017</c:v>
                </c:pt>
                <c:pt idx="53">
                  <c:v>45047</c:v>
                </c:pt>
                <c:pt idx="54">
                  <c:v>45078</c:v>
                </c:pt>
                <c:pt idx="55">
                  <c:v>45108</c:v>
                </c:pt>
                <c:pt idx="56">
                  <c:v>45139</c:v>
                </c:pt>
                <c:pt idx="57">
                  <c:v>45170</c:v>
                </c:pt>
                <c:pt idx="58">
                  <c:v>45200</c:v>
                </c:pt>
                <c:pt idx="59">
                  <c:v>45231</c:v>
                </c:pt>
                <c:pt idx="60">
                  <c:v>45261</c:v>
                </c:pt>
                <c:pt idx="61">
                  <c:v>45292</c:v>
                </c:pt>
                <c:pt idx="62">
                  <c:v>45323</c:v>
                </c:pt>
                <c:pt idx="63">
                  <c:v>45352</c:v>
                </c:pt>
                <c:pt idx="64">
                  <c:v>45383</c:v>
                </c:pt>
                <c:pt idx="65">
                  <c:v>45413</c:v>
                </c:pt>
                <c:pt idx="66">
                  <c:v>45444</c:v>
                </c:pt>
                <c:pt idx="67">
                  <c:v>45474</c:v>
                </c:pt>
                <c:pt idx="68">
                  <c:v>45505</c:v>
                </c:pt>
                <c:pt idx="69">
                  <c:v>45536</c:v>
                </c:pt>
                <c:pt idx="70">
                  <c:v>45566</c:v>
                </c:pt>
                <c:pt idx="71">
                  <c:v>45597</c:v>
                </c:pt>
                <c:pt idx="72">
                  <c:v>45627</c:v>
                </c:pt>
                <c:pt idx="73">
                  <c:v>45658</c:v>
                </c:pt>
                <c:pt idx="74">
                  <c:v>45689</c:v>
                </c:pt>
                <c:pt idx="75">
                  <c:v>45717</c:v>
                </c:pt>
                <c:pt idx="76">
                  <c:v>45748</c:v>
                </c:pt>
                <c:pt idx="77">
                  <c:v>45778</c:v>
                </c:pt>
                <c:pt idx="78">
                  <c:v>45809</c:v>
                </c:pt>
                <c:pt idx="79">
                  <c:v>45839</c:v>
                </c:pt>
                <c:pt idx="80">
                  <c:v>45870</c:v>
                </c:pt>
                <c:pt idx="81">
                  <c:v>45901</c:v>
                </c:pt>
                <c:pt idx="82">
                  <c:v>45931</c:v>
                </c:pt>
                <c:pt idx="83">
                  <c:v>45962</c:v>
                </c:pt>
                <c:pt idx="84">
                  <c:v>45992</c:v>
                </c:pt>
                <c:pt idx="85">
                  <c:v>46023</c:v>
                </c:pt>
                <c:pt idx="86">
                  <c:v>46054</c:v>
                </c:pt>
                <c:pt idx="87">
                  <c:v>46082</c:v>
                </c:pt>
                <c:pt idx="88">
                  <c:v>46113</c:v>
                </c:pt>
                <c:pt idx="89">
                  <c:v>46143</c:v>
                </c:pt>
                <c:pt idx="90">
                  <c:v>46174</c:v>
                </c:pt>
                <c:pt idx="91">
                  <c:v>46204</c:v>
                </c:pt>
                <c:pt idx="92">
                  <c:v>46235</c:v>
                </c:pt>
                <c:pt idx="93">
                  <c:v>46266</c:v>
                </c:pt>
                <c:pt idx="94">
                  <c:v>46296</c:v>
                </c:pt>
                <c:pt idx="95">
                  <c:v>46327</c:v>
                </c:pt>
                <c:pt idx="96">
                  <c:v>46357</c:v>
                </c:pt>
                <c:pt idx="97">
                  <c:v>46388</c:v>
                </c:pt>
                <c:pt idx="98">
                  <c:v>46419</c:v>
                </c:pt>
                <c:pt idx="99">
                  <c:v>46447</c:v>
                </c:pt>
                <c:pt idx="100">
                  <c:v>46478</c:v>
                </c:pt>
                <c:pt idx="101">
                  <c:v>46508</c:v>
                </c:pt>
                <c:pt idx="102">
                  <c:v>46539</c:v>
                </c:pt>
                <c:pt idx="103">
                  <c:v>46569</c:v>
                </c:pt>
                <c:pt idx="104">
                  <c:v>46600</c:v>
                </c:pt>
                <c:pt idx="105">
                  <c:v>46631</c:v>
                </c:pt>
                <c:pt idx="106">
                  <c:v>46661</c:v>
                </c:pt>
                <c:pt idx="107">
                  <c:v>46692</c:v>
                </c:pt>
                <c:pt idx="108">
                  <c:v>46722</c:v>
                </c:pt>
                <c:pt idx="109">
                  <c:v>46753</c:v>
                </c:pt>
                <c:pt idx="110">
                  <c:v>46784</c:v>
                </c:pt>
                <c:pt idx="111">
                  <c:v>46813</c:v>
                </c:pt>
                <c:pt idx="112">
                  <c:v>46844</c:v>
                </c:pt>
                <c:pt idx="113">
                  <c:v>46874</c:v>
                </c:pt>
                <c:pt idx="114">
                  <c:v>46905</c:v>
                </c:pt>
                <c:pt idx="115">
                  <c:v>46935</c:v>
                </c:pt>
                <c:pt idx="116">
                  <c:v>46966</c:v>
                </c:pt>
                <c:pt idx="117">
                  <c:v>46997</c:v>
                </c:pt>
                <c:pt idx="118">
                  <c:v>47027</c:v>
                </c:pt>
                <c:pt idx="119">
                  <c:v>47058</c:v>
                </c:pt>
                <c:pt idx="120">
                  <c:v>47088</c:v>
                </c:pt>
                <c:pt idx="121">
                  <c:v>47119</c:v>
                </c:pt>
                <c:pt idx="122">
                  <c:v>47150</c:v>
                </c:pt>
                <c:pt idx="123">
                  <c:v>47178</c:v>
                </c:pt>
                <c:pt idx="124">
                  <c:v>47209</c:v>
                </c:pt>
                <c:pt idx="125">
                  <c:v>47239</c:v>
                </c:pt>
                <c:pt idx="126">
                  <c:v>47270</c:v>
                </c:pt>
                <c:pt idx="127">
                  <c:v>47300</c:v>
                </c:pt>
                <c:pt idx="128">
                  <c:v>47331</c:v>
                </c:pt>
                <c:pt idx="129">
                  <c:v>47362</c:v>
                </c:pt>
                <c:pt idx="130">
                  <c:v>47392</c:v>
                </c:pt>
                <c:pt idx="131">
                  <c:v>47423</c:v>
                </c:pt>
                <c:pt idx="132">
                  <c:v>47453</c:v>
                </c:pt>
                <c:pt idx="133">
                  <c:v>47484</c:v>
                </c:pt>
                <c:pt idx="134">
                  <c:v>47515</c:v>
                </c:pt>
                <c:pt idx="135">
                  <c:v>47543</c:v>
                </c:pt>
                <c:pt idx="136">
                  <c:v>47574</c:v>
                </c:pt>
                <c:pt idx="137">
                  <c:v>47604</c:v>
                </c:pt>
                <c:pt idx="138">
                  <c:v>47635</c:v>
                </c:pt>
                <c:pt idx="139">
                  <c:v>47665</c:v>
                </c:pt>
                <c:pt idx="140">
                  <c:v>47696</c:v>
                </c:pt>
                <c:pt idx="141">
                  <c:v>47727</c:v>
                </c:pt>
                <c:pt idx="142">
                  <c:v>47757</c:v>
                </c:pt>
                <c:pt idx="143">
                  <c:v>47788</c:v>
                </c:pt>
                <c:pt idx="144">
                  <c:v>47818</c:v>
                </c:pt>
              </c:numCache>
            </c:numRef>
          </c:cat>
          <c:val>
            <c:numRef>
              <c:f>Overview!$E$3:$E$147</c:f>
              <c:numCache>
                <c:formatCode>_("$"* #,##0.00_);_("$"* \(#,##0.00\);_("$"* "-"??_);_(@_)</c:formatCode>
                <c:ptCount val="14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-1.5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-121.6</c:v>
                </c:pt>
                <c:pt idx="11">
                  <c:v>0</c:v>
                </c:pt>
                <c:pt idx="12">
                  <c:v>405.5</c:v>
                </c:pt>
                <c:pt idx="13">
                  <c:v>-105</c:v>
                </c:pt>
                <c:pt idx="14">
                  <c:v>-105</c:v>
                </c:pt>
                <c:pt idx="15">
                  <c:v>-2.4700000000000002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-105</c:v>
                </c:pt>
                <c:pt idx="20">
                  <c:v>0</c:v>
                </c:pt>
                <c:pt idx="21">
                  <c:v>0</c:v>
                </c:pt>
                <c:pt idx="22">
                  <c:v>-30</c:v>
                </c:pt>
                <c:pt idx="23">
                  <c:v>0</c:v>
                </c:pt>
                <c:pt idx="24">
                  <c:v>-223.22</c:v>
                </c:pt>
                <c:pt idx="25">
                  <c:v>-20</c:v>
                </c:pt>
                <c:pt idx="26">
                  <c:v>-32</c:v>
                </c:pt>
                <c:pt idx="27">
                  <c:v>0</c:v>
                </c:pt>
                <c:pt idx="28">
                  <c:v>-336.24</c:v>
                </c:pt>
                <c:pt idx="29">
                  <c:v>3660.72</c:v>
                </c:pt>
                <c:pt idx="30">
                  <c:v>-195</c:v>
                </c:pt>
                <c:pt idx="31">
                  <c:v>117.3</c:v>
                </c:pt>
                <c:pt idx="32">
                  <c:v>266.19</c:v>
                </c:pt>
                <c:pt idx="33">
                  <c:v>-14.06</c:v>
                </c:pt>
                <c:pt idx="34">
                  <c:v>-21.610000000000014</c:v>
                </c:pt>
                <c:pt idx="35">
                  <c:v>-211.82</c:v>
                </c:pt>
                <c:pt idx="36">
                  <c:v>-13.87</c:v>
                </c:pt>
                <c:pt idx="37">
                  <c:v>-14.19</c:v>
                </c:pt>
                <c:pt idx="38">
                  <c:v>148.34</c:v>
                </c:pt>
                <c:pt idx="39">
                  <c:v>-2079.8000000000002</c:v>
                </c:pt>
                <c:pt idx="40">
                  <c:v>-100</c:v>
                </c:pt>
                <c:pt idx="41">
                  <c:v>0</c:v>
                </c:pt>
                <c:pt idx="42">
                  <c:v>44.5</c:v>
                </c:pt>
                <c:pt idx="43">
                  <c:v>0</c:v>
                </c:pt>
                <c:pt idx="44">
                  <c:v>18.920000000000002</c:v>
                </c:pt>
                <c:pt idx="45">
                  <c:v>-25</c:v>
                </c:pt>
                <c:pt idx="46">
                  <c:v>-95</c:v>
                </c:pt>
                <c:pt idx="47">
                  <c:v>-204</c:v>
                </c:pt>
                <c:pt idx="48">
                  <c:v>-130</c:v>
                </c:pt>
                <c:pt idx="49">
                  <c:v>48.45</c:v>
                </c:pt>
                <c:pt idx="50">
                  <c:v>-35.5</c:v>
                </c:pt>
                <c:pt idx="51">
                  <c:v>10.260000000000005</c:v>
                </c:pt>
                <c:pt idx="52">
                  <c:v>0</c:v>
                </c:pt>
                <c:pt idx="53">
                  <c:v>-135</c:v>
                </c:pt>
                <c:pt idx="54">
                  <c:v>-992.87</c:v>
                </c:pt>
                <c:pt idx="55">
                  <c:v>500</c:v>
                </c:pt>
                <c:pt idx="56">
                  <c:v>-178</c:v>
                </c:pt>
                <c:pt idx="57">
                  <c:v>0</c:v>
                </c:pt>
                <c:pt idx="58">
                  <c:v>-378.73</c:v>
                </c:pt>
                <c:pt idx="59">
                  <c:v>0</c:v>
                </c:pt>
                <c:pt idx="60">
                  <c:v>0</c:v>
                </c:pt>
                <c:pt idx="61">
                  <c:v>-37.72</c:v>
                </c:pt>
                <c:pt idx="62">
                  <c:v>0</c:v>
                </c:pt>
                <c:pt idx="63">
                  <c:v>-33.380000000000003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Overview!$F$2</c:f>
              <c:strCache>
                <c:ptCount val="1"/>
                <c:pt idx="0">
                  <c:v>Entertainment</c:v>
                </c:pt>
              </c:strCache>
            </c:strRef>
          </c:tx>
          <c:marker>
            <c:symbol val="none"/>
          </c:marker>
          <c:cat>
            <c:numRef>
              <c:f>Overview!$A$3:$A$147</c:f>
              <c:numCache>
                <c:formatCode>m/d/yyyy</c:formatCode>
                <c:ptCount val="145"/>
                <c:pt idx="1">
                  <c:v>43466</c:v>
                </c:pt>
                <c:pt idx="2">
                  <c:v>43497</c:v>
                </c:pt>
                <c:pt idx="3">
                  <c:v>43525</c:v>
                </c:pt>
                <c:pt idx="4">
                  <c:v>43556</c:v>
                </c:pt>
                <c:pt idx="5">
                  <c:v>43586</c:v>
                </c:pt>
                <c:pt idx="6">
                  <c:v>43617</c:v>
                </c:pt>
                <c:pt idx="7">
                  <c:v>43647</c:v>
                </c:pt>
                <c:pt idx="8">
                  <c:v>43678</c:v>
                </c:pt>
                <c:pt idx="9">
                  <c:v>43709</c:v>
                </c:pt>
                <c:pt idx="10">
                  <c:v>43739</c:v>
                </c:pt>
                <c:pt idx="11">
                  <c:v>43770</c:v>
                </c:pt>
                <c:pt idx="12">
                  <c:v>43800</c:v>
                </c:pt>
                <c:pt idx="13">
                  <c:v>43831</c:v>
                </c:pt>
                <c:pt idx="14">
                  <c:v>43862</c:v>
                </c:pt>
                <c:pt idx="15">
                  <c:v>43891</c:v>
                </c:pt>
                <c:pt idx="16">
                  <c:v>43922</c:v>
                </c:pt>
                <c:pt idx="17">
                  <c:v>43952</c:v>
                </c:pt>
                <c:pt idx="18">
                  <c:v>43983</c:v>
                </c:pt>
                <c:pt idx="19">
                  <c:v>44013</c:v>
                </c:pt>
                <c:pt idx="20">
                  <c:v>44044</c:v>
                </c:pt>
                <c:pt idx="21">
                  <c:v>44075</c:v>
                </c:pt>
                <c:pt idx="22">
                  <c:v>44105</c:v>
                </c:pt>
                <c:pt idx="23">
                  <c:v>44136</c:v>
                </c:pt>
                <c:pt idx="24">
                  <c:v>44166</c:v>
                </c:pt>
                <c:pt idx="25">
                  <c:v>44197</c:v>
                </c:pt>
                <c:pt idx="26">
                  <c:v>44228</c:v>
                </c:pt>
                <c:pt idx="27">
                  <c:v>44256</c:v>
                </c:pt>
                <c:pt idx="28">
                  <c:v>44287</c:v>
                </c:pt>
                <c:pt idx="29">
                  <c:v>44317</c:v>
                </c:pt>
                <c:pt idx="30">
                  <c:v>44348</c:v>
                </c:pt>
                <c:pt idx="31">
                  <c:v>44378</c:v>
                </c:pt>
                <c:pt idx="32">
                  <c:v>44409</c:v>
                </c:pt>
                <c:pt idx="33">
                  <c:v>44440</c:v>
                </c:pt>
                <c:pt idx="34">
                  <c:v>44470</c:v>
                </c:pt>
                <c:pt idx="35">
                  <c:v>44501</c:v>
                </c:pt>
                <c:pt idx="36">
                  <c:v>44531</c:v>
                </c:pt>
                <c:pt idx="37">
                  <c:v>44562</c:v>
                </c:pt>
                <c:pt idx="38">
                  <c:v>44593</c:v>
                </c:pt>
                <c:pt idx="39">
                  <c:v>44621</c:v>
                </c:pt>
                <c:pt idx="40">
                  <c:v>44652</c:v>
                </c:pt>
                <c:pt idx="41">
                  <c:v>44682</c:v>
                </c:pt>
                <c:pt idx="42">
                  <c:v>44713</c:v>
                </c:pt>
                <c:pt idx="43">
                  <c:v>44743</c:v>
                </c:pt>
                <c:pt idx="44">
                  <c:v>44774</c:v>
                </c:pt>
                <c:pt idx="45">
                  <c:v>44805</c:v>
                </c:pt>
                <c:pt idx="46">
                  <c:v>44835</c:v>
                </c:pt>
                <c:pt idx="47">
                  <c:v>44866</c:v>
                </c:pt>
                <c:pt idx="48">
                  <c:v>44896</c:v>
                </c:pt>
                <c:pt idx="49">
                  <c:v>44927</c:v>
                </c:pt>
                <c:pt idx="50">
                  <c:v>44958</c:v>
                </c:pt>
                <c:pt idx="51">
                  <c:v>44986</c:v>
                </c:pt>
                <c:pt idx="52">
                  <c:v>45017</c:v>
                </c:pt>
                <c:pt idx="53">
                  <c:v>45047</c:v>
                </c:pt>
                <c:pt idx="54">
                  <c:v>45078</c:v>
                </c:pt>
                <c:pt idx="55">
                  <c:v>45108</c:v>
                </c:pt>
                <c:pt idx="56">
                  <c:v>45139</c:v>
                </c:pt>
                <c:pt idx="57">
                  <c:v>45170</c:v>
                </c:pt>
                <c:pt idx="58">
                  <c:v>45200</c:v>
                </c:pt>
                <c:pt idx="59">
                  <c:v>45231</c:v>
                </c:pt>
                <c:pt idx="60">
                  <c:v>45261</c:v>
                </c:pt>
                <c:pt idx="61">
                  <c:v>45292</c:v>
                </c:pt>
                <c:pt idx="62">
                  <c:v>45323</c:v>
                </c:pt>
                <c:pt idx="63">
                  <c:v>45352</c:v>
                </c:pt>
                <c:pt idx="64">
                  <c:v>45383</c:v>
                </c:pt>
                <c:pt idx="65">
                  <c:v>45413</c:v>
                </c:pt>
                <c:pt idx="66">
                  <c:v>45444</c:v>
                </c:pt>
                <c:pt idx="67">
                  <c:v>45474</c:v>
                </c:pt>
                <c:pt idx="68">
                  <c:v>45505</c:v>
                </c:pt>
                <c:pt idx="69">
                  <c:v>45536</c:v>
                </c:pt>
                <c:pt idx="70">
                  <c:v>45566</c:v>
                </c:pt>
                <c:pt idx="71">
                  <c:v>45597</c:v>
                </c:pt>
                <c:pt idx="72">
                  <c:v>45627</c:v>
                </c:pt>
                <c:pt idx="73">
                  <c:v>45658</c:v>
                </c:pt>
                <c:pt idx="74">
                  <c:v>45689</c:v>
                </c:pt>
                <c:pt idx="75">
                  <c:v>45717</c:v>
                </c:pt>
                <c:pt idx="76">
                  <c:v>45748</c:v>
                </c:pt>
                <c:pt idx="77">
                  <c:v>45778</c:v>
                </c:pt>
                <c:pt idx="78">
                  <c:v>45809</c:v>
                </c:pt>
                <c:pt idx="79">
                  <c:v>45839</c:v>
                </c:pt>
                <c:pt idx="80">
                  <c:v>45870</c:v>
                </c:pt>
                <c:pt idx="81">
                  <c:v>45901</c:v>
                </c:pt>
                <c:pt idx="82">
                  <c:v>45931</c:v>
                </c:pt>
                <c:pt idx="83">
                  <c:v>45962</c:v>
                </c:pt>
                <c:pt idx="84">
                  <c:v>45992</c:v>
                </c:pt>
                <c:pt idx="85">
                  <c:v>46023</c:v>
                </c:pt>
                <c:pt idx="86">
                  <c:v>46054</c:v>
                </c:pt>
                <c:pt idx="87">
                  <c:v>46082</c:v>
                </c:pt>
                <c:pt idx="88">
                  <c:v>46113</c:v>
                </c:pt>
                <c:pt idx="89">
                  <c:v>46143</c:v>
                </c:pt>
                <c:pt idx="90">
                  <c:v>46174</c:v>
                </c:pt>
                <c:pt idx="91">
                  <c:v>46204</c:v>
                </c:pt>
                <c:pt idx="92">
                  <c:v>46235</c:v>
                </c:pt>
                <c:pt idx="93">
                  <c:v>46266</c:v>
                </c:pt>
                <c:pt idx="94">
                  <c:v>46296</c:v>
                </c:pt>
                <c:pt idx="95">
                  <c:v>46327</c:v>
                </c:pt>
                <c:pt idx="96">
                  <c:v>46357</c:v>
                </c:pt>
                <c:pt idx="97">
                  <c:v>46388</c:v>
                </c:pt>
                <c:pt idx="98">
                  <c:v>46419</c:v>
                </c:pt>
                <c:pt idx="99">
                  <c:v>46447</c:v>
                </c:pt>
                <c:pt idx="100">
                  <c:v>46478</c:v>
                </c:pt>
                <c:pt idx="101">
                  <c:v>46508</c:v>
                </c:pt>
                <c:pt idx="102">
                  <c:v>46539</c:v>
                </c:pt>
                <c:pt idx="103">
                  <c:v>46569</c:v>
                </c:pt>
                <c:pt idx="104">
                  <c:v>46600</c:v>
                </c:pt>
                <c:pt idx="105">
                  <c:v>46631</c:v>
                </c:pt>
                <c:pt idx="106">
                  <c:v>46661</c:v>
                </c:pt>
                <c:pt idx="107">
                  <c:v>46692</c:v>
                </c:pt>
                <c:pt idx="108">
                  <c:v>46722</c:v>
                </c:pt>
                <c:pt idx="109">
                  <c:v>46753</c:v>
                </c:pt>
                <c:pt idx="110">
                  <c:v>46784</c:v>
                </c:pt>
                <c:pt idx="111">
                  <c:v>46813</c:v>
                </c:pt>
                <c:pt idx="112">
                  <c:v>46844</c:v>
                </c:pt>
                <c:pt idx="113">
                  <c:v>46874</c:v>
                </c:pt>
                <c:pt idx="114">
                  <c:v>46905</c:v>
                </c:pt>
                <c:pt idx="115">
                  <c:v>46935</c:v>
                </c:pt>
                <c:pt idx="116">
                  <c:v>46966</c:v>
                </c:pt>
                <c:pt idx="117">
                  <c:v>46997</c:v>
                </c:pt>
                <c:pt idx="118">
                  <c:v>47027</c:v>
                </c:pt>
                <c:pt idx="119">
                  <c:v>47058</c:v>
                </c:pt>
                <c:pt idx="120">
                  <c:v>47088</c:v>
                </c:pt>
                <c:pt idx="121">
                  <c:v>47119</c:v>
                </c:pt>
                <c:pt idx="122">
                  <c:v>47150</c:v>
                </c:pt>
                <c:pt idx="123">
                  <c:v>47178</c:v>
                </c:pt>
                <c:pt idx="124">
                  <c:v>47209</c:v>
                </c:pt>
                <c:pt idx="125">
                  <c:v>47239</c:v>
                </c:pt>
                <c:pt idx="126">
                  <c:v>47270</c:v>
                </c:pt>
                <c:pt idx="127">
                  <c:v>47300</c:v>
                </c:pt>
                <c:pt idx="128">
                  <c:v>47331</c:v>
                </c:pt>
                <c:pt idx="129">
                  <c:v>47362</c:v>
                </c:pt>
                <c:pt idx="130">
                  <c:v>47392</c:v>
                </c:pt>
                <c:pt idx="131">
                  <c:v>47423</c:v>
                </c:pt>
                <c:pt idx="132">
                  <c:v>47453</c:v>
                </c:pt>
                <c:pt idx="133">
                  <c:v>47484</c:v>
                </c:pt>
                <c:pt idx="134">
                  <c:v>47515</c:v>
                </c:pt>
                <c:pt idx="135">
                  <c:v>47543</c:v>
                </c:pt>
                <c:pt idx="136">
                  <c:v>47574</c:v>
                </c:pt>
                <c:pt idx="137">
                  <c:v>47604</c:v>
                </c:pt>
                <c:pt idx="138">
                  <c:v>47635</c:v>
                </c:pt>
                <c:pt idx="139">
                  <c:v>47665</c:v>
                </c:pt>
                <c:pt idx="140">
                  <c:v>47696</c:v>
                </c:pt>
                <c:pt idx="141">
                  <c:v>47727</c:v>
                </c:pt>
                <c:pt idx="142">
                  <c:v>47757</c:v>
                </c:pt>
                <c:pt idx="143">
                  <c:v>47788</c:v>
                </c:pt>
                <c:pt idx="144">
                  <c:v>47818</c:v>
                </c:pt>
              </c:numCache>
            </c:numRef>
          </c:cat>
          <c:val>
            <c:numRef>
              <c:f>Overview!$F$3:$F$147</c:f>
              <c:numCache>
                <c:formatCode>_("$"* #,##0.00_);_("$"* \(#,##0.00\);_("$"* "-"??_);_(@_)</c:formatCode>
                <c:ptCount val="145"/>
                <c:pt idx="1">
                  <c:v>-16.37</c:v>
                </c:pt>
                <c:pt idx="2">
                  <c:v>-99.070000000000007</c:v>
                </c:pt>
                <c:pt idx="3">
                  <c:v>-41.980000000000004</c:v>
                </c:pt>
                <c:pt idx="4">
                  <c:v>-10.99</c:v>
                </c:pt>
                <c:pt idx="5">
                  <c:v>-39.93</c:v>
                </c:pt>
                <c:pt idx="6">
                  <c:v>-131.57</c:v>
                </c:pt>
                <c:pt idx="7">
                  <c:v>-142.19</c:v>
                </c:pt>
                <c:pt idx="8">
                  <c:v>-96.81</c:v>
                </c:pt>
                <c:pt idx="9">
                  <c:v>-249.34000000000003</c:v>
                </c:pt>
                <c:pt idx="10">
                  <c:v>-339.16999999999996</c:v>
                </c:pt>
                <c:pt idx="11">
                  <c:v>-113.15</c:v>
                </c:pt>
                <c:pt idx="12">
                  <c:v>-336.02</c:v>
                </c:pt>
                <c:pt idx="13">
                  <c:v>-128.94</c:v>
                </c:pt>
                <c:pt idx="14">
                  <c:v>-201.02</c:v>
                </c:pt>
                <c:pt idx="15">
                  <c:v>-157.17000000000002</c:v>
                </c:pt>
                <c:pt idx="16">
                  <c:v>-29.86</c:v>
                </c:pt>
                <c:pt idx="17">
                  <c:v>-104.07</c:v>
                </c:pt>
                <c:pt idx="18">
                  <c:v>-285.43</c:v>
                </c:pt>
                <c:pt idx="19">
                  <c:v>-51.620000000000005</c:v>
                </c:pt>
                <c:pt idx="20">
                  <c:v>-129.08000000000001</c:v>
                </c:pt>
                <c:pt idx="21">
                  <c:v>-181.8</c:v>
                </c:pt>
                <c:pt idx="22">
                  <c:v>-63.61</c:v>
                </c:pt>
                <c:pt idx="23">
                  <c:v>-107.75</c:v>
                </c:pt>
                <c:pt idx="24">
                  <c:v>-47.870000000000005</c:v>
                </c:pt>
                <c:pt idx="25">
                  <c:v>-61.81</c:v>
                </c:pt>
                <c:pt idx="26">
                  <c:v>-239.85999999999999</c:v>
                </c:pt>
                <c:pt idx="27">
                  <c:v>-104.55999999999999</c:v>
                </c:pt>
                <c:pt idx="28">
                  <c:v>-268.33</c:v>
                </c:pt>
                <c:pt idx="29">
                  <c:v>-45.03</c:v>
                </c:pt>
                <c:pt idx="30">
                  <c:v>-82.700000000000017</c:v>
                </c:pt>
                <c:pt idx="31">
                  <c:v>-335.72</c:v>
                </c:pt>
                <c:pt idx="32">
                  <c:v>-140.91</c:v>
                </c:pt>
                <c:pt idx="33">
                  <c:v>-70.77000000000001</c:v>
                </c:pt>
                <c:pt idx="34">
                  <c:v>-53.250000000000021</c:v>
                </c:pt>
                <c:pt idx="35">
                  <c:v>-181.05</c:v>
                </c:pt>
                <c:pt idx="36">
                  <c:v>-86.690000000000012</c:v>
                </c:pt>
                <c:pt idx="37">
                  <c:v>-181.58</c:v>
                </c:pt>
                <c:pt idx="38">
                  <c:v>-146.42999999999998</c:v>
                </c:pt>
                <c:pt idx="39">
                  <c:v>-128.18</c:v>
                </c:pt>
                <c:pt idx="40">
                  <c:v>-345.59</c:v>
                </c:pt>
                <c:pt idx="41">
                  <c:v>-371.31999999999994</c:v>
                </c:pt>
                <c:pt idx="42">
                  <c:v>-288.56</c:v>
                </c:pt>
                <c:pt idx="43">
                  <c:v>-132.13999999999999</c:v>
                </c:pt>
                <c:pt idx="44">
                  <c:v>-168.77</c:v>
                </c:pt>
                <c:pt idx="45">
                  <c:v>-86.65</c:v>
                </c:pt>
                <c:pt idx="46">
                  <c:v>-174.67000000000002</c:v>
                </c:pt>
                <c:pt idx="47">
                  <c:v>-742.09</c:v>
                </c:pt>
                <c:pt idx="48">
                  <c:v>-147.6</c:v>
                </c:pt>
                <c:pt idx="49">
                  <c:v>-15.58</c:v>
                </c:pt>
                <c:pt idx="50">
                  <c:v>-268.89</c:v>
                </c:pt>
                <c:pt idx="51">
                  <c:v>-1054.94</c:v>
                </c:pt>
                <c:pt idx="52">
                  <c:v>-77.819999999999993</c:v>
                </c:pt>
                <c:pt idx="53">
                  <c:v>-278.35000000000002</c:v>
                </c:pt>
                <c:pt idx="54">
                  <c:v>-45.4</c:v>
                </c:pt>
                <c:pt idx="55">
                  <c:v>-198.67000000000004</c:v>
                </c:pt>
                <c:pt idx="56">
                  <c:v>-474.78</c:v>
                </c:pt>
                <c:pt idx="57">
                  <c:v>-154.67999999999998</c:v>
                </c:pt>
                <c:pt idx="58">
                  <c:v>-315.44</c:v>
                </c:pt>
                <c:pt idx="59">
                  <c:v>-41.02</c:v>
                </c:pt>
                <c:pt idx="60">
                  <c:v>-9.15</c:v>
                </c:pt>
                <c:pt idx="61">
                  <c:v>-185.72</c:v>
                </c:pt>
                <c:pt idx="62">
                  <c:v>0</c:v>
                </c:pt>
                <c:pt idx="63">
                  <c:v>-607.96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Overview!$G$2</c:f>
              <c:strCache>
                <c:ptCount val="1"/>
                <c:pt idx="0">
                  <c:v>Home</c:v>
                </c:pt>
              </c:strCache>
            </c:strRef>
          </c:tx>
          <c:marker>
            <c:symbol val="none"/>
          </c:marker>
          <c:cat>
            <c:numRef>
              <c:f>Overview!$A$3:$A$147</c:f>
              <c:numCache>
                <c:formatCode>m/d/yyyy</c:formatCode>
                <c:ptCount val="145"/>
                <c:pt idx="1">
                  <c:v>43466</c:v>
                </c:pt>
                <c:pt idx="2">
                  <c:v>43497</c:v>
                </c:pt>
                <c:pt idx="3">
                  <c:v>43525</c:v>
                </c:pt>
                <c:pt idx="4">
                  <c:v>43556</c:v>
                </c:pt>
                <c:pt idx="5">
                  <c:v>43586</c:v>
                </c:pt>
                <c:pt idx="6">
                  <c:v>43617</c:v>
                </c:pt>
                <c:pt idx="7">
                  <c:v>43647</c:v>
                </c:pt>
                <c:pt idx="8">
                  <c:v>43678</c:v>
                </c:pt>
                <c:pt idx="9">
                  <c:v>43709</c:v>
                </c:pt>
                <c:pt idx="10">
                  <c:v>43739</c:v>
                </c:pt>
                <c:pt idx="11">
                  <c:v>43770</c:v>
                </c:pt>
                <c:pt idx="12">
                  <c:v>43800</c:v>
                </c:pt>
                <c:pt idx="13">
                  <c:v>43831</c:v>
                </c:pt>
                <c:pt idx="14">
                  <c:v>43862</c:v>
                </c:pt>
                <c:pt idx="15">
                  <c:v>43891</c:v>
                </c:pt>
                <c:pt idx="16">
                  <c:v>43922</c:v>
                </c:pt>
                <c:pt idx="17">
                  <c:v>43952</c:v>
                </c:pt>
                <c:pt idx="18">
                  <c:v>43983</c:v>
                </c:pt>
                <c:pt idx="19">
                  <c:v>44013</c:v>
                </c:pt>
                <c:pt idx="20">
                  <c:v>44044</c:v>
                </c:pt>
                <c:pt idx="21">
                  <c:v>44075</c:v>
                </c:pt>
                <c:pt idx="22">
                  <c:v>44105</c:v>
                </c:pt>
                <c:pt idx="23">
                  <c:v>44136</c:v>
                </c:pt>
                <c:pt idx="24">
                  <c:v>44166</c:v>
                </c:pt>
                <c:pt idx="25">
                  <c:v>44197</c:v>
                </c:pt>
                <c:pt idx="26">
                  <c:v>44228</c:v>
                </c:pt>
                <c:pt idx="27">
                  <c:v>44256</c:v>
                </c:pt>
                <c:pt idx="28">
                  <c:v>44287</c:v>
                </c:pt>
                <c:pt idx="29">
                  <c:v>44317</c:v>
                </c:pt>
                <c:pt idx="30">
                  <c:v>44348</c:v>
                </c:pt>
                <c:pt idx="31">
                  <c:v>44378</c:v>
                </c:pt>
                <c:pt idx="32">
                  <c:v>44409</c:v>
                </c:pt>
                <c:pt idx="33">
                  <c:v>44440</c:v>
                </c:pt>
                <c:pt idx="34">
                  <c:v>44470</c:v>
                </c:pt>
                <c:pt idx="35">
                  <c:v>44501</c:v>
                </c:pt>
                <c:pt idx="36">
                  <c:v>44531</c:v>
                </c:pt>
                <c:pt idx="37">
                  <c:v>44562</c:v>
                </c:pt>
                <c:pt idx="38">
                  <c:v>44593</c:v>
                </c:pt>
                <c:pt idx="39">
                  <c:v>44621</c:v>
                </c:pt>
                <c:pt idx="40">
                  <c:v>44652</c:v>
                </c:pt>
                <c:pt idx="41">
                  <c:v>44682</c:v>
                </c:pt>
                <c:pt idx="42">
                  <c:v>44713</c:v>
                </c:pt>
                <c:pt idx="43">
                  <c:v>44743</c:v>
                </c:pt>
                <c:pt idx="44">
                  <c:v>44774</c:v>
                </c:pt>
                <c:pt idx="45">
                  <c:v>44805</c:v>
                </c:pt>
                <c:pt idx="46">
                  <c:v>44835</c:v>
                </c:pt>
                <c:pt idx="47">
                  <c:v>44866</c:v>
                </c:pt>
                <c:pt idx="48">
                  <c:v>44896</c:v>
                </c:pt>
                <c:pt idx="49">
                  <c:v>44927</c:v>
                </c:pt>
                <c:pt idx="50">
                  <c:v>44958</c:v>
                </c:pt>
                <c:pt idx="51">
                  <c:v>44986</c:v>
                </c:pt>
                <c:pt idx="52">
                  <c:v>45017</c:v>
                </c:pt>
                <c:pt idx="53">
                  <c:v>45047</c:v>
                </c:pt>
                <c:pt idx="54">
                  <c:v>45078</c:v>
                </c:pt>
                <c:pt idx="55">
                  <c:v>45108</c:v>
                </c:pt>
                <c:pt idx="56">
                  <c:v>45139</c:v>
                </c:pt>
                <c:pt idx="57">
                  <c:v>45170</c:v>
                </c:pt>
                <c:pt idx="58">
                  <c:v>45200</c:v>
                </c:pt>
                <c:pt idx="59">
                  <c:v>45231</c:v>
                </c:pt>
                <c:pt idx="60">
                  <c:v>45261</c:v>
                </c:pt>
                <c:pt idx="61">
                  <c:v>45292</c:v>
                </c:pt>
                <c:pt idx="62">
                  <c:v>45323</c:v>
                </c:pt>
                <c:pt idx="63">
                  <c:v>45352</c:v>
                </c:pt>
                <c:pt idx="64">
                  <c:v>45383</c:v>
                </c:pt>
                <c:pt idx="65">
                  <c:v>45413</c:v>
                </c:pt>
                <c:pt idx="66">
                  <c:v>45444</c:v>
                </c:pt>
                <c:pt idx="67">
                  <c:v>45474</c:v>
                </c:pt>
                <c:pt idx="68">
                  <c:v>45505</c:v>
                </c:pt>
                <c:pt idx="69">
                  <c:v>45536</c:v>
                </c:pt>
                <c:pt idx="70">
                  <c:v>45566</c:v>
                </c:pt>
                <c:pt idx="71">
                  <c:v>45597</c:v>
                </c:pt>
                <c:pt idx="72">
                  <c:v>45627</c:v>
                </c:pt>
                <c:pt idx="73">
                  <c:v>45658</c:v>
                </c:pt>
                <c:pt idx="74">
                  <c:v>45689</c:v>
                </c:pt>
                <c:pt idx="75">
                  <c:v>45717</c:v>
                </c:pt>
                <c:pt idx="76">
                  <c:v>45748</c:v>
                </c:pt>
                <c:pt idx="77">
                  <c:v>45778</c:v>
                </c:pt>
                <c:pt idx="78">
                  <c:v>45809</c:v>
                </c:pt>
                <c:pt idx="79">
                  <c:v>45839</c:v>
                </c:pt>
                <c:pt idx="80">
                  <c:v>45870</c:v>
                </c:pt>
                <c:pt idx="81">
                  <c:v>45901</c:v>
                </c:pt>
                <c:pt idx="82">
                  <c:v>45931</c:v>
                </c:pt>
                <c:pt idx="83">
                  <c:v>45962</c:v>
                </c:pt>
                <c:pt idx="84">
                  <c:v>45992</c:v>
                </c:pt>
                <c:pt idx="85">
                  <c:v>46023</c:v>
                </c:pt>
                <c:pt idx="86">
                  <c:v>46054</c:v>
                </c:pt>
                <c:pt idx="87">
                  <c:v>46082</c:v>
                </c:pt>
                <c:pt idx="88">
                  <c:v>46113</c:v>
                </c:pt>
                <c:pt idx="89">
                  <c:v>46143</c:v>
                </c:pt>
                <c:pt idx="90">
                  <c:v>46174</c:v>
                </c:pt>
                <c:pt idx="91">
                  <c:v>46204</c:v>
                </c:pt>
                <c:pt idx="92">
                  <c:v>46235</c:v>
                </c:pt>
                <c:pt idx="93">
                  <c:v>46266</c:v>
                </c:pt>
                <c:pt idx="94">
                  <c:v>46296</c:v>
                </c:pt>
                <c:pt idx="95">
                  <c:v>46327</c:v>
                </c:pt>
                <c:pt idx="96">
                  <c:v>46357</c:v>
                </c:pt>
                <c:pt idx="97">
                  <c:v>46388</c:v>
                </c:pt>
                <c:pt idx="98">
                  <c:v>46419</c:v>
                </c:pt>
                <c:pt idx="99">
                  <c:v>46447</c:v>
                </c:pt>
                <c:pt idx="100">
                  <c:v>46478</c:v>
                </c:pt>
                <c:pt idx="101">
                  <c:v>46508</c:v>
                </c:pt>
                <c:pt idx="102">
                  <c:v>46539</c:v>
                </c:pt>
                <c:pt idx="103">
                  <c:v>46569</c:v>
                </c:pt>
                <c:pt idx="104">
                  <c:v>46600</c:v>
                </c:pt>
                <c:pt idx="105">
                  <c:v>46631</c:v>
                </c:pt>
                <c:pt idx="106">
                  <c:v>46661</c:v>
                </c:pt>
                <c:pt idx="107">
                  <c:v>46692</c:v>
                </c:pt>
                <c:pt idx="108">
                  <c:v>46722</c:v>
                </c:pt>
                <c:pt idx="109">
                  <c:v>46753</c:v>
                </c:pt>
                <c:pt idx="110">
                  <c:v>46784</c:v>
                </c:pt>
                <c:pt idx="111">
                  <c:v>46813</c:v>
                </c:pt>
                <c:pt idx="112">
                  <c:v>46844</c:v>
                </c:pt>
                <c:pt idx="113">
                  <c:v>46874</c:v>
                </c:pt>
                <c:pt idx="114">
                  <c:v>46905</c:v>
                </c:pt>
                <c:pt idx="115">
                  <c:v>46935</c:v>
                </c:pt>
                <c:pt idx="116">
                  <c:v>46966</c:v>
                </c:pt>
                <c:pt idx="117">
                  <c:v>46997</c:v>
                </c:pt>
                <c:pt idx="118">
                  <c:v>47027</c:v>
                </c:pt>
                <c:pt idx="119">
                  <c:v>47058</c:v>
                </c:pt>
                <c:pt idx="120">
                  <c:v>47088</c:v>
                </c:pt>
                <c:pt idx="121">
                  <c:v>47119</c:v>
                </c:pt>
                <c:pt idx="122">
                  <c:v>47150</c:v>
                </c:pt>
                <c:pt idx="123">
                  <c:v>47178</c:v>
                </c:pt>
                <c:pt idx="124">
                  <c:v>47209</c:v>
                </c:pt>
                <c:pt idx="125">
                  <c:v>47239</c:v>
                </c:pt>
                <c:pt idx="126">
                  <c:v>47270</c:v>
                </c:pt>
                <c:pt idx="127">
                  <c:v>47300</c:v>
                </c:pt>
                <c:pt idx="128">
                  <c:v>47331</c:v>
                </c:pt>
                <c:pt idx="129">
                  <c:v>47362</c:v>
                </c:pt>
                <c:pt idx="130">
                  <c:v>47392</c:v>
                </c:pt>
                <c:pt idx="131">
                  <c:v>47423</c:v>
                </c:pt>
                <c:pt idx="132">
                  <c:v>47453</c:v>
                </c:pt>
                <c:pt idx="133">
                  <c:v>47484</c:v>
                </c:pt>
                <c:pt idx="134">
                  <c:v>47515</c:v>
                </c:pt>
                <c:pt idx="135">
                  <c:v>47543</c:v>
                </c:pt>
                <c:pt idx="136">
                  <c:v>47574</c:v>
                </c:pt>
                <c:pt idx="137">
                  <c:v>47604</c:v>
                </c:pt>
                <c:pt idx="138">
                  <c:v>47635</c:v>
                </c:pt>
                <c:pt idx="139">
                  <c:v>47665</c:v>
                </c:pt>
                <c:pt idx="140">
                  <c:v>47696</c:v>
                </c:pt>
                <c:pt idx="141">
                  <c:v>47727</c:v>
                </c:pt>
                <c:pt idx="142">
                  <c:v>47757</c:v>
                </c:pt>
                <c:pt idx="143">
                  <c:v>47788</c:v>
                </c:pt>
                <c:pt idx="144">
                  <c:v>47818</c:v>
                </c:pt>
              </c:numCache>
            </c:numRef>
          </c:cat>
          <c:val>
            <c:numRef>
              <c:f>Overview!$G$3:$G$147</c:f>
              <c:numCache>
                <c:formatCode>_("$"* #,##0.00_);_("$"* \(#,##0.00\);_("$"* "-"??_);_(@_)</c:formatCode>
                <c:ptCount val="14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-117.18</c:v>
                </c:pt>
                <c:pt idx="13">
                  <c:v>-11.09</c:v>
                </c:pt>
                <c:pt idx="14">
                  <c:v>0</c:v>
                </c:pt>
                <c:pt idx="15">
                  <c:v>-5.54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-201.95</c:v>
                </c:pt>
                <c:pt idx="20">
                  <c:v>-2503.88</c:v>
                </c:pt>
                <c:pt idx="21">
                  <c:v>0</c:v>
                </c:pt>
                <c:pt idx="22">
                  <c:v>-110.97</c:v>
                </c:pt>
                <c:pt idx="23">
                  <c:v>-103.18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-194.23</c:v>
                </c:pt>
                <c:pt idx="28">
                  <c:v>-511.65999999999997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-7.76</c:v>
                </c:pt>
                <c:pt idx="34">
                  <c:v>0</c:v>
                </c:pt>
                <c:pt idx="35">
                  <c:v>0</c:v>
                </c:pt>
                <c:pt idx="36">
                  <c:v>-22.19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-11.09</c:v>
                </c:pt>
                <c:pt idx="42">
                  <c:v>0</c:v>
                </c:pt>
                <c:pt idx="43">
                  <c:v>0</c:v>
                </c:pt>
                <c:pt idx="44">
                  <c:v>-113.73</c:v>
                </c:pt>
                <c:pt idx="45">
                  <c:v>0</c:v>
                </c:pt>
                <c:pt idx="46">
                  <c:v>-62.92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-22.19</c:v>
                </c:pt>
                <c:pt idx="52">
                  <c:v>0</c:v>
                </c:pt>
                <c:pt idx="53">
                  <c:v>-100.94</c:v>
                </c:pt>
                <c:pt idx="54">
                  <c:v>0</c:v>
                </c:pt>
                <c:pt idx="55">
                  <c:v>-22.19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-207.97</c:v>
                </c:pt>
                <c:pt idx="61">
                  <c:v>0</c:v>
                </c:pt>
                <c:pt idx="62">
                  <c:v>0</c:v>
                </c:pt>
                <c:pt idx="63">
                  <c:v>-153.16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Overview!$H$2</c:f>
              <c:strCache>
                <c:ptCount val="1"/>
                <c:pt idx="0">
                  <c:v>Misc</c:v>
                </c:pt>
              </c:strCache>
            </c:strRef>
          </c:tx>
          <c:marker>
            <c:symbol val="none"/>
          </c:marker>
          <c:cat>
            <c:numRef>
              <c:f>Overview!$A$3:$A$147</c:f>
              <c:numCache>
                <c:formatCode>m/d/yyyy</c:formatCode>
                <c:ptCount val="145"/>
                <c:pt idx="1">
                  <c:v>43466</c:v>
                </c:pt>
                <c:pt idx="2">
                  <c:v>43497</c:v>
                </c:pt>
                <c:pt idx="3">
                  <c:v>43525</c:v>
                </c:pt>
                <c:pt idx="4">
                  <c:v>43556</c:v>
                </c:pt>
                <c:pt idx="5">
                  <c:v>43586</c:v>
                </c:pt>
                <c:pt idx="6">
                  <c:v>43617</c:v>
                </c:pt>
                <c:pt idx="7">
                  <c:v>43647</c:v>
                </c:pt>
                <c:pt idx="8">
                  <c:v>43678</c:v>
                </c:pt>
                <c:pt idx="9">
                  <c:v>43709</c:v>
                </c:pt>
                <c:pt idx="10">
                  <c:v>43739</c:v>
                </c:pt>
                <c:pt idx="11">
                  <c:v>43770</c:v>
                </c:pt>
                <c:pt idx="12">
                  <c:v>43800</c:v>
                </c:pt>
                <c:pt idx="13">
                  <c:v>43831</c:v>
                </c:pt>
                <c:pt idx="14">
                  <c:v>43862</c:v>
                </c:pt>
                <c:pt idx="15">
                  <c:v>43891</c:v>
                </c:pt>
                <c:pt idx="16">
                  <c:v>43922</c:v>
                </c:pt>
                <c:pt idx="17">
                  <c:v>43952</c:v>
                </c:pt>
                <c:pt idx="18">
                  <c:v>43983</c:v>
                </c:pt>
                <c:pt idx="19">
                  <c:v>44013</c:v>
                </c:pt>
                <c:pt idx="20">
                  <c:v>44044</c:v>
                </c:pt>
                <c:pt idx="21">
                  <c:v>44075</c:v>
                </c:pt>
                <c:pt idx="22">
                  <c:v>44105</c:v>
                </c:pt>
                <c:pt idx="23">
                  <c:v>44136</c:v>
                </c:pt>
                <c:pt idx="24">
                  <c:v>44166</c:v>
                </c:pt>
                <c:pt idx="25">
                  <c:v>44197</c:v>
                </c:pt>
                <c:pt idx="26">
                  <c:v>44228</c:v>
                </c:pt>
                <c:pt idx="27">
                  <c:v>44256</c:v>
                </c:pt>
                <c:pt idx="28">
                  <c:v>44287</c:v>
                </c:pt>
                <c:pt idx="29">
                  <c:v>44317</c:v>
                </c:pt>
                <c:pt idx="30">
                  <c:v>44348</c:v>
                </c:pt>
                <c:pt idx="31">
                  <c:v>44378</c:v>
                </c:pt>
                <c:pt idx="32">
                  <c:v>44409</c:v>
                </c:pt>
                <c:pt idx="33">
                  <c:v>44440</c:v>
                </c:pt>
                <c:pt idx="34">
                  <c:v>44470</c:v>
                </c:pt>
                <c:pt idx="35">
                  <c:v>44501</c:v>
                </c:pt>
                <c:pt idx="36">
                  <c:v>44531</c:v>
                </c:pt>
                <c:pt idx="37">
                  <c:v>44562</c:v>
                </c:pt>
                <c:pt idx="38">
                  <c:v>44593</c:v>
                </c:pt>
                <c:pt idx="39">
                  <c:v>44621</c:v>
                </c:pt>
                <c:pt idx="40">
                  <c:v>44652</c:v>
                </c:pt>
                <c:pt idx="41">
                  <c:v>44682</c:v>
                </c:pt>
                <c:pt idx="42">
                  <c:v>44713</c:v>
                </c:pt>
                <c:pt idx="43">
                  <c:v>44743</c:v>
                </c:pt>
                <c:pt idx="44">
                  <c:v>44774</c:v>
                </c:pt>
                <c:pt idx="45">
                  <c:v>44805</c:v>
                </c:pt>
                <c:pt idx="46">
                  <c:v>44835</c:v>
                </c:pt>
                <c:pt idx="47">
                  <c:v>44866</c:v>
                </c:pt>
                <c:pt idx="48">
                  <c:v>44896</c:v>
                </c:pt>
                <c:pt idx="49">
                  <c:v>44927</c:v>
                </c:pt>
                <c:pt idx="50">
                  <c:v>44958</c:v>
                </c:pt>
                <c:pt idx="51">
                  <c:v>44986</c:v>
                </c:pt>
                <c:pt idx="52">
                  <c:v>45017</c:v>
                </c:pt>
                <c:pt idx="53">
                  <c:v>45047</c:v>
                </c:pt>
                <c:pt idx="54">
                  <c:v>45078</c:v>
                </c:pt>
                <c:pt idx="55">
                  <c:v>45108</c:v>
                </c:pt>
                <c:pt idx="56">
                  <c:v>45139</c:v>
                </c:pt>
                <c:pt idx="57">
                  <c:v>45170</c:v>
                </c:pt>
                <c:pt idx="58">
                  <c:v>45200</c:v>
                </c:pt>
                <c:pt idx="59">
                  <c:v>45231</c:v>
                </c:pt>
                <c:pt idx="60">
                  <c:v>45261</c:v>
                </c:pt>
                <c:pt idx="61">
                  <c:v>45292</c:v>
                </c:pt>
                <c:pt idx="62">
                  <c:v>45323</c:v>
                </c:pt>
                <c:pt idx="63">
                  <c:v>45352</c:v>
                </c:pt>
                <c:pt idx="64">
                  <c:v>45383</c:v>
                </c:pt>
                <c:pt idx="65">
                  <c:v>45413</c:v>
                </c:pt>
                <c:pt idx="66">
                  <c:v>45444</c:v>
                </c:pt>
                <c:pt idx="67">
                  <c:v>45474</c:v>
                </c:pt>
                <c:pt idx="68">
                  <c:v>45505</c:v>
                </c:pt>
                <c:pt idx="69">
                  <c:v>45536</c:v>
                </c:pt>
                <c:pt idx="70">
                  <c:v>45566</c:v>
                </c:pt>
                <c:pt idx="71">
                  <c:v>45597</c:v>
                </c:pt>
                <c:pt idx="72">
                  <c:v>45627</c:v>
                </c:pt>
                <c:pt idx="73">
                  <c:v>45658</c:v>
                </c:pt>
                <c:pt idx="74">
                  <c:v>45689</c:v>
                </c:pt>
                <c:pt idx="75">
                  <c:v>45717</c:v>
                </c:pt>
                <c:pt idx="76">
                  <c:v>45748</c:v>
                </c:pt>
                <c:pt idx="77">
                  <c:v>45778</c:v>
                </c:pt>
                <c:pt idx="78">
                  <c:v>45809</c:v>
                </c:pt>
                <c:pt idx="79">
                  <c:v>45839</c:v>
                </c:pt>
                <c:pt idx="80">
                  <c:v>45870</c:v>
                </c:pt>
                <c:pt idx="81">
                  <c:v>45901</c:v>
                </c:pt>
                <c:pt idx="82">
                  <c:v>45931</c:v>
                </c:pt>
                <c:pt idx="83">
                  <c:v>45962</c:v>
                </c:pt>
                <c:pt idx="84">
                  <c:v>45992</c:v>
                </c:pt>
                <c:pt idx="85">
                  <c:v>46023</c:v>
                </c:pt>
                <c:pt idx="86">
                  <c:v>46054</c:v>
                </c:pt>
                <c:pt idx="87">
                  <c:v>46082</c:v>
                </c:pt>
                <c:pt idx="88">
                  <c:v>46113</c:v>
                </c:pt>
                <c:pt idx="89">
                  <c:v>46143</c:v>
                </c:pt>
                <c:pt idx="90">
                  <c:v>46174</c:v>
                </c:pt>
                <c:pt idx="91">
                  <c:v>46204</c:v>
                </c:pt>
                <c:pt idx="92">
                  <c:v>46235</c:v>
                </c:pt>
                <c:pt idx="93">
                  <c:v>46266</c:v>
                </c:pt>
                <c:pt idx="94">
                  <c:v>46296</c:v>
                </c:pt>
                <c:pt idx="95">
                  <c:v>46327</c:v>
                </c:pt>
                <c:pt idx="96">
                  <c:v>46357</c:v>
                </c:pt>
                <c:pt idx="97">
                  <c:v>46388</c:v>
                </c:pt>
                <c:pt idx="98">
                  <c:v>46419</c:v>
                </c:pt>
                <c:pt idx="99">
                  <c:v>46447</c:v>
                </c:pt>
                <c:pt idx="100">
                  <c:v>46478</c:v>
                </c:pt>
                <c:pt idx="101">
                  <c:v>46508</c:v>
                </c:pt>
                <c:pt idx="102">
                  <c:v>46539</c:v>
                </c:pt>
                <c:pt idx="103">
                  <c:v>46569</c:v>
                </c:pt>
                <c:pt idx="104">
                  <c:v>46600</c:v>
                </c:pt>
                <c:pt idx="105">
                  <c:v>46631</c:v>
                </c:pt>
                <c:pt idx="106">
                  <c:v>46661</c:v>
                </c:pt>
                <c:pt idx="107">
                  <c:v>46692</c:v>
                </c:pt>
                <c:pt idx="108">
                  <c:v>46722</c:v>
                </c:pt>
                <c:pt idx="109">
                  <c:v>46753</c:v>
                </c:pt>
                <c:pt idx="110">
                  <c:v>46784</c:v>
                </c:pt>
                <c:pt idx="111">
                  <c:v>46813</c:v>
                </c:pt>
                <c:pt idx="112">
                  <c:v>46844</c:v>
                </c:pt>
                <c:pt idx="113">
                  <c:v>46874</c:v>
                </c:pt>
                <c:pt idx="114">
                  <c:v>46905</c:v>
                </c:pt>
                <c:pt idx="115">
                  <c:v>46935</c:v>
                </c:pt>
                <c:pt idx="116">
                  <c:v>46966</c:v>
                </c:pt>
                <c:pt idx="117">
                  <c:v>46997</c:v>
                </c:pt>
                <c:pt idx="118">
                  <c:v>47027</c:v>
                </c:pt>
                <c:pt idx="119">
                  <c:v>47058</c:v>
                </c:pt>
                <c:pt idx="120">
                  <c:v>47088</c:v>
                </c:pt>
                <c:pt idx="121">
                  <c:v>47119</c:v>
                </c:pt>
                <c:pt idx="122">
                  <c:v>47150</c:v>
                </c:pt>
                <c:pt idx="123">
                  <c:v>47178</c:v>
                </c:pt>
                <c:pt idx="124">
                  <c:v>47209</c:v>
                </c:pt>
                <c:pt idx="125">
                  <c:v>47239</c:v>
                </c:pt>
                <c:pt idx="126">
                  <c:v>47270</c:v>
                </c:pt>
                <c:pt idx="127">
                  <c:v>47300</c:v>
                </c:pt>
                <c:pt idx="128">
                  <c:v>47331</c:v>
                </c:pt>
                <c:pt idx="129">
                  <c:v>47362</c:v>
                </c:pt>
                <c:pt idx="130">
                  <c:v>47392</c:v>
                </c:pt>
                <c:pt idx="131">
                  <c:v>47423</c:v>
                </c:pt>
                <c:pt idx="132">
                  <c:v>47453</c:v>
                </c:pt>
                <c:pt idx="133">
                  <c:v>47484</c:v>
                </c:pt>
                <c:pt idx="134">
                  <c:v>47515</c:v>
                </c:pt>
                <c:pt idx="135">
                  <c:v>47543</c:v>
                </c:pt>
                <c:pt idx="136">
                  <c:v>47574</c:v>
                </c:pt>
                <c:pt idx="137">
                  <c:v>47604</c:v>
                </c:pt>
                <c:pt idx="138">
                  <c:v>47635</c:v>
                </c:pt>
                <c:pt idx="139">
                  <c:v>47665</c:v>
                </c:pt>
                <c:pt idx="140">
                  <c:v>47696</c:v>
                </c:pt>
                <c:pt idx="141">
                  <c:v>47727</c:v>
                </c:pt>
                <c:pt idx="142">
                  <c:v>47757</c:v>
                </c:pt>
                <c:pt idx="143">
                  <c:v>47788</c:v>
                </c:pt>
                <c:pt idx="144">
                  <c:v>47818</c:v>
                </c:pt>
              </c:numCache>
            </c:numRef>
          </c:cat>
          <c:val>
            <c:numRef>
              <c:f>Overview!$H$3:$H$147</c:f>
              <c:numCache>
                <c:formatCode>_("$"* #,##0.00_);_("$"* \(#,##0.00\);_("$"* "-"??_);_(@_)</c:formatCode>
                <c:ptCount val="145"/>
                <c:pt idx="1">
                  <c:v>-46.99</c:v>
                </c:pt>
                <c:pt idx="2">
                  <c:v>194.75</c:v>
                </c:pt>
                <c:pt idx="3">
                  <c:v>178.6</c:v>
                </c:pt>
                <c:pt idx="4">
                  <c:v>436.65999999999997</c:v>
                </c:pt>
                <c:pt idx="5">
                  <c:v>812.74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197.25</c:v>
                </c:pt>
                <c:pt idx="10">
                  <c:v>197.25</c:v>
                </c:pt>
                <c:pt idx="11">
                  <c:v>-216.23</c:v>
                </c:pt>
                <c:pt idx="12">
                  <c:v>-699.16</c:v>
                </c:pt>
                <c:pt idx="13">
                  <c:v>-638.37</c:v>
                </c:pt>
                <c:pt idx="14">
                  <c:v>195.46</c:v>
                </c:pt>
                <c:pt idx="15">
                  <c:v>0</c:v>
                </c:pt>
                <c:pt idx="16">
                  <c:v>516.01</c:v>
                </c:pt>
                <c:pt idx="17">
                  <c:v>0</c:v>
                </c:pt>
                <c:pt idx="18">
                  <c:v>0</c:v>
                </c:pt>
                <c:pt idx="19">
                  <c:v>-291.47999999999996</c:v>
                </c:pt>
                <c:pt idx="20">
                  <c:v>-154.48999999999998</c:v>
                </c:pt>
                <c:pt idx="21">
                  <c:v>1810.86</c:v>
                </c:pt>
                <c:pt idx="22">
                  <c:v>80.790000000000006</c:v>
                </c:pt>
                <c:pt idx="23">
                  <c:v>-859.78</c:v>
                </c:pt>
                <c:pt idx="24">
                  <c:v>0</c:v>
                </c:pt>
                <c:pt idx="25">
                  <c:v>0</c:v>
                </c:pt>
                <c:pt idx="26">
                  <c:v>104.79</c:v>
                </c:pt>
                <c:pt idx="27">
                  <c:v>55</c:v>
                </c:pt>
                <c:pt idx="28">
                  <c:v>-475.31</c:v>
                </c:pt>
                <c:pt idx="29">
                  <c:v>0</c:v>
                </c:pt>
                <c:pt idx="30">
                  <c:v>0</c:v>
                </c:pt>
                <c:pt idx="31">
                  <c:v>-481.81</c:v>
                </c:pt>
                <c:pt idx="32">
                  <c:v>0</c:v>
                </c:pt>
                <c:pt idx="33">
                  <c:v>0</c:v>
                </c:pt>
                <c:pt idx="34">
                  <c:v>-199.77</c:v>
                </c:pt>
                <c:pt idx="35">
                  <c:v>-202.03</c:v>
                </c:pt>
                <c:pt idx="36">
                  <c:v>-538.16999999999996</c:v>
                </c:pt>
                <c:pt idx="37">
                  <c:v>-4126.3599999999997</c:v>
                </c:pt>
                <c:pt idx="38">
                  <c:v>0</c:v>
                </c:pt>
                <c:pt idx="39">
                  <c:v>199.77</c:v>
                </c:pt>
                <c:pt idx="40">
                  <c:v>0</c:v>
                </c:pt>
                <c:pt idx="41">
                  <c:v>100</c:v>
                </c:pt>
                <c:pt idx="42">
                  <c:v>-2.74</c:v>
                </c:pt>
                <c:pt idx="43">
                  <c:v>0</c:v>
                </c:pt>
                <c:pt idx="44">
                  <c:v>-445.38</c:v>
                </c:pt>
                <c:pt idx="45">
                  <c:v>-284.72000000000003</c:v>
                </c:pt>
                <c:pt idx="46">
                  <c:v>0</c:v>
                </c:pt>
                <c:pt idx="47">
                  <c:v>-47.16</c:v>
                </c:pt>
                <c:pt idx="48">
                  <c:v>476.59</c:v>
                </c:pt>
                <c:pt idx="49">
                  <c:v>-1525.25</c:v>
                </c:pt>
                <c:pt idx="50">
                  <c:v>-71.78</c:v>
                </c:pt>
                <c:pt idx="51">
                  <c:v>0</c:v>
                </c:pt>
                <c:pt idx="52">
                  <c:v>-1120.6799999999998</c:v>
                </c:pt>
                <c:pt idx="53">
                  <c:v>-24</c:v>
                </c:pt>
                <c:pt idx="54">
                  <c:v>-55.069999999999993</c:v>
                </c:pt>
                <c:pt idx="55">
                  <c:v>135.25</c:v>
                </c:pt>
                <c:pt idx="56">
                  <c:v>-387.38999999999987</c:v>
                </c:pt>
                <c:pt idx="57">
                  <c:v>-219.95000000000002</c:v>
                </c:pt>
                <c:pt idx="58">
                  <c:v>-573.79</c:v>
                </c:pt>
                <c:pt idx="59">
                  <c:v>-469.77</c:v>
                </c:pt>
                <c:pt idx="60">
                  <c:v>-379.25</c:v>
                </c:pt>
                <c:pt idx="61">
                  <c:v>-2786.3099999999995</c:v>
                </c:pt>
                <c:pt idx="62">
                  <c:v>-1712.96</c:v>
                </c:pt>
                <c:pt idx="63">
                  <c:v>-1020.2700000000001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Overview!$I$2</c:f>
              <c:strCache>
                <c:ptCount val="1"/>
                <c:pt idx="0">
                  <c:v>Vehicle</c:v>
                </c:pt>
              </c:strCache>
            </c:strRef>
          </c:tx>
          <c:marker>
            <c:symbol val="none"/>
          </c:marker>
          <c:cat>
            <c:numRef>
              <c:f>Overview!$A$3:$A$147</c:f>
              <c:numCache>
                <c:formatCode>m/d/yyyy</c:formatCode>
                <c:ptCount val="145"/>
                <c:pt idx="1">
                  <c:v>43466</c:v>
                </c:pt>
                <c:pt idx="2">
                  <c:v>43497</c:v>
                </c:pt>
                <c:pt idx="3">
                  <c:v>43525</c:v>
                </c:pt>
                <c:pt idx="4">
                  <c:v>43556</c:v>
                </c:pt>
                <c:pt idx="5">
                  <c:v>43586</c:v>
                </c:pt>
                <c:pt idx="6">
                  <c:v>43617</c:v>
                </c:pt>
                <c:pt idx="7">
                  <c:v>43647</c:v>
                </c:pt>
                <c:pt idx="8">
                  <c:v>43678</c:v>
                </c:pt>
                <c:pt idx="9">
                  <c:v>43709</c:v>
                </c:pt>
                <c:pt idx="10">
                  <c:v>43739</c:v>
                </c:pt>
                <c:pt idx="11">
                  <c:v>43770</c:v>
                </c:pt>
                <c:pt idx="12">
                  <c:v>43800</c:v>
                </c:pt>
                <c:pt idx="13">
                  <c:v>43831</c:v>
                </c:pt>
                <c:pt idx="14">
                  <c:v>43862</c:v>
                </c:pt>
                <c:pt idx="15">
                  <c:v>43891</c:v>
                </c:pt>
                <c:pt idx="16">
                  <c:v>43922</c:v>
                </c:pt>
                <c:pt idx="17">
                  <c:v>43952</c:v>
                </c:pt>
                <c:pt idx="18">
                  <c:v>43983</c:v>
                </c:pt>
                <c:pt idx="19">
                  <c:v>44013</c:v>
                </c:pt>
                <c:pt idx="20">
                  <c:v>44044</c:v>
                </c:pt>
                <c:pt idx="21">
                  <c:v>44075</c:v>
                </c:pt>
                <c:pt idx="22">
                  <c:v>44105</c:v>
                </c:pt>
                <c:pt idx="23">
                  <c:v>44136</c:v>
                </c:pt>
                <c:pt idx="24">
                  <c:v>44166</c:v>
                </c:pt>
                <c:pt idx="25">
                  <c:v>44197</c:v>
                </c:pt>
                <c:pt idx="26">
                  <c:v>44228</c:v>
                </c:pt>
                <c:pt idx="27">
                  <c:v>44256</c:v>
                </c:pt>
                <c:pt idx="28">
                  <c:v>44287</c:v>
                </c:pt>
                <c:pt idx="29">
                  <c:v>44317</c:v>
                </c:pt>
                <c:pt idx="30">
                  <c:v>44348</c:v>
                </c:pt>
                <c:pt idx="31">
                  <c:v>44378</c:v>
                </c:pt>
                <c:pt idx="32">
                  <c:v>44409</c:v>
                </c:pt>
                <c:pt idx="33">
                  <c:v>44440</c:v>
                </c:pt>
                <c:pt idx="34">
                  <c:v>44470</c:v>
                </c:pt>
                <c:pt idx="35">
                  <c:v>44501</c:v>
                </c:pt>
                <c:pt idx="36">
                  <c:v>44531</c:v>
                </c:pt>
                <c:pt idx="37">
                  <c:v>44562</c:v>
                </c:pt>
                <c:pt idx="38">
                  <c:v>44593</c:v>
                </c:pt>
                <c:pt idx="39">
                  <c:v>44621</c:v>
                </c:pt>
                <c:pt idx="40">
                  <c:v>44652</c:v>
                </c:pt>
                <c:pt idx="41">
                  <c:v>44682</c:v>
                </c:pt>
                <c:pt idx="42">
                  <c:v>44713</c:v>
                </c:pt>
                <c:pt idx="43">
                  <c:v>44743</c:v>
                </c:pt>
                <c:pt idx="44">
                  <c:v>44774</c:v>
                </c:pt>
                <c:pt idx="45">
                  <c:v>44805</c:v>
                </c:pt>
                <c:pt idx="46">
                  <c:v>44835</c:v>
                </c:pt>
                <c:pt idx="47">
                  <c:v>44866</c:v>
                </c:pt>
                <c:pt idx="48">
                  <c:v>44896</c:v>
                </c:pt>
                <c:pt idx="49">
                  <c:v>44927</c:v>
                </c:pt>
                <c:pt idx="50">
                  <c:v>44958</c:v>
                </c:pt>
                <c:pt idx="51">
                  <c:v>44986</c:v>
                </c:pt>
                <c:pt idx="52">
                  <c:v>45017</c:v>
                </c:pt>
                <c:pt idx="53">
                  <c:v>45047</c:v>
                </c:pt>
                <c:pt idx="54">
                  <c:v>45078</c:v>
                </c:pt>
                <c:pt idx="55">
                  <c:v>45108</c:v>
                </c:pt>
                <c:pt idx="56">
                  <c:v>45139</c:v>
                </c:pt>
                <c:pt idx="57">
                  <c:v>45170</c:v>
                </c:pt>
                <c:pt idx="58">
                  <c:v>45200</c:v>
                </c:pt>
                <c:pt idx="59">
                  <c:v>45231</c:v>
                </c:pt>
                <c:pt idx="60">
                  <c:v>45261</c:v>
                </c:pt>
                <c:pt idx="61">
                  <c:v>45292</c:v>
                </c:pt>
                <c:pt idx="62">
                  <c:v>45323</c:v>
                </c:pt>
                <c:pt idx="63">
                  <c:v>45352</c:v>
                </c:pt>
                <c:pt idx="64">
                  <c:v>45383</c:v>
                </c:pt>
                <c:pt idx="65">
                  <c:v>45413</c:v>
                </c:pt>
                <c:pt idx="66">
                  <c:v>45444</c:v>
                </c:pt>
                <c:pt idx="67">
                  <c:v>45474</c:v>
                </c:pt>
                <c:pt idx="68">
                  <c:v>45505</c:v>
                </c:pt>
                <c:pt idx="69">
                  <c:v>45536</c:v>
                </c:pt>
                <c:pt idx="70">
                  <c:v>45566</c:v>
                </c:pt>
                <c:pt idx="71">
                  <c:v>45597</c:v>
                </c:pt>
                <c:pt idx="72">
                  <c:v>45627</c:v>
                </c:pt>
                <c:pt idx="73">
                  <c:v>45658</c:v>
                </c:pt>
                <c:pt idx="74">
                  <c:v>45689</c:v>
                </c:pt>
                <c:pt idx="75">
                  <c:v>45717</c:v>
                </c:pt>
                <c:pt idx="76">
                  <c:v>45748</c:v>
                </c:pt>
                <c:pt idx="77">
                  <c:v>45778</c:v>
                </c:pt>
                <c:pt idx="78">
                  <c:v>45809</c:v>
                </c:pt>
                <c:pt idx="79">
                  <c:v>45839</c:v>
                </c:pt>
                <c:pt idx="80">
                  <c:v>45870</c:v>
                </c:pt>
                <c:pt idx="81">
                  <c:v>45901</c:v>
                </c:pt>
                <c:pt idx="82">
                  <c:v>45931</c:v>
                </c:pt>
                <c:pt idx="83">
                  <c:v>45962</c:v>
                </c:pt>
                <c:pt idx="84">
                  <c:v>45992</c:v>
                </c:pt>
                <c:pt idx="85">
                  <c:v>46023</c:v>
                </c:pt>
                <c:pt idx="86">
                  <c:v>46054</c:v>
                </c:pt>
                <c:pt idx="87">
                  <c:v>46082</c:v>
                </c:pt>
                <c:pt idx="88">
                  <c:v>46113</c:v>
                </c:pt>
                <c:pt idx="89">
                  <c:v>46143</c:v>
                </c:pt>
                <c:pt idx="90">
                  <c:v>46174</c:v>
                </c:pt>
                <c:pt idx="91">
                  <c:v>46204</c:v>
                </c:pt>
                <c:pt idx="92">
                  <c:v>46235</c:v>
                </c:pt>
                <c:pt idx="93">
                  <c:v>46266</c:v>
                </c:pt>
                <c:pt idx="94">
                  <c:v>46296</c:v>
                </c:pt>
                <c:pt idx="95">
                  <c:v>46327</c:v>
                </c:pt>
                <c:pt idx="96">
                  <c:v>46357</c:v>
                </c:pt>
                <c:pt idx="97">
                  <c:v>46388</c:v>
                </c:pt>
                <c:pt idx="98">
                  <c:v>46419</c:v>
                </c:pt>
                <c:pt idx="99">
                  <c:v>46447</c:v>
                </c:pt>
                <c:pt idx="100">
                  <c:v>46478</c:v>
                </c:pt>
                <c:pt idx="101">
                  <c:v>46508</c:v>
                </c:pt>
                <c:pt idx="102">
                  <c:v>46539</c:v>
                </c:pt>
                <c:pt idx="103">
                  <c:v>46569</c:v>
                </c:pt>
                <c:pt idx="104">
                  <c:v>46600</c:v>
                </c:pt>
                <c:pt idx="105">
                  <c:v>46631</c:v>
                </c:pt>
                <c:pt idx="106">
                  <c:v>46661</c:v>
                </c:pt>
                <c:pt idx="107">
                  <c:v>46692</c:v>
                </c:pt>
                <c:pt idx="108">
                  <c:v>46722</c:v>
                </c:pt>
                <c:pt idx="109">
                  <c:v>46753</c:v>
                </c:pt>
                <c:pt idx="110">
                  <c:v>46784</c:v>
                </c:pt>
                <c:pt idx="111">
                  <c:v>46813</c:v>
                </c:pt>
                <c:pt idx="112">
                  <c:v>46844</c:v>
                </c:pt>
                <c:pt idx="113">
                  <c:v>46874</c:v>
                </c:pt>
                <c:pt idx="114">
                  <c:v>46905</c:v>
                </c:pt>
                <c:pt idx="115">
                  <c:v>46935</c:v>
                </c:pt>
                <c:pt idx="116">
                  <c:v>46966</c:v>
                </c:pt>
                <c:pt idx="117">
                  <c:v>46997</c:v>
                </c:pt>
                <c:pt idx="118">
                  <c:v>47027</c:v>
                </c:pt>
                <c:pt idx="119">
                  <c:v>47058</c:v>
                </c:pt>
                <c:pt idx="120">
                  <c:v>47088</c:v>
                </c:pt>
                <c:pt idx="121">
                  <c:v>47119</c:v>
                </c:pt>
                <c:pt idx="122">
                  <c:v>47150</c:v>
                </c:pt>
                <c:pt idx="123">
                  <c:v>47178</c:v>
                </c:pt>
                <c:pt idx="124">
                  <c:v>47209</c:v>
                </c:pt>
                <c:pt idx="125">
                  <c:v>47239</c:v>
                </c:pt>
                <c:pt idx="126">
                  <c:v>47270</c:v>
                </c:pt>
                <c:pt idx="127">
                  <c:v>47300</c:v>
                </c:pt>
                <c:pt idx="128">
                  <c:v>47331</c:v>
                </c:pt>
                <c:pt idx="129">
                  <c:v>47362</c:v>
                </c:pt>
                <c:pt idx="130">
                  <c:v>47392</c:v>
                </c:pt>
                <c:pt idx="131">
                  <c:v>47423</c:v>
                </c:pt>
                <c:pt idx="132">
                  <c:v>47453</c:v>
                </c:pt>
                <c:pt idx="133">
                  <c:v>47484</c:v>
                </c:pt>
                <c:pt idx="134">
                  <c:v>47515</c:v>
                </c:pt>
                <c:pt idx="135">
                  <c:v>47543</c:v>
                </c:pt>
                <c:pt idx="136">
                  <c:v>47574</c:v>
                </c:pt>
                <c:pt idx="137">
                  <c:v>47604</c:v>
                </c:pt>
                <c:pt idx="138">
                  <c:v>47635</c:v>
                </c:pt>
                <c:pt idx="139">
                  <c:v>47665</c:v>
                </c:pt>
                <c:pt idx="140">
                  <c:v>47696</c:v>
                </c:pt>
                <c:pt idx="141">
                  <c:v>47727</c:v>
                </c:pt>
                <c:pt idx="142">
                  <c:v>47757</c:v>
                </c:pt>
                <c:pt idx="143">
                  <c:v>47788</c:v>
                </c:pt>
                <c:pt idx="144">
                  <c:v>47818</c:v>
                </c:pt>
              </c:numCache>
            </c:numRef>
          </c:cat>
          <c:val>
            <c:numRef>
              <c:f>Overview!$I$3:$I$147</c:f>
              <c:numCache>
                <c:formatCode>_("$"* #,##0.00_);_("$"* \(#,##0.00\);_("$"* "-"??_);_(@_)</c:formatCode>
                <c:ptCount val="145"/>
                <c:pt idx="1">
                  <c:v>-88.6</c:v>
                </c:pt>
                <c:pt idx="2">
                  <c:v>-838.84999999999991</c:v>
                </c:pt>
                <c:pt idx="3">
                  <c:v>-230.60000000000002</c:v>
                </c:pt>
                <c:pt idx="4">
                  <c:v>-50</c:v>
                </c:pt>
                <c:pt idx="5">
                  <c:v>0</c:v>
                </c:pt>
                <c:pt idx="6">
                  <c:v>-98.48</c:v>
                </c:pt>
                <c:pt idx="7">
                  <c:v>-52.91</c:v>
                </c:pt>
                <c:pt idx="8">
                  <c:v>-47.41</c:v>
                </c:pt>
                <c:pt idx="9">
                  <c:v>-55.32</c:v>
                </c:pt>
                <c:pt idx="10">
                  <c:v>-51.96</c:v>
                </c:pt>
                <c:pt idx="11">
                  <c:v>-47.23</c:v>
                </c:pt>
                <c:pt idx="12">
                  <c:v>-47.08</c:v>
                </c:pt>
                <c:pt idx="13">
                  <c:v>-911.8900000000001</c:v>
                </c:pt>
                <c:pt idx="14">
                  <c:v>-49.38</c:v>
                </c:pt>
                <c:pt idx="15">
                  <c:v>-4.42</c:v>
                </c:pt>
                <c:pt idx="16">
                  <c:v>0</c:v>
                </c:pt>
                <c:pt idx="17">
                  <c:v>-44.1</c:v>
                </c:pt>
                <c:pt idx="18">
                  <c:v>-9.1</c:v>
                </c:pt>
                <c:pt idx="19">
                  <c:v>-461.56000000000006</c:v>
                </c:pt>
                <c:pt idx="20">
                  <c:v>-19.63</c:v>
                </c:pt>
                <c:pt idx="21">
                  <c:v>-35.31</c:v>
                </c:pt>
                <c:pt idx="22">
                  <c:v>-142.68</c:v>
                </c:pt>
                <c:pt idx="23">
                  <c:v>-116.25999999999999</c:v>
                </c:pt>
                <c:pt idx="24">
                  <c:v>-532.88</c:v>
                </c:pt>
                <c:pt idx="25">
                  <c:v>-898.61000000000013</c:v>
                </c:pt>
                <c:pt idx="26">
                  <c:v>-44.91</c:v>
                </c:pt>
                <c:pt idx="27">
                  <c:v>-88.27</c:v>
                </c:pt>
                <c:pt idx="28">
                  <c:v>-86.64</c:v>
                </c:pt>
                <c:pt idx="29">
                  <c:v>-111.89</c:v>
                </c:pt>
                <c:pt idx="30">
                  <c:v>-169.6</c:v>
                </c:pt>
                <c:pt idx="31">
                  <c:v>-59.71</c:v>
                </c:pt>
                <c:pt idx="32">
                  <c:v>-68.5</c:v>
                </c:pt>
                <c:pt idx="33">
                  <c:v>-71.77</c:v>
                </c:pt>
                <c:pt idx="34">
                  <c:v>-125.47999999999999</c:v>
                </c:pt>
                <c:pt idx="35">
                  <c:v>-158.33999999999997</c:v>
                </c:pt>
                <c:pt idx="36">
                  <c:v>-115.77000000000001</c:v>
                </c:pt>
                <c:pt idx="37">
                  <c:v>-115.52</c:v>
                </c:pt>
                <c:pt idx="38">
                  <c:v>-127.77000000000001</c:v>
                </c:pt>
                <c:pt idx="39">
                  <c:v>0</c:v>
                </c:pt>
                <c:pt idx="40">
                  <c:v>-210.48000000000002</c:v>
                </c:pt>
                <c:pt idx="41">
                  <c:v>-152.55000000000001</c:v>
                </c:pt>
                <c:pt idx="42">
                  <c:v>-149.49</c:v>
                </c:pt>
                <c:pt idx="43">
                  <c:v>-153.70000000000002</c:v>
                </c:pt>
                <c:pt idx="44">
                  <c:v>-105.36</c:v>
                </c:pt>
                <c:pt idx="45">
                  <c:v>-280.15000000000003</c:v>
                </c:pt>
                <c:pt idx="46">
                  <c:v>-151.67000000000002</c:v>
                </c:pt>
                <c:pt idx="47">
                  <c:v>-227.15</c:v>
                </c:pt>
                <c:pt idx="48">
                  <c:v>-715.42</c:v>
                </c:pt>
                <c:pt idx="49">
                  <c:v>-207.02</c:v>
                </c:pt>
                <c:pt idx="50">
                  <c:v>-127.23</c:v>
                </c:pt>
                <c:pt idx="51">
                  <c:v>-212.23000000000002</c:v>
                </c:pt>
                <c:pt idx="52">
                  <c:v>-317.80999999999995</c:v>
                </c:pt>
                <c:pt idx="53">
                  <c:v>-267.02</c:v>
                </c:pt>
                <c:pt idx="54">
                  <c:v>-101.82000000000001</c:v>
                </c:pt>
                <c:pt idx="55">
                  <c:v>-597.24</c:v>
                </c:pt>
                <c:pt idx="56">
                  <c:v>-203.31</c:v>
                </c:pt>
                <c:pt idx="57">
                  <c:v>-284.53999999999996</c:v>
                </c:pt>
                <c:pt idx="58">
                  <c:v>-142.98000000000002</c:v>
                </c:pt>
                <c:pt idx="59">
                  <c:v>-249.94</c:v>
                </c:pt>
                <c:pt idx="60">
                  <c:v>-392.59000000000003</c:v>
                </c:pt>
                <c:pt idx="61">
                  <c:v>-224.26</c:v>
                </c:pt>
                <c:pt idx="62">
                  <c:v>-52.29</c:v>
                </c:pt>
                <c:pt idx="63">
                  <c:v>-366.3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Overview!$J$2</c:f>
              <c:strCache>
                <c:ptCount val="1"/>
                <c:pt idx="0">
                  <c:v>Personal</c:v>
                </c:pt>
              </c:strCache>
            </c:strRef>
          </c:tx>
          <c:marker>
            <c:symbol val="none"/>
          </c:marker>
          <c:cat>
            <c:numRef>
              <c:f>Overview!$A$3:$A$147</c:f>
              <c:numCache>
                <c:formatCode>m/d/yyyy</c:formatCode>
                <c:ptCount val="145"/>
                <c:pt idx="1">
                  <c:v>43466</c:v>
                </c:pt>
                <c:pt idx="2">
                  <c:v>43497</c:v>
                </c:pt>
                <c:pt idx="3">
                  <c:v>43525</c:v>
                </c:pt>
                <c:pt idx="4">
                  <c:v>43556</c:v>
                </c:pt>
                <c:pt idx="5">
                  <c:v>43586</c:v>
                </c:pt>
                <c:pt idx="6">
                  <c:v>43617</c:v>
                </c:pt>
                <c:pt idx="7">
                  <c:v>43647</c:v>
                </c:pt>
                <c:pt idx="8">
                  <c:v>43678</c:v>
                </c:pt>
                <c:pt idx="9">
                  <c:v>43709</c:v>
                </c:pt>
                <c:pt idx="10">
                  <c:v>43739</c:v>
                </c:pt>
                <c:pt idx="11">
                  <c:v>43770</c:v>
                </c:pt>
                <c:pt idx="12">
                  <c:v>43800</c:v>
                </c:pt>
                <c:pt idx="13">
                  <c:v>43831</c:v>
                </c:pt>
                <c:pt idx="14">
                  <c:v>43862</c:v>
                </c:pt>
                <c:pt idx="15">
                  <c:v>43891</c:v>
                </c:pt>
                <c:pt idx="16">
                  <c:v>43922</c:v>
                </c:pt>
                <c:pt idx="17">
                  <c:v>43952</c:v>
                </c:pt>
                <c:pt idx="18">
                  <c:v>43983</c:v>
                </c:pt>
                <c:pt idx="19">
                  <c:v>44013</c:v>
                </c:pt>
                <c:pt idx="20">
                  <c:v>44044</c:v>
                </c:pt>
                <c:pt idx="21">
                  <c:v>44075</c:v>
                </c:pt>
                <c:pt idx="22">
                  <c:v>44105</c:v>
                </c:pt>
                <c:pt idx="23">
                  <c:v>44136</c:v>
                </c:pt>
                <c:pt idx="24">
                  <c:v>44166</c:v>
                </c:pt>
                <c:pt idx="25">
                  <c:v>44197</c:v>
                </c:pt>
                <c:pt idx="26">
                  <c:v>44228</c:v>
                </c:pt>
                <c:pt idx="27">
                  <c:v>44256</c:v>
                </c:pt>
                <c:pt idx="28">
                  <c:v>44287</c:v>
                </c:pt>
                <c:pt idx="29">
                  <c:v>44317</c:v>
                </c:pt>
                <c:pt idx="30">
                  <c:v>44348</c:v>
                </c:pt>
                <c:pt idx="31">
                  <c:v>44378</c:v>
                </c:pt>
                <c:pt idx="32">
                  <c:v>44409</c:v>
                </c:pt>
                <c:pt idx="33">
                  <c:v>44440</c:v>
                </c:pt>
                <c:pt idx="34">
                  <c:v>44470</c:v>
                </c:pt>
                <c:pt idx="35">
                  <c:v>44501</c:v>
                </c:pt>
                <c:pt idx="36">
                  <c:v>44531</c:v>
                </c:pt>
                <c:pt idx="37">
                  <c:v>44562</c:v>
                </c:pt>
                <c:pt idx="38">
                  <c:v>44593</c:v>
                </c:pt>
                <c:pt idx="39">
                  <c:v>44621</c:v>
                </c:pt>
                <c:pt idx="40">
                  <c:v>44652</c:v>
                </c:pt>
                <c:pt idx="41">
                  <c:v>44682</c:v>
                </c:pt>
                <c:pt idx="42">
                  <c:v>44713</c:v>
                </c:pt>
                <c:pt idx="43">
                  <c:v>44743</c:v>
                </c:pt>
                <c:pt idx="44">
                  <c:v>44774</c:v>
                </c:pt>
                <c:pt idx="45">
                  <c:v>44805</c:v>
                </c:pt>
                <c:pt idx="46">
                  <c:v>44835</c:v>
                </c:pt>
                <c:pt idx="47">
                  <c:v>44866</c:v>
                </c:pt>
                <c:pt idx="48">
                  <c:v>44896</c:v>
                </c:pt>
                <c:pt idx="49">
                  <c:v>44927</c:v>
                </c:pt>
                <c:pt idx="50">
                  <c:v>44958</c:v>
                </c:pt>
                <c:pt idx="51">
                  <c:v>44986</c:v>
                </c:pt>
                <c:pt idx="52">
                  <c:v>45017</c:v>
                </c:pt>
                <c:pt idx="53">
                  <c:v>45047</c:v>
                </c:pt>
                <c:pt idx="54">
                  <c:v>45078</c:v>
                </c:pt>
                <c:pt idx="55">
                  <c:v>45108</c:v>
                </c:pt>
                <c:pt idx="56">
                  <c:v>45139</c:v>
                </c:pt>
                <c:pt idx="57">
                  <c:v>45170</c:v>
                </c:pt>
                <c:pt idx="58">
                  <c:v>45200</c:v>
                </c:pt>
                <c:pt idx="59">
                  <c:v>45231</c:v>
                </c:pt>
                <c:pt idx="60">
                  <c:v>45261</c:v>
                </c:pt>
                <c:pt idx="61">
                  <c:v>45292</c:v>
                </c:pt>
                <c:pt idx="62">
                  <c:v>45323</c:v>
                </c:pt>
                <c:pt idx="63">
                  <c:v>45352</c:v>
                </c:pt>
                <c:pt idx="64">
                  <c:v>45383</c:v>
                </c:pt>
                <c:pt idx="65">
                  <c:v>45413</c:v>
                </c:pt>
                <c:pt idx="66">
                  <c:v>45444</c:v>
                </c:pt>
                <c:pt idx="67">
                  <c:v>45474</c:v>
                </c:pt>
                <c:pt idx="68">
                  <c:v>45505</c:v>
                </c:pt>
                <c:pt idx="69">
                  <c:v>45536</c:v>
                </c:pt>
                <c:pt idx="70">
                  <c:v>45566</c:v>
                </c:pt>
                <c:pt idx="71">
                  <c:v>45597</c:v>
                </c:pt>
                <c:pt idx="72">
                  <c:v>45627</c:v>
                </c:pt>
                <c:pt idx="73">
                  <c:v>45658</c:v>
                </c:pt>
                <c:pt idx="74">
                  <c:v>45689</c:v>
                </c:pt>
                <c:pt idx="75">
                  <c:v>45717</c:v>
                </c:pt>
                <c:pt idx="76">
                  <c:v>45748</c:v>
                </c:pt>
                <c:pt idx="77">
                  <c:v>45778</c:v>
                </c:pt>
                <c:pt idx="78">
                  <c:v>45809</c:v>
                </c:pt>
                <c:pt idx="79">
                  <c:v>45839</c:v>
                </c:pt>
                <c:pt idx="80">
                  <c:v>45870</c:v>
                </c:pt>
                <c:pt idx="81">
                  <c:v>45901</c:v>
                </c:pt>
                <c:pt idx="82">
                  <c:v>45931</c:v>
                </c:pt>
                <c:pt idx="83">
                  <c:v>45962</c:v>
                </c:pt>
                <c:pt idx="84">
                  <c:v>45992</c:v>
                </c:pt>
                <c:pt idx="85">
                  <c:v>46023</c:v>
                </c:pt>
                <c:pt idx="86">
                  <c:v>46054</c:v>
                </c:pt>
                <c:pt idx="87">
                  <c:v>46082</c:v>
                </c:pt>
                <c:pt idx="88">
                  <c:v>46113</c:v>
                </c:pt>
                <c:pt idx="89">
                  <c:v>46143</c:v>
                </c:pt>
                <c:pt idx="90">
                  <c:v>46174</c:v>
                </c:pt>
                <c:pt idx="91">
                  <c:v>46204</c:v>
                </c:pt>
                <c:pt idx="92">
                  <c:v>46235</c:v>
                </c:pt>
                <c:pt idx="93">
                  <c:v>46266</c:v>
                </c:pt>
                <c:pt idx="94">
                  <c:v>46296</c:v>
                </c:pt>
                <c:pt idx="95">
                  <c:v>46327</c:v>
                </c:pt>
                <c:pt idx="96">
                  <c:v>46357</c:v>
                </c:pt>
                <c:pt idx="97">
                  <c:v>46388</c:v>
                </c:pt>
                <c:pt idx="98">
                  <c:v>46419</c:v>
                </c:pt>
                <c:pt idx="99">
                  <c:v>46447</c:v>
                </c:pt>
                <c:pt idx="100">
                  <c:v>46478</c:v>
                </c:pt>
                <c:pt idx="101">
                  <c:v>46508</c:v>
                </c:pt>
                <c:pt idx="102">
                  <c:v>46539</c:v>
                </c:pt>
                <c:pt idx="103">
                  <c:v>46569</c:v>
                </c:pt>
                <c:pt idx="104">
                  <c:v>46600</c:v>
                </c:pt>
                <c:pt idx="105">
                  <c:v>46631</c:v>
                </c:pt>
                <c:pt idx="106">
                  <c:v>46661</c:v>
                </c:pt>
                <c:pt idx="107">
                  <c:v>46692</c:v>
                </c:pt>
                <c:pt idx="108">
                  <c:v>46722</c:v>
                </c:pt>
                <c:pt idx="109">
                  <c:v>46753</c:v>
                </c:pt>
                <c:pt idx="110">
                  <c:v>46784</c:v>
                </c:pt>
                <c:pt idx="111">
                  <c:v>46813</c:v>
                </c:pt>
                <c:pt idx="112">
                  <c:v>46844</c:v>
                </c:pt>
                <c:pt idx="113">
                  <c:v>46874</c:v>
                </c:pt>
                <c:pt idx="114">
                  <c:v>46905</c:v>
                </c:pt>
                <c:pt idx="115">
                  <c:v>46935</c:v>
                </c:pt>
                <c:pt idx="116">
                  <c:v>46966</c:v>
                </c:pt>
                <c:pt idx="117">
                  <c:v>46997</c:v>
                </c:pt>
                <c:pt idx="118">
                  <c:v>47027</c:v>
                </c:pt>
                <c:pt idx="119">
                  <c:v>47058</c:v>
                </c:pt>
                <c:pt idx="120">
                  <c:v>47088</c:v>
                </c:pt>
                <c:pt idx="121">
                  <c:v>47119</c:v>
                </c:pt>
                <c:pt idx="122">
                  <c:v>47150</c:v>
                </c:pt>
                <c:pt idx="123">
                  <c:v>47178</c:v>
                </c:pt>
                <c:pt idx="124">
                  <c:v>47209</c:v>
                </c:pt>
                <c:pt idx="125">
                  <c:v>47239</c:v>
                </c:pt>
                <c:pt idx="126">
                  <c:v>47270</c:v>
                </c:pt>
                <c:pt idx="127">
                  <c:v>47300</c:v>
                </c:pt>
                <c:pt idx="128">
                  <c:v>47331</c:v>
                </c:pt>
                <c:pt idx="129">
                  <c:v>47362</c:v>
                </c:pt>
                <c:pt idx="130">
                  <c:v>47392</c:v>
                </c:pt>
                <c:pt idx="131">
                  <c:v>47423</c:v>
                </c:pt>
                <c:pt idx="132">
                  <c:v>47453</c:v>
                </c:pt>
                <c:pt idx="133">
                  <c:v>47484</c:v>
                </c:pt>
                <c:pt idx="134">
                  <c:v>47515</c:v>
                </c:pt>
                <c:pt idx="135">
                  <c:v>47543</c:v>
                </c:pt>
                <c:pt idx="136">
                  <c:v>47574</c:v>
                </c:pt>
                <c:pt idx="137">
                  <c:v>47604</c:v>
                </c:pt>
                <c:pt idx="138">
                  <c:v>47635</c:v>
                </c:pt>
                <c:pt idx="139">
                  <c:v>47665</c:v>
                </c:pt>
                <c:pt idx="140">
                  <c:v>47696</c:v>
                </c:pt>
                <c:pt idx="141">
                  <c:v>47727</c:v>
                </c:pt>
                <c:pt idx="142">
                  <c:v>47757</c:v>
                </c:pt>
                <c:pt idx="143">
                  <c:v>47788</c:v>
                </c:pt>
                <c:pt idx="144">
                  <c:v>47818</c:v>
                </c:pt>
              </c:numCache>
            </c:numRef>
          </c:cat>
          <c:val>
            <c:numRef>
              <c:f>Overview!$J$3:$J$147</c:f>
              <c:numCache>
                <c:formatCode>_("$"* #,##0.00_);_("$"* \(#,##0.00\);_("$"* "-"??_);_(@_)</c:formatCode>
                <c:ptCount val="145"/>
                <c:pt idx="1">
                  <c:v>-55.5</c:v>
                </c:pt>
                <c:pt idx="2">
                  <c:v>0</c:v>
                </c:pt>
                <c:pt idx="3">
                  <c:v>-809.43999999999994</c:v>
                </c:pt>
                <c:pt idx="4">
                  <c:v>-29.22</c:v>
                </c:pt>
                <c:pt idx="5">
                  <c:v>-6.16</c:v>
                </c:pt>
                <c:pt idx="6">
                  <c:v>-350.57</c:v>
                </c:pt>
                <c:pt idx="7">
                  <c:v>40</c:v>
                </c:pt>
                <c:pt idx="8">
                  <c:v>-50.61</c:v>
                </c:pt>
                <c:pt idx="9">
                  <c:v>-26.05</c:v>
                </c:pt>
                <c:pt idx="10">
                  <c:v>-256.2</c:v>
                </c:pt>
                <c:pt idx="11">
                  <c:v>-84.600000000000009</c:v>
                </c:pt>
                <c:pt idx="12">
                  <c:v>-273.05</c:v>
                </c:pt>
                <c:pt idx="13">
                  <c:v>0</c:v>
                </c:pt>
                <c:pt idx="14">
                  <c:v>-55.05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-208.93</c:v>
                </c:pt>
                <c:pt idx="19">
                  <c:v>0</c:v>
                </c:pt>
                <c:pt idx="20">
                  <c:v>-925.68000000000006</c:v>
                </c:pt>
                <c:pt idx="21">
                  <c:v>-33.840000000000003</c:v>
                </c:pt>
                <c:pt idx="22">
                  <c:v>-250.56</c:v>
                </c:pt>
                <c:pt idx="23">
                  <c:v>-320.66000000000003</c:v>
                </c:pt>
                <c:pt idx="24">
                  <c:v>-194.42</c:v>
                </c:pt>
                <c:pt idx="25">
                  <c:v>-512.49</c:v>
                </c:pt>
                <c:pt idx="26">
                  <c:v>-751.4</c:v>
                </c:pt>
                <c:pt idx="27">
                  <c:v>-86.87</c:v>
                </c:pt>
                <c:pt idx="28">
                  <c:v>-39.869999999999997</c:v>
                </c:pt>
                <c:pt idx="29">
                  <c:v>-296.69</c:v>
                </c:pt>
                <c:pt idx="30">
                  <c:v>-108.50999999999999</c:v>
                </c:pt>
                <c:pt idx="31">
                  <c:v>1829.9099999999999</c:v>
                </c:pt>
                <c:pt idx="32">
                  <c:v>-81.02</c:v>
                </c:pt>
                <c:pt idx="33">
                  <c:v>-1325.69</c:v>
                </c:pt>
                <c:pt idx="34">
                  <c:v>-170.92000000000002</c:v>
                </c:pt>
                <c:pt idx="35">
                  <c:v>-39.06</c:v>
                </c:pt>
                <c:pt idx="36">
                  <c:v>-78.55</c:v>
                </c:pt>
                <c:pt idx="37">
                  <c:v>-169.84</c:v>
                </c:pt>
                <c:pt idx="38">
                  <c:v>-52.629999999999995</c:v>
                </c:pt>
                <c:pt idx="39">
                  <c:v>0</c:v>
                </c:pt>
                <c:pt idx="40">
                  <c:v>-388.63</c:v>
                </c:pt>
                <c:pt idx="41">
                  <c:v>-125.73</c:v>
                </c:pt>
                <c:pt idx="42">
                  <c:v>-68.8</c:v>
                </c:pt>
                <c:pt idx="43">
                  <c:v>-342.06000000000006</c:v>
                </c:pt>
                <c:pt idx="44">
                  <c:v>-213.21999999999997</c:v>
                </c:pt>
                <c:pt idx="45">
                  <c:v>-1032.28</c:v>
                </c:pt>
                <c:pt idx="46">
                  <c:v>-200</c:v>
                </c:pt>
                <c:pt idx="47">
                  <c:v>-90.48</c:v>
                </c:pt>
                <c:pt idx="48">
                  <c:v>-160.84</c:v>
                </c:pt>
                <c:pt idx="49">
                  <c:v>-382.01000000000005</c:v>
                </c:pt>
                <c:pt idx="50">
                  <c:v>-223.33</c:v>
                </c:pt>
                <c:pt idx="51">
                  <c:v>-36.89</c:v>
                </c:pt>
                <c:pt idx="52">
                  <c:v>-289.87</c:v>
                </c:pt>
                <c:pt idx="53">
                  <c:v>-533.30999999999995</c:v>
                </c:pt>
                <c:pt idx="54">
                  <c:v>-283.71000000000004</c:v>
                </c:pt>
                <c:pt idx="55">
                  <c:v>-119.63</c:v>
                </c:pt>
                <c:pt idx="56">
                  <c:v>-120.78999999999999</c:v>
                </c:pt>
                <c:pt idx="57">
                  <c:v>-104.77000000000001</c:v>
                </c:pt>
                <c:pt idx="58">
                  <c:v>-38.39</c:v>
                </c:pt>
                <c:pt idx="59">
                  <c:v>-125.4</c:v>
                </c:pt>
                <c:pt idx="60">
                  <c:v>-161.19</c:v>
                </c:pt>
                <c:pt idx="61">
                  <c:v>-60.09</c:v>
                </c:pt>
                <c:pt idx="62">
                  <c:v>-10.55</c:v>
                </c:pt>
                <c:pt idx="63">
                  <c:v>-155.10000000000002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Overview!$K$2</c:f>
              <c:strCache>
                <c:ptCount val="1"/>
                <c:pt idx="0">
                  <c:v>Education</c:v>
                </c:pt>
              </c:strCache>
            </c:strRef>
          </c:tx>
          <c:marker>
            <c:symbol val="none"/>
          </c:marker>
          <c:cat>
            <c:numRef>
              <c:f>Overview!$A$3:$A$147</c:f>
              <c:numCache>
                <c:formatCode>m/d/yyyy</c:formatCode>
                <c:ptCount val="145"/>
                <c:pt idx="1">
                  <c:v>43466</c:v>
                </c:pt>
                <c:pt idx="2">
                  <c:v>43497</c:v>
                </c:pt>
                <c:pt idx="3">
                  <c:v>43525</c:v>
                </c:pt>
                <c:pt idx="4">
                  <c:v>43556</c:v>
                </c:pt>
                <c:pt idx="5">
                  <c:v>43586</c:v>
                </c:pt>
                <c:pt idx="6">
                  <c:v>43617</c:v>
                </c:pt>
                <c:pt idx="7">
                  <c:v>43647</c:v>
                </c:pt>
                <c:pt idx="8">
                  <c:v>43678</c:v>
                </c:pt>
                <c:pt idx="9">
                  <c:v>43709</c:v>
                </c:pt>
                <c:pt idx="10">
                  <c:v>43739</c:v>
                </c:pt>
                <c:pt idx="11">
                  <c:v>43770</c:v>
                </c:pt>
                <c:pt idx="12">
                  <c:v>43800</c:v>
                </c:pt>
                <c:pt idx="13">
                  <c:v>43831</c:v>
                </c:pt>
                <c:pt idx="14">
                  <c:v>43862</c:v>
                </c:pt>
                <c:pt idx="15">
                  <c:v>43891</c:v>
                </c:pt>
                <c:pt idx="16">
                  <c:v>43922</c:v>
                </c:pt>
                <c:pt idx="17">
                  <c:v>43952</c:v>
                </c:pt>
                <c:pt idx="18">
                  <c:v>43983</c:v>
                </c:pt>
                <c:pt idx="19">
                  <c:v>44013</c:v>
                </c:pt>
                <c:pt idx="20">
                  <c:v>44044</c:v>
                </c:pt>
                <c:pt idx="21">
                  <c:v>44075</c:v>
                </c:pt>
                <c:pt idx="22">
                  <c:v>44105</c:v>
                </c:pt>
                <c:pt idx="23">
                  <c:v>44136</c:v>
                </c:pt>
                <c:pt idx="24">
                  <c:v>44166</c:v>
                </c:pt>
                <c:pt idx="25">
                  <c:v>44197</c:v>
                </c:pt>
                <c:pt idx="26">
                  <c:v>44228</c:v>
                </c:pt>
                <c:pt idx="27">
                  <c:v>44256</c:v>
                </c:pt>
                <c:pt idx="28">
                  <c:v>44287</c:v>
                </c:pt>
                <c:pt idx="29">
                  <c:v>44317</c:v>
                </c:pt>
                <c:pt idx="30">
                  <c:v>44348</c:v>
                </c:pt>
                <c:pt idx="31">
                  <c:v>44378</c:v>
                </c:pt>
                <c:pt idx="32">
                  <c:v>44409</c:v>
                </c:pt>
                <c:pt idx="33">
                  <c:v>44440</c:v>
                </c:pt>
                <c:pt idx="34">
                  <c:v>44470</c:v>
                </c:pt>
                <c:pt idx="35">
                  <c:v>44501</c:v>
                </c:pt>
                <c:pt idx="36">
                  <c:v>44531</c:v>
                </c:pt>
                <c:pt idx="37">
                  <c:v>44562</c:v>
                </c:pt>
                <c:pt idx="38">
                  <c:v>44593</c:v>
                </c:pt>
                <c:pt idx="39">
                  <c:v>44621</c:v>
                </c:pt>
                <c:pt idx="40">
                  <c:v>44652</c:v>
                </c:pt>
                <c:pt idx="41">
                  <c:v>44682</c:v>
                </c:pt>
                <c:pt idx="42">
                  <c:v>44713</c:v>
                </c:pt>
                <c:pt idx="43">
                  <c:v>44743</c:v>
                </c:pt>
                <c:pt idx="44">
                  <c:v>44774</c:v>
                </c:pt>
                <c:pt idx="45">
                  <c:v>44805</c:v>
                </c:pt>
                <c:pt idx="46">
                  <c:v>44835</c:v>
                </c:pt>
                <c:pt idx="47">
                  <c:v>44866</c:v>
                </c:pt>
                <c:pt idx="48">
                  <c:v>44896</c:v>
                </c:pt>
                <c:pt idx="49">
                  <c:v>44927</c:v>
                </c:pt>
                <c:pt idx="50">
                  <c:v>44958</c:v>
                </c:pt>
                <c:pt idx="51">
                  <c:v>44986</c:v>
                </c:pt>
                <c:pt idx="52">
                  <c:v>45017</c:v>
                </c:pt>
                <c:pt idx="53">
                  <c:v>45047</c:v>
                </c:pt>
                <c:pt idx="54">
                  <c:v>45078</c:v>
                </c:pt>
                <c:pt idx="55">
                  <c:v>45108</c:v>
                </c:pt>
                <c:pt idx="56">
                  <c:v>45139</c:v>
                </c:pt>
                <c:pt idx="57">
                  <c:v>45170</c:v>
                </c:pt>
                <c:pt idx="58">
                  <c:v>45200</c:v>
                </c:pt>
                <c:pt idx="59">
                  <c:v>45231</c:v>
                </c:pt>
                <c:pt idx="60">
                  <c:v>45261</c:v>
                </c:pt>
                <c:pt idx="61">
                  <c:v>45292</c:v>
                </c:pt>
                <c:pt idx="62">
                  <c:v>45323</c:v>
                </c:pt>
                <c:pt idx="63">
                  <c:v>45352</c:v>
                </c:pt>
                <c:pt idx="64">
                  <c:v>45383</c:v>
                </c:pt>
                <c:pt idx="65">
                  <c:v>45413</c:v>
                </c:pt>
                <c:pt idx="66">
                  <c:v>45444</c:v>
                </c:pt>
                <c:pt idx="67">
                  <c:v>45474</c:v>
                </c:pt>
                <c:pt idx="68">
                  <c:v>45505</c:v>
                </c:pt>
                <c:pt idx="69">
                  <c:v>45536</c:v>
                </c:pt>
                <c:pt idx="70">
                  <c:v>45566</c:v>
                </c:pt>
                <c:pt idx="71">
                  <c:v>45597</c:v>
                </c:pt>
                <c:pt idx="72">
                  <c:v>45627</c:v>
                </c:pt>
                <c:pt idx="73">
                  <c:v>45658</c:v>
                </c:pt>
                <c:pt idx="74">
                  <c:v>45689</c:v>
                </c:pt>
                <c:pt idx="75">
                  <c:v>45717</c:v>
                </c:pt>
                <c:pt idx="76">
                  <c:v>45748</c:v>
                </c:pt>
                <c:pt idx="77">
                  <c:v>45778</c:v>
                </c:pt>
                <c:pt idx="78">
                  <c:v>45809</c:v>
                </c:pt>
                <c:pt idx="79">
                  <c:v>45839</c:v>
                </c:pt>
                <c:pt idx="80">
                  <c:v>45870</c:v>
                </c:pt>
                <c:pt idx="81">
                  <c:v>45901</c:v>
                </c:pt>
                <c:pt idx="82">
                  <c:v>45931</c:v>
                </c:pt>
                <c:pt idx="83">
                  <c:v>45962</c:v>
                </c:pt>
                <c:pt idx="84">
                  <c:v>45992</c:v>
                </c:pt>
                <c:pt idx="85">
                  <c:v>46023</c:v>
                </c:pt>
                <c:pt idx="86">
                  <c:v>46054</c:v>
                </c:pt>
                <c:pt idx="87">
                  <c:v>46082</c:v>
                </c:pt>
                <c:pt idx="88">
                  <c:v>46113</c:v>
                </c:pt>
                <c:pt idx="89">
                  <c:v>46143</c:v>
                </c:pt>
                <c:pt idx="90">
                  <c:v>46174</c:v>
                </c:pt>
                <c:pt idx="91">
                  <c:v>46204</c:v>
                </c:pt>
                <c:pt idx="92">
                  <c:v>46235</c:v>
                </c:pt>
                <c:pt idx="93">
                  <c:v>46266</c:v>
                </c:pt>
                <c:pt idx="94">
                  <c:v>46296</c:v>
                </c:pt>
                <c:pt idx="95">
                  <c:v>46327</c:v>
                </c:pt>
                <c:pt idx="96">
                  <c:v>46357</c:v>
                </c:pt>
                <c:pt idx="97">
                  <c:v>46388</c:v>
                </c:pt>
                <c:pt idx="98">
                  <c:v>46419</c:v>
                </c:pt>
                <c:pt idx="99">
                  <c:v>46447</c:v>
                </c:pt>
                <c:pt idx="100">
                  <c:v>46478</c:v>
                </c:pt>
                <c:pt idx="101">
                  <c:v>46508</c:v>
                </c:pt>
                <c:pt idx="102">
                  <c:v>46539</c:v>
                </c:pt>
                <c:pt idx="103">
                  <c:v>46569</c:v>
                </c:pt>
                <c:pt idx="104">
                  <c:v>46600</c:v>
                </c:pt>
                <c:pt idx="105">
                  <c:v>46631</c:v>
                </c:pt>
                <c:pt idx="106">
                  <c:v>46661</c:v>
                </c:pt>
                <c:pt idx="107">
                  <c:v>46692</c:v>
                </c:pt>
                <c:pt idx="108">
                  <c:v>46722</c:v>
                </c:pt>
                <c:pt idx="109">
                  <c:v>46753</c:v>
                </c:pt>
                <c:pt idx="110">
                  <c:v>46784</c:v>
                </c:pt>
                <c:pt idx="111">
                  <c:v>46813</c:v>
                </c:pt>
                <c:pt idx="112">
                  <c:v>46844</c:v>
                </c:pt>
                <c:pt idx="113">
                  <c:v>46874</c:v>
                </c:pt>
                <c:pt idx="114">
                  <c:v>46905</c:v>
                </c:pt>
                <c:pt idx="115">
                  <c:v>46935</c:v>
                </c:pt>
                <c:pt idx="116">
                  <c:v>46966</c:v>
                </c:pt>
                <c:pt idx="117">
                  <c:v>46997</c:v>
                </c:pt>
                <c:pt idx="118">
                  <c:v>47027</c:v>
                </c:pt>
                <c:pt idx="119">
                  <c:v>47058</c:v>
                </c:pt>
                <c:pt idx="120">
                  <c:v>47088</c:v>
                </c:pt>
                <c:pt idx="121">
                  <c:v>47119</c:v>
                </c:pt>
                <c:pt idx="122">
                  <c:v>47150</c:v>
                </c:pt>
                <c:pt idx="123">
                  <c:v>47178</c:v>
                </c:pt>
                <c:pt idx="124">
                  <c:v>47209</c:v>
                </c:pt>
                <c:pt idx="125">
                  <c:v>47239</c:v>
                </c:pt>
                <c:pt idx="126">
                  <c:v>47270</c:v>
                </c:pt>
                <c:pt idx="127">
                  <c:v>47300</c:v>
                </c:pt>
                <c:pt idx="128">
                  <c:v>47331</c:v>
                </c:pt>
                <c:pt idx="129">
                  <c:v>47362</c:v>
                </c:pt>
                <c:pt idx="130">
                  <c:v>47392</c:v>
                </c:pt>
                <c:pt idx="131">
                  <c:v>47423</c:v>
                </c:pt>
                <c:pt idx="132">
                  <c:v>47453</c:v>
                </c:pt>
                <c:pt idx="133">
                  <c:v>47484</c:v>
                </c:pt>
                <c:pt idx="134">
                  <c:v>47515</c:v>
                </c:pt>
                <c:pt idx="135">
                  <c:v>47543</c:v>
                </c:pt>
                <c:pt idx="136">
                  <c:v>47574</c:v>
                </c:pt>
                <c:pt idx="137">
                  <c:v>47604</c:v>
                </c:pt>
                <c:pt idx="138">
                  <c:v>47635</c:v>
                </c:pt>
                <c:pt idx="139">
                  <c:v>47665</c:v>
                </c:pt>
                <c:pt idx="140">
                  <c:v>47696</c:v>
                </c:pt>
                <c:pt idx="141">
                  <c:v>47727</c:v>
                </c:pt>
                <c:pt idx="142">
                  <c:v>47757</c:v>
                </c:pt>
                <c:pt idx="143">
                  <c:v>47788</c:v>
                </c:pt>
                <c:pt idx="144">
                  <c:v>47818</c:v>
                </c:pt>
              </c:numCache>
            </c:numRef>
          </c:cat>
          <c:val>
            <c:numRef>
              <c:f>Overview!$K$3:$K$147</c:f>
              <c:numCache>
                <c:formatCode>_("$"* #,##0.00_);_("$"* \(#,##0.00\);_("$"* "-"??_);_(@_)</c:formatCode>
                <c:ptCount val="145"/>
                <c:pt idx="1">
                  <c:v>0</c:v>
                </c:pt>
                <c:pt idx="2">
                  <c:v>-4140.6000000000004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-897.47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Overview!$L$2</c:f>
              <c:strCache>
                <c:ptCount val="1"/>
                <c:pt idx="0">
                  <c:v>Investment</c:v>
                </c:pt>
              </c:strCache>
            </c:strRef>
          </c:tx>
          <c:marker>
            <c:symbol val="none"/>
          </c:marker>
          <c:cat>
            <c:numRef>
              <c:f>Overview!$A$3:$A$147</c:f>
              <c:numCache>
                <c:formatCode>m/d/yyyy</c:formatCode>
                <c:ptCount val="145"/>
                <c:pt idx="1">
                  <c:v>43466</c:v>
                </c:pt>
                <c:pt idx="2">
                  <c:v>43497</c:v>
                </c:pt>
                <c:pt idx="3">
                  <c:v>43525</c:v>
                </c:pt>
                <c:pt idx="4">
                  <c:v>43556</c:v>
                </c:pt>
                <c:pt idx="5">
                  <c:v>43586</c:v>
                </c:pt>
                <c:pt idx="6">
                  <c:v>43617</c:v>
                </c:pt>
                <c:pt idx="7">
                  <c:v>43647</c:v>
                </c:pt>
                <c:pt idx="8">
                  <c:v>43678</c:v>
                </c:pt>
                <c:pt idx="9">
                  <c:v>43709</c:v>
                </c:pt>
                <c:pt idx="10">
                  <c:v>43739</c:v>
                </c:pt>
                <c:pt idx="11">
                  <c:v>43770</c:v>
                </c:pt>
                <c:pt idx="12">
                  <c:v>43800</c:v>
                </c:pt>
                <c:pt idx="13">
                  <c:v>43831</c:v>
                </c:pt>
                <c:pt idx="14">
                  <c:v>43862</c:v>
                </c:pt>
                <c:pt idx="15">
                  <c:v>43891</c:v>
                </c:pt>
                <c:pt idx="16">
                  <c:v>43922</c:v>
                </c:pt>
                <c:pt idx="17">
                  <c:v>43952</c:v>
                </c:pt>
                <c:pt idx="18">
                  <c:v>43983</c:v>
                </c:pt>
                <c:pt idx="19">
                  <c:v>44013</c:v>
                </c:pt>
                <c:pt idx="20">
                  <c:v>44044</c:v>
                </c:pt>
                <c:pt idx="21">
                  <c:v>44075</c:v>
                </c:pt>
                <c:pt idx="22">
                  <c:v>44105</c:v>
                </c:pt>
                <c:pt idx="23">
                  <c:v>44136</c:v>
                </c:pt>
                <c:pt idx="24">
                  <c:v>44166</c:v>
                </c:pt>
                <c:pt idx="25">
                  <c:v>44197</c:v>
                </c:pt>
                <c:pt idx="26">
                  <c:v>44228</c:v>
                </c:pt>
                <c:pt idx="27">
                  <c:v>44256</c:v>
                </c:pt>
                <c:pt idx="28">
                  <c:v>44287</c:v>
                </c:pt>
                <c:pt idx="29">
                  <c:v>44317</c:v>
                </c:pt>
                <c:pt idx="30">
                  <c:v>44348</c:v>
                </c:pt>
                <c:pt idx="31">
                  <c:v>44378</c:v>
                </c:pt>
                <c:pt idx="32">
                  <c:v>44409</c:v>
                </c:pt>
                <c:pt idx="33">
                  <c:v>44440</c:v>
                </c:pt>
                <c:pt idx="34">
                  <c:v>44470</c:v>
                </c:pt>
                <c:pt idx="35">
                  <c:v>44501</c:v>
                </c:pt>
                <c:pt idx="36">
                  <c:v>44531</c:v>
                </c:pt>
                <c:pt idx="37">
                  <c:v>44562</c:v>
                </c:pt>
                <c:pt idx="38">
                  <c:v>44593</c:v>
                </c:pt>
                <c:pt idx="39">
                  <c:v>44621</c:v>
                </c:pt>
                <c:pt idx="40">
                  <c:v>44652</c:v>
                </c:pt>
                <c:pt idx="41">
                  <c:v>44682</c:v>
                </c:pt>
                <c:pt idx="42">
                  <c:v>44713</c:v>
                </c:pt>
                <c:pt idx="43">
                  <c:v>44743</c:v>
                </c:pt>
                <c:pt idx="44">
                  <c:v>44774</c:v>
                </c:pt>
                <c:pt idx="45">
                  <c:v>44805</c:v>
                </c:pt>
                <c:pt idx="46">
                  <c:v>44835</c:v>
                </c:pt>
                <c:pt idx="47">
                  <c:v>44866</c:v>
                </c:pt>
                <c:pt idx="48">
                  <c:v>44896</c:v>
                </c:pt>
                <c:pt idx="49">
                  <c:v>44927</c:v>
                </c:pt>
                <c:pt idx="50">
                  <c:v>44958</c:v>
                </c:pt>
                <c:pt idx="51">
                  <c:v>44986</c:v>
                </c:pt>
                <c:pt idx="52">
                  <c:v>45017</c:v>
                </c:pt>
                <c:pt idx="53">
                  <c:v>45047</c:v>
                </c:pt>
                <c:pt idx="54">
                  <c:v>45078</c:v>
                </c:pt>
                <c:pt idx="55">
                  <c:v>45108</c:v>
                </c:pt>
                <c:pt idx="56">
                  <c:v>45139</c:v>
                </c:pt>
                <c:pt idx="57">
                  <c:v>45170</c:v>
                </c:pt>
                <c:pt idx="58">
                  <c:v>45200</c:v>
                </c:pt>
                <c:pt idx="59">
                  <c:v>45231</c:v>
                </c:pt>
                <c:pt idx="60">
                  <c:v>45261</c:v>
                </c:pt>
                <c:pt idx="61">
                  <c:v>45292</c:v>
                </c:pt>
                <c:pt idx="62">
                  <c:v>45323</c:v>
                </c:pt>
                <c:pt idx="63">
                  <c:v>45352</c:v>
                </c:pt>
                <c:pt idx="64">
                  <c:v>45383</c:v>
                </c:pt>
                <c:pt idx="65">
                  <c:v>45413</c:v>
                </c:pt>
                <c:pt idx="66">
                  <c:v>45444</c:v>
                </c:pt>
                <c:pt idx="67">
                  <c:v>45474</c:v>
                </c:pt>
                <c:pt idx="68">
                  <c:v>45505</c:v>
                </c:pt>
                <c:pt idx="69">
                  <c:v>45536</c:v>
                </c:pt>
                <c:pt idx="70">
                  <c:v>45566</c:v>
                </c:pt>
                <c:pt idx="71">
                  <c:v>45597</c:v>
                </c:pt>
                <c:pt idx="72">
                  <c:v>45627</c:v>
                </c:pt>
                <c:pt idx="73">
                  <c:v>45658</c:v>
                </c:pt>
                <c:pt idx="74">
                  <c:v>45689</c:v>
                </c:pt>
                <c:pt idx="75">
                  <c:v>45717</c:v>
                </c:pt>
                <c:pt idx="76">
                  <c:v>45748</c:v>
                </c:pt>
                <c:pt idx="77">
                  <c:v>45778</c:v>
                </c:pt>
                <c:pt idx="78">
                  <c:v>45809</c:v>
                </c:pt>
                <c:pt idx="79">
                  <c:v>45839</c:v>
                </c:pt>
                <c:pt idx="80">
                  <c:v>45870</c:v>
                </c:pt>
                <c:pt idx="81">
                  <c:v>45901</c:v>
                </c:pt>
                <c:pt idx="82">
                  <c:v>45931</c:v>
                </c:pt>
                <c:pt idx="83">
                  <c:v>45962</c:v>
                </c:pt>
                <c:pt idx="84">
                  <c:v>45992</c:v>
                </c:pt>
                <c:pt idx="85">
                  <c:v>46023</c:v>
                </c:pt>
                <c:pt idx="86">
                  <c:v>46054</c:v>
                </c:pt>
                <c:pt idx="87">
                  <c:v>46082</c:v>
                </c:pt>
                <c:pt idx="88">
                  <c:v>46113</c:v>
                </c:pt>
                <c:pt idx="89">
                  <c:v>46143</c:v>
                </c:pt>
                <c:pt idx="90">
                  <c:v>46174</c:v>
                </c:pt>
                <c:pt idx="91">
                  <c:v>46204</c:v>
                </c:pt>
                <c:pt idx="92">
                  <c:v>46235</c:v>
                </c:pt>
                <c:pt idx="93">
                  <c:v>46266</c:v>
                </c:pt>
                <c:pt idx="94">
                  <c:v>46296</c:v>
                </c:pt>
                <c:pt idx="95">
                  <c:v>46327</c:v>
                </c:pt>
                <c:pt idx="96">
                  <c:v>46357</c:v>
                </c:pt>
                <c:pt idx="97">
                  <c:v>46388</c:v>
                </c:pt>
                <c:pt idx="98">
                  <c:v>46419</c:v>
                </c:pt>
                <c:pt idx="99">
                  <c:v>46447</c:v>
                </c:pt>
                <c:pt idx="100">
                  <c:v>46478</c:v>
                </c:pt>
                <c:pt idx="101">
                  <c:v>46508</c:v>
                </c:pt>
                <c:pt idx="102">
                  <c:v>46539</c:v>
                </c:pt>
                <c:pt idx="103">
                  <c:v>46569</c:v>
                </c:pt>
                <c:pt idx="104">
                  <c:v>46600</c:v>
                </c:pt>
                <c:pt idx="105">
                  <c:v>46631</c:v>
                </c:pt>
                <c:pt idx="106">
                  <c:v>46661</c:v>
                </c:pt>
                <c:pt idx="107">
                  <c:v>46692</c:v>
                </c:pt>
                <c:pt idx="108">
                  <c:v>46722</c:v>
                </c:pt>
                <c:pt idx="109">
                  <c:v>46753</c:v>
                </c:pt>
                <c:pt idx="110">
                  <c:v>46784</c:v>
                </c:pt>
                <c:pt idx="111">
                  <c:v>46813</c:v>
                </c:pt>
                <c:pt idx="112">
                  <c:v>46844</c:v>
                </c:pt>
                <c:pt idx="113">
                  <c:v>46874</c:v>
                </c:pt>
                <c:pt idx="114">
                  <c:v>46905</c:v>
                </c:pt>
                <c:pt idx="115">
                  <c:v>46935</c:v>
                </c:pt>
                <c:pt idx="116">
                  <c:v>46966</c:v>
                </c:pt>
                <c:pt idx="117">
                  <c:v>46997</c:v>
                </c:pt>
                <c:pt idx="118">
                  <c:v>47027</c:v>
                </c:pt>
                <c:pt idx="119">
                  <c:v>47058</c:v>
                </c:pt>
                <c:pt idx="120">
                  <c:v>47088</c:v>
                </c:pt>
                <c:pt idx="121">
                  <c:v>47119</c:v>
                </c:pt>
                <c:pt idx="122">
                  <c:v>47150</c:v>
                </c:pt>
                <c:pt idx="123">
                  <c:v>47178</c:v>
                </c:pt>
                <c:pt idx="124">
                  <c:v>47209</c:v>
                </c:pt>
                <c:pt idx="125">
                  <c:v>47239</c:v>
                </c:pt>
                <c:pt idx="126">
                  <c:v>47270</c:v>
                </c:pt>
                <c:pt idx="127">
                  <c:v>47300</c:v>
                </c:pt>
                <c:pt idx="128">
                  <c:v>47331</c:v>
                </c:pt>
                <c:pt idx="129">
                  <c:v>47362</c:v>
                </c:pt>
                <c:pt idx="130">
                  <c:v>47392</c:v>
                </c:pt>
                <c:pt idx="131">
                  <c:v>47423</c:v>
                </c:pt>
                <c:pt idx="132">
                  <c:v>47453</c:v>
                </c:pt>
                <c:pt idx="133">
                  <c:v>47484</c:v>
                </c:pt>
                <c:pt idx="134">
                  <c:v>47515</c:v>
                </c:pt>
                <c:pt idx="135">
                  <c:v>47543</c:v>
                </c:pt>
                <c:pt idx="136">
                  <c:v>47574</c:v>
                </c:pt>
                <c:pt idx="137">
                  <c:v>47604</c:v>
                </c:pt>
                <c:pt idx="138">
                  <c:v>47635</c:v>
                </c:pt>
                <c:pt idx="139">
                  <c:v>47665</c:v>
                </c:pt>
                <c:pt idx="140">
                  <c:v>47696</c:v>
                </c:pt>
                <c:pt idx="141">
                  <c:v>47727</c:v>
                </c:pt>
                <c:pt idx="142">
                  <c:v>47757</c:v>
                </c:pt>
                <c:pt idx="143">
                  <c:v>47788</c:v>
                </c:pt>
                <c:pt idx="144">
                  <c:v>47818</c:v>
                </c:pt>
              </c:numCache>
            </c:numRef>
          </c:cat>
          <c:val>
            <c:numRef>
              <c:f>Overview!$L$3:$L$147</c:f>
              <c:numCache>
                <c:formatCode>_("$"* #,##0.00_);_("$"* \(#,##0.00\);_("$"* "-"??_);_(@_)</c:formatCode>
                <c:ptCount val="14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-5000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-200</c:v>
                </c:pt>
                <c:pt idx="26">
                  <c:v>-47.430000000000007</c:v>
                </c:pt>
                <c:pt idx="27">
                  <c:v>0</c:v>
                </c:pt>
                <c:pt idx="28">
                  <c:v>-250</c:v>
                </c:pt>
                <c:pt idx="29">
                  <c:v>0</c:v>
                </c:pt>
                <c:pt idx="30">
                  <c:v>-250</c:v>
                </c:pt>
                <c:pt idx="31">
                  <c:v>0</c:v>
                </c:pt>
                <c:pt idx="32">
                  <c:v>0</c:v>
                </c:pt>
                <c:pt idx="33">
                  <c:v>-250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-500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-1500</c:v>
                </c:pt>
                <c:pt idx="56">
                  <c:v>-65000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-14650</c:v>
                </c:pt>
                <c:pt idx="62">
                  <c:v>-800</c:v>
                </c:pt>
                <c:pt idx="63">
                  <c:v>-1200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Overview!$M$2</c:f>
              <c:strCache>
                <c:ptCount val="1"/>
                <c:pt idx="0">
                  <c:v>Sports</c:v>
                </c:pt>
              </c:strCache>
            </c:strRef>
          </c:tx>
          <c:marker>
            <c:symbol val="none"/>
          </c:marker>
          <c:cat>
            <c:numRef>
              <c:f>Overview!$A$3:$A$147</c:f>
              <c:numCache>
                <c:formatCode>m/d/yyyy</c:formatCode>
                <c:ptCount val="145"/>
                <c:pt idx="1">
                  <c:v>43466</c:v>
                </c:pt>
                <c:pt idx="2">
                  <c:v>43497</c:v>
                </c:pt>
                <c:pt idx="3">
                  <c:v>43525</c:v>
                </c:pt>
                <c:pt idx="4">
                  <c:v>43556</c:v>
                </c:pt>
                <c:pt idx="5">
                  <c:v>43586</c:v>
                </c:pt>
                <c:pt idx="6">
                  <c:v>43617</c:v>
                </c:pt>
                <c:pt idx="7">
                  <c:v>43647</c:v>
                </c:pt>
                <c:pt idx="8">
                  <c:v>43678</c:v>
                </c:pt>
                <c:pt idx="9">
                  <c:v>43709</c:v>
                </c:pt>
                <c:pt idx="10">
                  <c:v>43739</c:v>
                </c:pt>
                <c:pt idx="11">
                  <c:v>43770</c:v>
                </c:pt>
                <c:pt idx="12">
                  <c:v>43800</c:v>
                </c:pt>
                <c:pt idx="13">
                  <c:v>43831</c:v>
                </c:pt>
                <c:pt idx="14">
                  <c:v>43862</c:v>
                </c:pt>
                <c:pt idx="15">
                  <c:v>43891</c:v>
                </c:pt>
                <c:pt idx="16">
                  <c:v>43922</c:v>
                </c:pt>
                <c:pt idx="17">
                  <c:v>43952</c:v>
                </c:pt>
                <c:pt idx="18">
                  <c:v>43983</c:v>
                </c:pt>
                <c:pt idx="19">
                  <c:v>44013</c:v>
                </c:pt>
                <c:pt idx="20">
                  <c:v>44044</c:v>
                </c:pt>
                <c:pt idx="21">
                  <c:v>44075</c:v>
                </c:pt>
                <c:pt idx="22">
                  <c:v>44105</c:v>
                </c:pt>
                <c:pt idx="23">
                  <c:v>44136</c:v>
                </c:pt>
                <c:pt idx="24">
                  <c:v>44166</c:v>
                </c:pt>
                <c:pt idx="25">
                  <c:v>44197</c:v>
                </c:pt>
                <c:pt idx="26">
                  <c:v>44228</c:v>
                </c:pt>
                <c:pt idx="27">
                  <c:v>44256</c:v>
                </c:pt>
                <c:pt idx="28">
                  <c:v>44287</c:v>
                </c:pt>
                <c:pt idx="29">
                  <c:v>44317</c:v>
                </c:pt>
                <c:pt idx="30">
                  <c:v>44348</c:v>
                </c:pt>
                <c:pt idx="31">
                  <c:v>44378</c:v>
                </c:pt>
                <c:pt idx="32">
                  <c:v>44409</c:v>
                </c:pt>
                <c:pt idx="33">
                  <c:v>44440</c:v>
                </c:pt>
                <c:pt idx="34">
                  <c:v>44470</c:v>
                </c:pt>
                <c:pt idx="35">
                  <c:v>44501</c:v>
                </c:pt>
                <c:pt idx="36">
                  <c:v>44531</c:v>
                </c:pt>
                <c:pt idx="37">
                  <c:v>44562</c:v>
                </c:pt>
                <c:pt idx="38">
                  <c:v>44593</c:v>
                </c:pt>
                <c:pt idx="39">
                  <c:v>44621</c:v>
                </c:pt>
                <c:pt idx="40">
                  <c:v>44652</c:v>
                </c:pt>
                <c:pt idx="41">
                  <c:v>44682</c:v>
                </c:pt>
                <c:pt idx="42">
                  <c:v>44713</c:v>
                </c:pt>
                <c:pt idx="43">
                  <c:v>44743</c:v>
                </c:pt>
                <c:pt idx="44">
                  <c:v>44774</c:v>
                </c:pt>
                <c:pt idx="45">
                  <c:v>44805</c:v>
                </c:pt>
                <c:pt idx="46">
                  <c:v>44835</c:v>
                </c:pt>
                <c:pt idx="47">
                  <c:v>44866</c:v>
                </c:pt>
                <c:pt idx="48">
                  <c:v>44896</c:v>
                </c:pt>
                <c:pt idx="49">
                  <c:v>44927</c:v>
                </c:pt>
                <c:pt idx="50">
                  <c:v>44958</c:v>
                </c:pt>
                <c:pt idx="51">
                  <c:v>44986</c:v>
                </c:pt>
                <c:pt idx="52">
                  <c:v>45017</c:v>
                </c:pt>
                <c:pt idx="53">
                  <c:v>45047</c:v>
                </c:pt>
                <c:pt idx="54">
                  <c:v>45078</c:v>
                </c:pt>
                <c:pt idx="55">
                  <c:v>45108</c:v>
                </c:pt>
                <c:pt idx="56">
                  <c:v>45139</c:v>
                </c:pt>
                <c:pt idx="57">
                  <c:v>45170</c:v>
                </c:pt>
                <c:pt idx="58">
                  <c:v>45200</c:v>
                </c:pt>
                <c:pt idx="59">
                  <c:v>45231</c:v>
                </c:pt>
                <c:pt idx="60">
                  <c:v>45261</c:v>
                </c:pt>
                <c:pt idx="61">
                  <c:v>45292</c:v>
                </c:pt>
                <c:pt idx="62">
                  <c:v>45323</c:v>
                </c:pt>
                <c:pt idx="63">
                  <c:v>45352</c:v>
                </c:pt>
                <c:pt idx="64">
                  <c:v>45383</c:v>
                </c:pt>
                <c:pt idx="65">
                  <c:v>45413</c:v>
                </c:pt>
                <c:pt idx="66">
                  <c:v>45444</c:v>
                </c:pt>
                <c:pt idx="67">
                  <c:v>45474</c:v>
                </c:pt>
                <c:pt idx="68">
                  <c:v>45505</c:v>
                </c:pt>
                <c:pt idx="69">
                  <c:v>45536</c:v>
                </c:pt>
                <c:pt idx="70">
                  <c:v>45566</c:v>
                </c:pt>
                <c:pt idx="71">
                  <c:v>45597</c:v>
                </c:pt>
                <c:pt idx="72">
                  <c:v>45627</c:v>
                </c:pt>
                <c:pt idx="73">
                  <c:v>45658</c:v>
                </c:pt>
                <c:pt idx="74">
                  <c:v>45689</c:v>
                </c:pt>
                <c:pt idx="75">
                  <c:v>45717</c:v>
                </c:pt>
                <c:pt idx="76">
                  <c:v>45748</c:v>
                </c:pt>
                <c:pt idx="77">
                  <c:v>45778</c:v>
                </c:pt>
                <c:pt idx="78">
                  <c:v>45809</c:v>
                </c:pt>
                <c:pt idx="79">
                  <c:v>45839</c:v>
                </c:pt>
                <c:pt idx="80">
                  <c:v>45870</c:v>
                </c:pt>
                <c:pt idx="81">
                  <c:v>45901</c:v>
                </c:pt>
                <c:pt idx="82">
                  <c:v>45931</c:v>
                </c:pt>
                <c:pt idx="83">
                  <c:v>45962</c:v>
                </c:pt>
                <c:pt idx="84">
                  <c:v>45992</c:v>
                </c:pt>
                <c:pt idx="85">
                  <c:v>46023</c:v>
                </c:pt>
                <c:pt idx="86">
                  <c:v>46054</c:v>
                </c:pt>
                <c:pt idx="87">
                  <c:v>46082</c:v>
                </c:pt>
                <c:pt idx="88">
                  <c:v>46113</c:v>
                </c:pt>
                <c:pt idx="89">
                  <c:v>46143</c:v>
                </c:pt>
                <c:pt idx="90">
                  <c:v>46174</c:v>
                </c:pt>
                <c:pt idx="91">
                  <c:v>46204</c:v>
                </c:pt>
                <c:pt idx="92">
                  <c:v>46235</c:v>
                </c:pt>
                <c:pt idx="93">
                  <c:v>46266</c:v>
                </c:pt>
                <c:pt idx="94">
                  <c:v>46296</c:v>
                </c:pt>
                <c:pt idx="95">
                  <c:v>46327</c:v>
                </c:pt>
                <c:pt idx="96">
                  <c:v>46357</c:v>
                </c:pt>
                <c:pt idx="97">
                  <c:v>46388</c:v>
                </c:pt>
                <c:pt idx="98">
                  <c:v>46419</c:v>
                </c:pt>
                <c:pt idx="99">
                  <c:v>46447</c:v>
                </c:pt>
                <c:pt idx="100">
                  <c:v>46478</c:v>
                </c:pt>
                <c:pt idx="101">
                  <c:v>46508</c:v>
                </c:pt>
                <c:pt idx="102">
                  <c:v>46539</c:v>
                </c:pt>
                <c:pt idx="103">
                  <c:v>46569</c:v>
                </c:pt>
                <c:pt idx="104">
                  <c:v>46600</c:v>
                </c:pt>
                <c:pt idx="105">
                  <c:v>46631</c:v>
                </c:pt>
                <c:pt idx="106">
                  <c:v>46661</c:v>
                </c:pt>
                <c:pt idx="107">
                  <c:v>46692</c:v>
                </c:pt>
                <c:pt idx="108">
                  <c:v>46722</c:v>
                </c:pt>
                <c:pt idx="109">
                  <c:v>46753</c:v>
                </c:pt>
                <c:pt idx="110">
                  <c:v>46784</c:v>
                </c:pt>
                <c:pt idx="111">
                  <c:v>46813</c:v>
                </c:pt>
                <c:pt idx="112">
                  <c:v>46844</c:v>
                </c:pt>
                <c:pt idx="113">
                  <c:v>46874</c:v>
                </c:pt>
                <c:pt idx="114">
                  <c:v>46905</c:v>
                </c:pt>
                <c:pt idx="115">
                  <c:v>46935</c:v>
                </c:pt>
                <c:pt idx="116">
                  <c:v>46966</c:v>
                </c:pt>
                <c:pt idx="117">
                  <c:v>46997</c:v>
                </c:pt>
                <c:pt idx="118">
                  <c:v>47027</c:v>
                </c:pt>
                <c:pt idx="119">
                  <c:v>47058</c:v>
                </c:pt>
                <c:pt idx="120">
                  <c:v>47088</c:v>
                </c:pt>
                <c:pt idx="121">
                  <c:v>47119</c:v>
                </c:pt>
                <c:pt idx="122">
                  <c:v>47150</c:v>
                </c:pt>
                <c:pt idx="123">
                  <c:v>47178</c:v>
                </c:pt>
                <c:pt idx="124">
                  <c:v>47209</c:v>
                </c:pt>
                <c:pt idx="125">
                  <c:v>47239</c:v>
                </c:pt>
                <c:pt idx="126">
                  <c:v>47270</c:v>
                </c:pt>
                <c:pt idx="127">
                  <c:v>47300</c:v>
                </c:pt>
                <c:pt idx="128">
                  <c:v>47331</c:v>
                </c:pt>
                <c:pt idx="129">
                  <c:v>47362</c:v>
                </c:pt>
                <c:pt idx="130">
                  <c:v>47392</c:v>
                </c:pt>
                <c:pt idx="131">
                  <c:v>47423</c:v>
                </c:pt>
                <c:pt idx="132">
                  <c:v>47453</c:v>
                </c:pt>
                <c:pt idx="133">
                  <c:v>47484</c:v>
                </c:pt>
                <c:pt idx="134">
                  <c:v>47515</c:v>
                </c:pt>
                <c:pt idx="135">
                  <c:v>47543</c:v>
                </c:pt>
                <c:pt idx="136">
                  <c:v>47574</c:v>
                </c:pt>
                <c:pt idx="137">
                  <c:v>47604</c:v>
                </c:pt>
                <c:pt idx="138">
                  <c:v>47635</c:v>
                </c:pt>
                <c:pt idx="139">
                  <c:v>47665</c:v>
                </c:pt>
                <c:pt idx="140">
                  <c:v>47696</c:v>
                </c:pt>
                <c:pt idx="141">
                  <c:v>47727</c:v>
                </c:pt>
                <c:pt idx="142">
                  <c:v>47757</c:v>
                </c:pt>
                <c:pt idx="143">
                  <c:v>47788</c:v>
                </c:pt>
                <c:pt idx="144">
                  <c:v>47818</c:v>
                </c:pt>
              </c:numCache>
            </c:numRef>
          </c:cat>
          <c:val>
            <c:numRef>
              <c:f>Overview!$M$3:$M$147</c:f>
              <c:numCache>
                <c:formatCode>_("$"* #,##0.00_);_("$"* \(#,##0.00\);_("$"* "-"??_);_(@_)</c:formatCode>
                <c:ptCount val="14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-148.80000000000001</c:v>
                </c:pt>
                <c:pt idx="32">
                  <c:v>0</c:v>
                </c:pt>
                <c:pt idx="33">
                  <c:v>0</c:v>
                </c:pt>
                <c:pt idx="34">
                  <c:v>-162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-84</c:v>
                </c:pt>
                <c:pt idx="40">
                  <c:v>-138.75</c:v>
                </c:pt>
                <c:pt idx="41">
                  <c:v>-210.88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-168.85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-90.6</c:v>
                </c:pt>
                <c:pt idx="51">
                  <c:v>0</c:v>
                </c:pt>
                <c:pt idx="52">
                  <c:v>-233.26</c:v>
                </c:pt>
                <c:pt idx="53">
                  <c:v>-199.27</c:v>
                </c:pt>
                <c:pt idx="54">
                  <c:v>0</c:v>
                </c:pt>
                <c:pt idx="55">
                  <c:v>-11.63</c:v>
                </c:pt>
                <c:pt idx="56">
                  <c:v>-115.5</c:v>
                </c:pt>
                <c:pt idx="57">
                  <c:v>-177.59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Overview!$N$2</c:f>
              <c:strCache>
                <c:ptCount val="1"/>
                <c:pt idx="0">
                  <c:v>Vacation</c:v>
                </c:pt>
              </c:strCache>
            </c:strRef>
          </c:tx>
          <c:marker>
            <c:symbol val="none"/>
          </c:marker>
          <c:cat>
            <c:numRef>
              <c:f>Overview!$A$3:$A$147</c:f>
              <c:numCache>
                <c:formatCode>m/d/yyyy</c:formatCode>
                <c:ptCount val="145"/>
                <c:pt idx="1">
                  <c:v>43466</c:v>
                </c:pt>
                <c:pt idx="2">
                  <c:v>43497</c:v>
                </c:pt>
                <c:pt idx="3">
                  <c:v>43525</c:v>
                </c:pt>
                <c:pt idx="4">
                  <c:v>43556</c:v>
                </c:pt>
                <c:pt idx="5">
                  <c:v>43586</c:v>
                </c:pt>
                <c:pt idx="6">
                  <c:v>43617</c:v>
                </c:pt>
                <c:pt idx="7">
                  <c:v>43647</c:v>
                </c:pt>
                <c:pt idx="8">
                  <c:v>43678</c:v>
                </c:pt>
                <c:pt idx="9">
                  <c:v>43709</c:v>
                </c:pt>
                <c:pt idx="10">
                  <c:v>43739</c:v>
                </c:pt>
                <c:pt idx="11">
                  <c:v>43770</c:v>
                </c:pt>
                <c:pt idx="12">
                  <c:v>43800</c:v>
                </c:pt>
                <c:pt idx="13">
                  <c:v>43831</c:v>
                </c:pt>
                <c:pt idx="14">
                  <c:v>43862</c:v>
                </c:pt>
                <c:pt idx="15">
                  <c:v>43891</c:v>
                </c:pt>
                <c:pt idx="16">
                  <c:v>43922</c:v>
                </c:pt>
                <c:pt idx="17">
                  <c:v>43952</c:v>
                </c:pt>
                <c:pt idx="18">
                  <c:v>43983</c:v>
                </c:pt>
                <c:pt idx="19">
                  <c:v>44013</c:v>
                </c:pt>
                <c:pt idx="20">
                  <c:v>44044</c:v>
                </c:pt>
                <c:pt idx="21">
                  <c:v>44075</c:v>
                </c:pt>
                <c:pt idx="22">
                  <c:v>44105</c:v>
                </c:pt>
                <c:pt idx="23">
                  <c:v>44136</c:v>
                </c:pt>
                <c:pt idx="24">
                  <c:v>44166</c:v>
                </c:pt>
                <c:pt idx="25">
                  <c:v>44197</c:v>
                </c:pt>
                <c:pt idx="26">
                  <c:v>44228</c:v>
                </c:pt>
                <c:pt idx="27">
                  <c:v>44256</c:v>
                </c:pt>
                <c:pt idx="28">
                  <c:v>44287</c:v>
                </c:pt>
                <c:pt idx="29">
                  <c:v>44317</c:v>
                </c:pt>
                <c:pt idx="30">
                  <c:v>44348</c:v>
                </c:pt>
                <c:pt idx="31">
                  <c:v>44378</c:v>
                </c:pt>
                <c:pt idx="32">
                  <c:v>44409</c:v>
                </c:pt>
                <c:pt idx="33">
                  <c:v>44440</c:v>
                </c:pt>
                <c:pt idx="34">
                  <c:v>44470</c:v>
                </c:pt>
                <c:pt idx="35">
                  <c:v>44501</c:v>
                </c:pt>
                <c:pt idx="36">
                  <c:v>44531</c:v>
                </c:pt>
                <c:pt idx="37">
                  <c:v>44562</c:v>
                </c:pt>
                <c:pt idx="38">
                  <c:v>44593</c:v>
                </c:pt>
                <c:pt idx="39">
                  <c:v>44621</c:v>
                </c:pt>
                <c:pt idx="40">
                  <c:v>44652</c:v>
                </c:pt>
                <c:pt idx="41">
                  <c:v>44682</c:v>
                </c:pt>
                <c:pt idx="42">
                  <c:v>44713</c:v>
                </c:pt>
                <c:pt idx="43">
                  <c:v>44743</c:v>
                </c:pt>
                <c:pt idx="44">
                  <c:v>44774</c:v>
                </c:pt>
                <c:pt idx="45">
                  <c:v>44805</c:v>
                </c:pt>
                <c:pt idx="46">
                  <c:v>44835</c:v>
                </c:pt>
                <c:pt idx="47">
                  <c:v>44866</c:v>
                </c:pt>
                <c:pt idx="48">
                  <c:v>44896</c:v>
                </c:pt>
                <c:pt idx="49">
                  <c:v>44927</c:v>
                </c:pt>
                <c:pt idx="50">
                  <c:v>44958</c:v>
                </c:pt>
                <c:pt idx="51">
                  <c:v>44986</c:v>
                </c:pt>
                <c:pt idx="52">
                  <c:v>45017</c:v>
                </c:pt>
                <c:pt idx="53">
                  <c:v>45047</c:v>
                </c:pt>
                <c:pt idx="54">
                  <c:v>45078</c:v>
                </c:pt>
                <c:pt idx="55">
                  <c:v>45108</c:v>
                </c:pt>
                <c:pt idx="56">
                  <c:v>45139</c:v>
                </c:pt>
                <c:pt idx="57">
                  <c:v>45170</c:v>
                </c:pt>
                <c:pt idx="58">
                  <c:v>45200</c:v>
                </c:pt>
                <c:pt idx="59">
                  <c:v>45231</c:v>
                </c:pt>
                <c:pt idx="60">
                  <c:v>45261</c:v>
                </c:pt>
                <c:pt idx="61">
                  <c:v>45292</c:v>
                </c:pt>
                <c:pt idx="62">
                  <c:v>45323</c:v>
                </c:pt>
                <c:pt idx="63">
                  <c:v>45352</c:v>
                </c:pt>
                <c:pt idx="64">
                  <c:v>45383</c:v>
                </c:pt>
                <c:pt idx="65">
                  <c:v>45413</c:v>
                </c:pt>
                <c:pt idx="66">
                  <c:v>45444</c:v>
                </c:pt>
                <c:pt idx="67">
                  <c:v>45474</c:v>
                </c:pt>
                <c:pt idx="68">
                  <c:v>45505</c:v>
                </c:pt>
                <c:pt idx="69">
                  <c:v>45536</c:v>
                </c:pt>
                <c:pt idx="70">
                  <c:v>45566</c:v>
                </c:pt>
                <c:pt idx="71">
                  <c:v>45597</c:v>
                </c:pt>
                <c:pt idx="72">
                  <c:v>45627</c:v>
                </c:pt>
                <c:pt idx="73">
                  <c:v>45658</c:v>
                </c:pt>
                <c:pt idx="74">
                  <c:v>45689</c:v>
                </c:pt>
                <c:pt idx="75">
                  <c:v>45717</c:v>
                </c:pt>
                <c:pt idx="76">
                  <c:v>45748</c:v>
                </c:pt>
                <c:pt idx="77">
                  <c:v>45778</c:v>
                </c:pt>
                <c:pt idx="78">
                  <c:v>45809</c:v>
                </c:pt>
                <c:pt idx="79">
                  <c:v>45839</c:v>
                </c:pt>
                <c:pt idx="80">
                  <c:v>45870</c:v>
                </c:pt>
                <c:pt idx="81">
                  <c:v>45901</c:v>
                </c:pt>
                <c:pt idx="82">
                  <c:v>45931</c:v>
                </c:pt>
                <c:pt idx="83">
                  <c:v>45962</c:v>
                </c:pt>
                <c:pt idx="84">
                  <c:v>45992</c:v>
                </c:pt>
                <c:pt idx="85">
                  <c:v>46023</c:v>
                </c:pt>
                <c:pt idx="86">
                  <c:v>46054</c:v>
                </c:pt>
                <c:pt idx="87">
                  <c:v>46082</c:v>
                </c:pt>
                <c:pt idx="88">
                  <c:v>46113</c:v>
                </c:pt>
                <c:pt idx="89">
                  <c:v>46143</c:v>
                </c:pt>
                <c:pt idx="90">
                  <c:v>46174</c:v>
                </c:pt>
                <c:pt idx="91">
                  <c:v>46204</c:v>
                </c:pt>
                <c:pt idx="92">
                  <c:v>46235</c:v>
                </c:pt>
                <c:pt idx="93">
                  <c:v>46266</c:v>
                </c:pt>
                <c:pt idx="94">
                  <c:v>46296</c:v>
                </c:pt>
                <c:pt idx="95">
                  <c:v>46327</c:v>
                </c:pt>
                <c:pt idx="96">
                  <c:v>46357</c:v>
                </c:pt>
                <c:pt idx="97">
                  <c:v>46388</c:v>
                </c:pt>
                <c:pt idx="98">
                  <c:v>46419</c:v>
                </c:pt>
                <c:pt idx="99">
                  <c:v>46447</c:v>
                </c:pt>
                <c:pt idx="100">
                  <c:v>46478</c:v>
                </c:pt>
                <c:pt idx="101">
                  <c:v>46508</c:v>
                </c:pt>
                <c:pt idx="102">
                  <c:v>46539</c:v>
                </c:pt>
                <c:pt idx="103">
                  <c:v>46569</c:v>
                </c:pt>
                <c:pt idx="104">
                  <c:v>46600</c:v>
                </c:pt>
                <c:pt idx="105">
                  <c:v>46631</c:v>
                </c:pt>
                <c:pt idx="106">
                  <c:v>46661</c:v>
                </c:pt>
                <c:pt idx="107">
                  <c:v>46692</c:v>
                </c:pt>
                <c:pt idx="108">
                  <c:v>46722</c:v>
                </c:pt>
                <c:pt idx="109">
                  <c:v>46753</c:v>
                </c:pt>
                <c:pt idx="110">
                  <c:v>46784</c:v>
                </c:pt>
                <c:pt idx="111">
                  <c:v>46813</c:v>
                </c:pt>
                <c:pt idx="112">
                  <c:v>46844</c:v>
                </c:pt>
                <c:pt idx="113">
                  <c:v>46874</c:v>
                </c:pt>
                <c:pt idx="114">
                  <c:v>46905</c:v>
                </c:pt>
                <c:pt idx="115">
                  <c:v>46935</c:v>
                </c:pt>
                <c:pt idx="116">
                  <c:v>46966</c:v>
                </c:pt>
                <c:pt idx="117">
                  <c:v>46997</c:v>
                </c:pt>
                <c:pt idx="118">
                  <c:v>47027</c:v>
                </c:pt>
                <c:pt idx="119">
                  <c:v>47058</c:v>
                </c:pt>
                <c:pt idx="120">
                  <c:v>47088</c:v>
                </c:pt>
                <c:pt idx="121">
                  <c:v>47119</c:v>
                </c:pt>
                <c:pt idx="122">
                  <c:v>47150</c:v>
                </c:pt>
                <c:pt idx="123">
                  <c:v>47178</c:v>
                </c:pt>
                <c:pt idx="124">
                  <c:v>47209</c:v>
                </c:pt>
                <c:pt idx="125">
                  <c:v>47239</c:v>
                </c:pt>
                <c:pt idx="126">
                  <c:v>47270</c:v>
                </c:pt>
                <c:pt idx="127">
                  <c:v>47300</c:v>
                </c:pt>
                <c:pt idx="128">
                  <c:v>47331</c:v>
                </c:pt>
                <c:pt idx="129">
                  <c:v>47362</c:v>
                </c:pt>
                <c:pt idx="130">
                  <c:v>47392</c:v>
                </c:pt>
                <c:pt idx="131">
                  <c:v>47423</c:v>
                </c:pt>
                <c:pt idx="132">
                  <c:v>47453</c:v>
                </c:pt>
                <c:pt idx="133">
                  <c:v>47484</c:v>
                </c:pt>
                <c:pt idx="134">
                  <c:v>47515</c:v>
                </c:pt>
                <c:pt idx="135">
                  <c:v>47543</c:v>
                </c:pt>
                <c:pt idx="136">
                  <c:v>47574</c:v>
                </c:pt>
                <c:pt idx="137">
                  <c:v>47604</c:v>
                </c:pt>
                <c:pt idx="138">
                  <c:v>47635</c:v>
                </c:pt>
                <c:pt idx="139">
                  <c:v>47665</c:v>
                </c:pt>
                <c:pt idx="140">
                  <c:v>47696</c:v>
                </c:pt>
                <c:pt idx="141">
                  <c:v>47727</c:v>
                </c:pt>
                <c:pt idx="142">
                  <c:v>47757</c:v>
                </c:pt>
                <c:pt idx="143">
                  <c:v>47788</c:v>
                </c:pt>
                <c:pt idx="144">
                  <c:v>47818</c:v>
                </c:pt>
              </c:numCache>
            </c:numRef>
          </c:cat>
          <c:val>
            <c:numRef>
              <c:f>Overview!$N$3:$N$147</c:f>
              <c:numCache>
                <c:formatCode>_("$"* #,##0.00_);_("$"* \(#,##0.00\);_("$"* "-"??_);_(@_)</c:formatCode>
                <c:ptCount val="14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-1547.6399999999999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-192.31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-3.16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-44.14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Overview!$O$2</c:f>
              <c:strCache>
                <c:ptCount val="1"/>
                <c:pt idx="0">
                  <c:v>Gifts</c:v>
                </c:pt>
              </c:strCache>
            </c:strRef>
          </c:tx>
          <c:marker>
            <c:symbol val="none"/>
          </c:marker>
          <c:cat>
            <c:numRef>
              <c:f>Overview!$A$3:$A$147</c:f>
              <c:numCache>
                <c:formatCode>m/d/yyyy</c:formatCode>
                <c:ptCount val="145"/>
                <c:pt idx="1">
                  <c:v>43466</c:v>
                </c:pt>
                <c:pt idx="2">
                  <c:v>43497</c:v>
                </c:pt>
                <c:pt idx="3">
                  <c:v>43525</c:v>
                </c:pt>
                <c:pt idx="4">
                  <c:v>43556</c:v>
                </c:pt>
                <c:pt idx="5">
                  <c:v>43586</c:v>
                </c:pt>
                <c:pt idx="6">
                  <c:v>43617</c:v>
                </c:pt>
                <c:pt idx="7">
                  <c:v>43647</c:v>
                </c:pt>
                <c:pt idx="8">
                  <c:v>43678</c:v>
                </c:pt>
                <c:pt idx="9">
                  <c:v>43709</c:v>
                </c:pt>
                <c:pt idx="10">
                  <c:v>43739</c:v>
                </c:pt>
                <c:pt idx="11">
                  <c:v>43770</c:v>
                </c:pt>
                <c:pt idx="12">
                  <c:v>43800</c:v>
                </c:pt>
                <c:pt idx="13">
                  <c:v>43831</c:v>
                </c:pt>
                <c:pt idx="14">
                  <c:v>43862</c:v>
                </c:pt>
                <c:pt idx="15">
                  <c:v>43891</c:v>
                </c:pt>
                <c:pt idx="16">
                  <c:v>43922</c:v>
                </c:pt>
                <c:pt idx="17">
                  <c:v>43952</c:v>
                </c:pt>
                <c:pt idx="18">
                  <c:v>43983</c:v>
                </c:pt>
                <c:pt idx="19">
                  <c:v>44013</c:v>
                </c:pt>
                <c:pt idx="20">
                  <c:v>44044</c:v>
                </c:pt>
                <c:pt idx="21">
                  <c:v>44075</c:v>
                </c:pt>
                <c:pt idx="22">
                  <c:v>44105</c:v>
                </c:pt>
                <c:pt idx="23">
                  <c:v>44136</c:v>
                </c:pt>
                <c:pt idx="24">
                  <c:v>44166</c:v>
                </c:pt>
                <c:pt idx="25">
                  <c:v>44197</c:v>
                </c:pt>
                <c:pt idx="26">
                  <c:v>44228</c:v>
                </c:pt>
                <c:pt idx="27">
                  <c:v>44256</c:v>
                </c:pt>
                <c:pt idx="28">
                  <c:v>44287</c:v>
                </c:pt>
                <c:pt idx="29">
                  <c:v>44317</c:v>
                </c:pt>
                <c:pt idx="30">
                  <c:v>44348</c:v>
                </c:pt>
                <c:pt idx="31">
                  <c:v>44378</c:v>
                </c:pt>
                <c:pt idx="32">
                  <c:v>44409</c:v>
                </c:pt>
                <c:pt idx="33">
                  <c:v>44440</c:v>
                </c:pt>
                <c:pt idx="34">
                  <c:v>44470</c:v>
                </c:pt>
                <c:pt idx="35">
                  <c:v>44501</c:v>
                </c:pt>
                <c:pt idx="36">
                  <c:v>44531</c:v>
                </c:pt>
                <c:pt idx="37">
                  <c:v>44562</c:v>
                </c:pt>
                <c:pt idx="38">
                  <c:v>44593</c:v>
                </c:pt>
                <c:pt idx="39">
                  <c:v>44621</c:v>
                </c:pt>
                <c:pt idx="40">
                  <c:v>44652</c:v>
                </c:pt>
                <c:pt idx="41">
                  <c:v>44682</c:v>
                </c:pt>
                <c:pt idx="42">
                  <c:v>44713</c:v>
                </c:pt>
                <c:pt idx="43">
                  <c:v>44743</c:v>
                </c:pt>
                <c:pt idx="44">
                  <c:v>44774</c:v>
                </c:pt>
                <c:pt idx="45">
                  <c:v>44805</c:v>
                </c:pt>
                <c:pt idx="46">
                  <c:v>44835</c:v>
                </c:pt>
                <c:pt idx="47">
                  <c:v>44866</c:v>
                </c:pt>
                <c:pt idx="48">
                  <c:v>44896</c:v>
                </c:pt>
                <c:pt idx="49">
                  <c:v>44927</c:v>
                </c:pt>
                <c:pt idx="50">
                  <c:v>44958</c:v>
                </c:pt>
                <c:pt idx="51">
                  <c:v>44986</c:v>
                </c:pt>
                <c:pt idx="52">
                  <c:v>45017</c:v>
                </c:pt>
                <c:pt idx="53">
                  <c:v>45047</c:v>
                </c:pt>
                <c:pt idx="54">
                  <c:v>45078</c:v>
                </c:pt>
                <c:pt idx="55">
                  <c:v>45108</c:v>
                </c:pt>
                <c:pt idx="56">
                  <c:v>45139</c:v>
                </c:pt>
                <c:pt idx="57">
                  <c:v>45170</c:v>
                </c:pt>
                <c:pt idx="58">
                  <c:v>45200</c:v>
                </c:pt>
                <c:pt idx="59">
                  <c:v>45231</c:v>
                </c:pt>
                <c:pt idx="60">
                  <c:v>45261</c:v>
                </c:pt>
                <c:pt idx="61">
                  <c:v>45292</c:v>
                </c:pt>
                <c:pt idx="62">
                  <c:v>45323</c:v>
                </c:pt>
                <c:pt idx="63">
                  <c:v>45352</c:v>
                </c:pt>
                <c:pt idx="64">
                  <c:v>45383</c:v>
                </c:pt>
                <c:pt idx="65">
                  <c:v>45413</c:v>
                </c:pt>
                <c:pt idx="66">
                  <c:v>45444</c:v>
                </c:pt>
                <c:pt idx="67">
                  <c:v>45474</c:v>
                </c:pt>
                <c:pt idx="68">
                  <c:v>45505</c:v>
                </c:pt>
                <c:pt idx="69">
                  <c:v>45536</c:v>
                </c:pt>
                <c:pt idx="70">
                  <c:v>45566</c:v>
                </c:pt>
                <c:pt idx="71">
                  <c:v>45597</c:v>
                </c:pt>
                <c:pt idx="72">
                  <c:v>45627</c:v>
                </c:pt>
                <c:pt idx="73">
                  <c:v>45658</c:v>
                </c:pt>
                <c:pt idx="74">
                  <c:v>45689</c:v>
                </c:pt>
                <c:pt idx="75">
                  <c:v>45717</c:v>
                </c:pt>
                <c:pt idx="76">
                  <c:v>45748</c:v>
                </c:pt>
                <c:pt idx="77">
                  <c:v>45778</c:v>
                </c:pt>
                <c:pt idx="78">
                  <c:v>45809</c:v>
                </c:pt>
                <c:pt idx="79">
                  <c:v>45839</c:v>
                </c:pt>
                <c:pt idx="80">
                  <c:v>45870</c:v>
                </c:pt>
                <c:pt idx="81">
                  <c:v>45901</c:v>
                </c:pt>
                <c:pt idx="82">
                  <c:v>45931</c:v>
                </c:pt>
                <c:pt idx="83">
                  <c:v>45962</c:v>
                </c:pt>
                <c:pt idx="84">
                  <c:v>45992</c:v>
                </c:pt>
                <c:pt idx="85">
                  <c:v>46023</c:v>
                </c:pt>
                <c:pt idx="86">
                  <c:v>46054</c:v>
                </c:pt>
                <c:pt idx="87">
                  <c:v>46082</c:v>
                </c:pt>
                <c:pt idx="88">
                  <c:v>46113</c:v>
                </c:pt>
                <c:pt idx="89">
                  <c:v>46143</c:v>
                </c:pt>
                <c:pt idx="90">
                  <c:v>46174</c:v>
                </c:pt>
                <c:pt idx="91">
                  <c:v>46204</c:v>
                </c:pt>
                <c:pt idx="92">
                  <c:v>46235</c:v>
                </c:pt>
                <c:pt idx="93">
                  <c:v>46266</c:v>
                </c:pt>
                <c:pt idx="94">
                  <c:v>46296</c:v>
                </c:pt>
                <c:pt idx="95">
                  <c:v>46327</c:v>
                </c:pt>
                <c:pt idx="96">
                  <c:v>46357</c:v>
                </c:pt>
                <c:pt idx="97">
                  <c:v>46388</c:v>
                </c:pt>
                <c:pt idx="98">
                  <c:v>46419</c:v>
                </c:pt>
                <c:pt idx="99">
                  <c:v>46447</c:v>
                </c:pt>
                <c:pt idx="100">
                  <c:v>46478</c:v>
                </c:pt>
                <c:pt idx="101">
                  <c:v>46508</c:v>
                </c:pt>
                <c:pt idx="102">
                  <c:v>46539</c:v>
                </c:pt>
                <c:pt idx="103">
                  <c:v>46569</c:v>
                </c:pt>
                <c:pt idx="104">
                  <c:v>46600</c:v>
                </c:pt>
                <c:pt idx="105">
                  <c:v>46631</c:v>
                </c:pt>
                <c:pt idx="106">
                  <c:v>46661</c:v>
                </c:pt>
                <c:pt idx="107">
                  <c:v>46692</c:v>
                </c:pt>
                <c:pt idx="108">
                  <c:v>46722</c:v>
                </c:pt>
                <c:pt idx="109">
                  <c:v>46753</c:v>
                </c:pt>
                <c:pt idx="110">
                  <c:v>46784</c:v>
                </c:pt>
                <c:pt idx="111">
                  <c:v>46813</c:v>
                </c:pt>
                <c:pt idx="112">
                  <c:v>46844</c:v>
                </c:pt>
                <c:pt idx="113">
                  <c:v>46874</c:v>
                </c:pt>
                <c:pt idx="114">
                  <c:v>46905</c:v>
                </c:pt>
                <c:pt idx="115">
                  <c:v>46935</c:v>
                </c:pt>
                <c:pt idx="116">
                  <c:v>46966</c:v>
                </c:pt>
                <c:pt idx="117">
                  <c:v>46997</c:v>
                </c:pt>
                <c:pt idx="118">
                  <c:v>47027</c:v>
                </c:pt>
                <c:pt idx="119">
                  <c:v>47058</c:v>
                </c:pt>
                <c:pt idx="120">
                  <c:v>47088</c:v>
                </c:pt>
                <c:pt idx="121">
                  <c:v>47119</c:v>
                </c:pt>
                <c:pt idx="122">
                  <c:v>47150</c:v>
                </c:pt>
                <c:pt idx="123">
                  <c:v>47178</c:v>
                </c:pt>
                <c:pt idx="124">
                  <c:v>47209</c:v>
                </c:pt>
                <c:pt idx="125">
                  <c:v>47239</c:v>
                </c:pt>
                <c:pt idx="126">
                  <c:v>47270</c:v>
                </c:pt>
                <c:pt idx="127">
                  <c:v>47300</c:v>
                </c:pt>
                <c:pt idx="128">
                  <c:v>47331</c:v>
                </c:pt>
                <c:pt idx="129">
                  <c:v>47362</c:v>
                </c:pt>
                <c:pt idx="130">
                  <c:v>47392</c:v>
                </c:pt>
                <c:pt idx="131">
                  <c:v>47423</c:v>
                </c:pt>
                <c:pt idx="132">
                  <c:v>47453</c:v>
                </c:pt>
                <c:pt idx="133">
                  <c:v>47484</c:v>
                </c:pt>
                <c:pt idx="134">
                  <c:v>47515</c:v>
                </c:pt>
                <c:pt idx="135">
                  <c:v>47543</c:v>
                </c:pt>
                <c:pt idx="136">
                  <c:v>47574</c:v>
                </c:pt>
                <c:pt idx="137">
                  <c:v>47604</c:v>
                </c:pt>
                <c:pt idx="138">
                  <c:v>47635</c:v>
                </c:pt>
                <c:pt idx="139">
                  <c:v>47665</c:v>
                </c:pt>
                <c:pt idx="140">
                  <c:v>47696</c:v>
                </c:pt>
                <c:pt idx="141">
                  <c:v>47727</c:v>
                </c:pt>
                <c:pt idx="142">
                  <c:v>47757</c:v>
                </c:pt>
                <c:pt idx="143">
                  <c:v>47788</c:v>
                </c:pt>
                <c:pt idx="144">
                  <c:v>47818</c:v>
                </c:pt>
              </c:numCache>
            </c:numRef>
          </c:cat>
          <c:val>
            <c:numRef>
              <c:f>Overview!$O$3:$O$147</c:f>
              <c:numCache>
                <c:formatCode>_("$"* #,##0.00_);_("$"* \(#,##0.00\);_("$"* "-"??_);_(@_)</c:formatCode>
                <c:ptCount val="14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-13.189999999999998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-36.75</c:v>
                </c:pt>
                <c:pt idx="34">
                  <c:v>0</c:v>
                </c:pt>
                <c:pt idx="35">
                  <c:v>-31.5</c:v>
                </c:pt>
                <c:pt idx="36">
                  <c:v>-74.529999999999987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-109.15</c:v>
                </c:pt>
                <c:pt idx="48">
                  <c:v>-34.96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-32.589999999999996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Overview!$S$2</c:f>
              <c:strCache>
                <c:ptCount val="1"/>
                <c:pt idx="0">
                  <c:v>Sasktel</c:v>
                </c:pt>
              </c:strCache>
            </c:strRef>
          </c:tx>
          <c:marker>
            <c:symbol val="none"/>
          </c:marker>
          <c:cat>
            <c:numRef>
              <c:f>Overview!$A$3:$A$147</c:f>
              <c:numCache>
                <c:formatCode>m/d/yyyy</c:formatCode>
                <c:ptCount val="145"/>
                <c:pt idx="1">
                  <c:v>43466</c:v>
                </c:pt>
                <c:pt idx="2">
                  <c:v>43497</c:v>
                </c:pt>
                <c:pt idx="3">
                  <c:v>43525</c:v>
                </c:pt>
                <c:pt idx="4">
                  <c:v>43556</c:v>
                </c:pt>
                <c:pt idx="5">
                  <c:v>43586</c:v>
                </c:pt>
                <c:pt idx="6">
                  <c:v>43617</c:v>
                </c:pt>
                <c:pt idx="7">
                  <c:v>43647</c:v>
                </c:pt>
                <c:pt idx="8">
                  <c:v>43678</c:v>
                </c:pt>
                <c:pt idx="9">
                  <c:v>43709</c:v>
                </c:pt>
                <c:pt idx="10">
                  <c:v>43739</c:v>
                </c:pt>
                <c:pt idx="11">
                  <c:v>43770</c:v>
                </c:pt>
                <c:pt idx="12">
                  <c:v>43800</c:v>
                </c:pt>
                <c:pt idx="13">
                  <c:v>43831</c:v>
                </c:pt>
                <c:pt idx="14">
                  <c:v>43862</c:v>
                </c:pt>
                <c:pt idx="15">
                  <c:v>43891</c:v>
                </c:pt>
                <c:pt idx="16">
                  <c:v>43922</c:v>
                </c:pt>
                <c:pt idx="17">
                  <c:v>43952</c:v>
                </c:pt>
                <c:pt idx="18">
                  <c:v>43983</c:v>
                </c:pt>
                <c:pt idx="19">
                  <c:v>44013</c:v>
                </c:pt>
                <c:pt idx="20">
                  <c:v>44044</c:v>
                </c:pt>
                <c:pt idx="21">
                  <c:v>44075</c:v>
                </c:pt>
                <c:pt idx="22">
                  <c:v>44105</c:v>
                </c:pt>
                <c:pt idx="23">
                  <c:v>44136</c:v>
                </c:pt>
                <c:pt idx="24">
                  <c:v>44166</c:v>
                </c:pt>
                <c:pt idx="25">
                  <c:v>44197</c:v>
                </c:pt>
                <c:pt idx="26">
                  <c:v>44228</c:v>
                </c:pt>
                <c:pt idx="27">
                  <c:v>44256</c:v>
                </c:pt>
                <c:pt idx="28">
                  <c:v>44287</c:v>
                </c:pt>
                <c:pt idx="29">
                  <c:v>44317</c:v>
                </c:pt>
                <c:pt idx="30">
                  <c:v>44348</c:v>
                </c:pt>
                <c:pt idx="31">
                  <c:v>44378</c:v>
                </c:pt>
                <c:pt idx="32">
                  <c:v>44409</c:v>
                </c:pt>
                <c:pt idx="33">
                  <c:v>44440</c:v>
                </c:pt>
                <c:pt idx="34">
                  <c:v>44470</c:v>
                </c:pt>
                <c:pt idx="35">
                  <c:v>44501</c:v>
                </c:pt>
                <c:pt idx="36">
                  <c:v>44531</c:v>
                </c:pt>
                <c:pt idx="37">
                  <c:v>44562</c:v>
                </c:pt>
                <c:pt idx="38">
                  <c:v>44593</c:v>
                </c:pt>
                <c:pt idx="39">
                  <c:v>44621</c:v>
                </c:pt>
                <c:pt idx="40">
                  <c:v>44652</c:v>
                </c:pt>
                <c:pt idx="41">
                  <c:v>44682</c:v>
                </c:pt>
                <c:pt idx="42">
                  <c:v>44713</c:v>
                </c:pt>
                <c:pt idx="43">
                  <c:v>44743</c:v>
                </c:pt>
                <c:pt idx="44">
                  <c:v>44774</c:v>
                </c:pt>
                <c:pt idx="45">
                  <c:v>44805</c:v>
                </c:pt>
                <c:pt idx="46">
                  <c:v>44835</c:v>
                </c:pt>
                <c:pt idx="47">
                  <c:v>44866</c:v>
                </c:pt>
                <c:pt idx="48">
                  <c:v>44896</c:v>
                </c:pt>
                <c:pt idx="49">
                  <c:v>44927</c:v>
                </c:pt>
                <c:pt idx="50">
                  <c:v>44958</c:v>
                </c:pt>
                <c:pt idx="51">
                  <c:v>44986</c:v>
                </c:pt>
                <c:pt idx="52">
                  <c:v>45017</c:v>
                </c:pt>
                <c:pt idx="53">
                  <c:v>45047</c:v>
                </c:pt>
                <c:pt idx="54">
                  <c:v>45078</c:v>
                </c:pt>
                <c:pt idx="55">
                  <c:v>45108</c:v>
                </c:pt>
                <c:pt idx="56">
                  <c:v>45139</c:v>
                </c:pt>
                <c:pt idx="57">
                  <c:v>45170</c:v>
                </c:pt>
                <c:pt idx="58">
                  <c:v>45200</c:v>
                </c:pt>
                <c:pt idx="59">
                  <c:v>45231</c:v>
                </c:pt>
                <c:pt idx="60">
                  <c:v>45261</c:v>
                </c:pt>
                <c:pt idx="61">
                  <c:v>45292</c:v>
                </c:pt>
                <c:pt idx="62">
                  <c:v>45323</c:v>
                </c:pt>
                <c:pt idx="63">
                  <c:v>45352</c:v>
                </c:pt>
                <c:pt idx="64">
                  <c:v>45383</c:v>
                </c:pt>
                <c:pt idx="65">
                  <c:v>45413</c:v>
                </c:pt>
                <c:pt idx="66">
                  <c:v>45444</c:v>
                </c:pt>
                <c:pt idx="67">
                  <c:v>45474</c:v>
                </c:pt>
                <c:pt idx="68">
                  <c:v>45505</c:v>
                </c:pt>
                <c:pt idx="69">
                  <c:v>45536</c:v>
                </c:pt>
                <c:pt idx="70">
                  <c:v>45566</c:v>
                </c:pt>
                <c:pt idx="71">
                  <c:v>45597</c:v>
                </c:pt>
                <c:pt idx="72">
                  <c:v>45627</c:v>
                </c:pt>
                <c:pt idx="73">
                  <c:v>45658</c:v>
                </c:pt>
                <c:pt idx="74">
                  <c:v>45689</c:v>
                </c:pt>
                <c:pt idx="75">
                  <c:v>45717</c:v>
                </c:pt>
                <c:pt idx="76">
                  <c:v>45748</c:v>
                </c:pt>
                <c:pt idx="77">
                  <c:v>45778</c:v>
                </c:pt>
                <c:pt idx="78">
                  <c:v>45809</c:v>
                </c:pt>
                <c:pt idx="79">
                  <c:v>45839</c:v>
                </c:pt>
                <c:pt idx="80">
                  <c:v>45870</c:v>
                </c:pt>
                <c:pt idx="81">
                  <c:v>45901</c:v>
                </c:pt>
                <c:pt idx="82">
                  <c:v>45931</c:v>
                </c:pt>
                <c:pt idx="83">
                  <c:v>45962</c:v>
                </c:pt>
                <c:pt idx="84">
                  <c:v>45992</c:v>
                </c:pt>
                <c:pt idx="85">
                  <c:v>46023</c:v>
                </c:pt>
                <c:pt idx="86">
                  <c:v>46054</c:v>
                </c:pt>
                <c:pt idx="87">
                  <c:v>46082</c:v>
                </c:pt>
                <c:pt idx="88">
                  <c:v>46113</c:v>
                </c:pt>
                <c:pt idx="89">
                  <c:v>46143</c:v>
                </c:pt>
                <c:pt idx="90">
                  <c:v>46174</c:v>
                </c:pt>
                <c:pt idx="91">
                  <c:v>46204</c:v>
                </c:pt>
                <c:pt idx="92">
                  <c:v>46235</c:v>
                </c:pt>
                <c:pt idx="93">
                  <c:v>46266</c:v>
                </c:pt>
                <c:pt idx="94">
                  <c:v>46296</c:v>
                </c:pt>
                <c:pt idx="95">
                  <c:v>46327</c:v>
                </c:pt>
                <c:pt idx="96">
                  <c:v>46357</c:v>
                </c:pt>
                <c:pt idx="97">
                  <c:v>46388</c:v>
                </c:pt>
                <c:pt idx="98">
                  <c:v>46419</c:v>
                </c:pt>
                <c:pt idx="99">
                  <c:v>46447</c:v>
                </c:pt>
                <c:pt idx="100">
                  <c:v>46478</c:v>
                </c:pt>
                <c:pt idx="101">
                  <c:v>46508</c:v>
                </c:pt>
                <c:pt idx="102">
                  <c:v>46539</c:v>
                </c:pt>
                <c:pt idx="103">
                  <c:v>46569</c:v>
                </c:pt>
                <c:pt idx="104">
                  <c:v>46600</c:v>
                </c:pt>
                <c:pt idx="105">
                  <c:v>46631</c:v>
                </c:pt>
                <c:pt idx="106">
                  <c:v>46661</c:v>
                </c:pt>
                <c:pt idx="107">
                  <c:v>46692</c:v>
                </c:pt>
                <c:pt idx="108">
                  <c:v>46722</c:v>
                </c:pt>
                <c:pt idx="109">
                  <c:v>46753</c:v>
                </c:pt>
                <c:pt idx="110">
                  <c:v>46784</c:v>
                </c:pt>
                <c:pt idx="111">
                  <c:v>46813</c:v>
                </c:pt>
                <c:pt idx="112">
                  <c:v>46844</c:v>
                </c:pt>
                <c:pt idx="113">
                  <c:v>46874</c:v>
                </c:pt>
                <c:pt idx="114">
                  <c:v>46905</c:v>
                </c:pt>
                <c:pt idx="115">
                  <c:v>46935</c:v>
                </c:pt>
                <c:pt idx="116">
                  <c:v>46966</c:v>
                </c:pt>
                <c:pt idx="117">
                  <c:v>46997</c:v>
                </c:pt>
                <c:pt idx="118">
                  <c:v>47027</c:v>
                </c:pt>
                <c:pt idx="119">
                  <c:v>47058</c:v>
                </c:pt>
                <c:pt idx="120">
                  <c:v>47088</c:v>
                </c:pt>
                <c:pt idx="121">
                  <c:v>47119</c:v>
                </c:pt>
                <c:pt idx="122">
                  <c:v>47150</c:v>
                </c:pt>
                <c:pt idx="123">
                  <c:v>47178</c:v>
                </c:pt>
                <c:pt idx="124">
                  <c:v>47209</c:v>
                </c:pt>
                <c:pt idx="125">
                  <c:v>47239</c:v>
                </c:pt>
                <c:pt idx="126">
                  <c:v>47270</c:v>
                </c:pt>
                <c:pt idx="127">
                  <c:v>47300</c:v>
                </c:pt>
                <c:pt idx="128">
                  <c:v>47331</c:v>
                </c:pt>
                <c:pt idx="129">
                  <c:v>47362</c:v>
                </c:pt>
                <c:pt idx="130">
                  <c:v>47392</c:v>
                </c:pt>
                <c:pt idx="131">
                  <c:v>47423</c:v>
                </c:pt>
                <c:pt idx="132">
                  <c:v>47453</c:v>
                </c:pt>
                <c:pt idx="133">
                  <c:v>47484</c:v>
                </c:pt>
                <c:pt idx="134">
                  <c:v>47515</c:v>
                </c:pt>
                <c:pt idx="135">
                  <c:v>47543</c:v>
                </c:pt>
                <c:pt idx="136">
                  <c:v>47574</c:v>
                </c:pt>
                <c:pt idx="137">
                  <c:v>47604</c:v>
                </c:pt>
                <c:pt idx="138">
                  <c:v>47635</c:v>
                </c:pt>
                <c:pt idx="139">
                  <c:v>47665</c:v>
                </c:pt>
                <c:pt idx="140">
                  <c:v>47696</c:v>
                </c:pt>
                <c:pt idx="141">
                  <c:v>47727</c:v>
                </c:pt>
                <c:pt idx="142">
                  <c:v>47757</c:v>
                </c:pt>
                <c:pt idx="143">
                  <c:v>47788</c:v>
                </c:pt>
                <c:pt idx="144">
                  <c:v>47818</c:v>
                </c:pt>
              </c:numCache>
            </c:numRef>
          </c:cat>
          <c:val>
            <c:numRef>
              <c:f>Overview!$S$3:$S$147</c:f>
              <c:numCache>
                <c:formatCode>_("$"* #,##0.00_);_("$"* \(#,##0.00\);_("$"* "-"??_);_(@_)</c:formatCode>
                <c:ptCount val="14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-65.94</c:v>
                </c:pt>
                <c:pt idx="16">
                  <c:v>-56.78</c:v>
                </c:pt>
                <c:pt idx="17">
                  <c:v>-56.78</c:v>
                </c:pt>
                <c:pt idx="18">
                  <c:v>-56.78</c:v>
                </c:pt>
                <c:pt idx="19">
                  <c:v>-56.78</c:v>
                </c:pt>
                <c:pt idx="20">
                  <c:v>-106.73</c:v>
                </c:pt>
                <c:pt idx="21">
                  <c:v>-56.78</c:v>
                </c:pt>
                <c:pt idx="22">
                  <c:v>-154.49</c:v>
                </c:pt>
                <c:pt idx="23">
                  <c:v>-117.78</c:v>
                </c:pt>
                <c:pt idx="24">
                  <c:v>-162.18</c:v>
                </c:pt>
                <c:pt idx="25">
                  <c:v>-117.78</c:v>
                </c:pt>
                <c:pt idx="26">
                  <c:v>-117.78</c:v>
                </c:pt>
                <c:pt idx="27">
                  <c:v>-117.78</c:v>
                </c:pt>
                <c:pt idx="28">
                  <c:v>-117.78</c:v>
                </c:pt>
                <c:pt idx="29">
                  <c:v>-117.78</c:v>
                </c:pt>
                <c:pt idx="30">
                  <c:v>-118.81</c:v>
                </c:pt>
                <c:pt idx="31">
                  <c:v>-118.81</c:v>
                </c:pt>
                <c:pt idx="32">
                  <c:v>-118.81</c:v>
                </c:pt>
                <c:pt idx="33">
                  <c:v>-124.36</c:v>
                </c:pt>
                <c:pt idx="34">
                  <c:v>-126.39</c:v>
                </c:pt>
                <c:pt idx="35">
                  <c:v>-124.36</c:v>
                </c:pt>
                <c:pt idx="36">
                  <c:v>-124.36</c:v>
                </c:pt>
                <c:pt idx="37">
                  <c:v>-124.36</c:v>
                </c:pt>
                <c:pt idx="38">
                  <c:v>-119.15</c:v>
                </c:pt>
                <c:pt idx="39">
                  <c:v>0</c:v>
                </c:pt>
                <c:pt idx="40">
                  <c:v>-244.63</c:v>
                </c:pt>
                <c:pt idx="41">
                  <c:v>-123.08</c:v>
                </c:pt>
                <c:pt idx="42">
                  <c:v>-138.09</c:v>
                </c:pt>
                <c:pt idx="43">
                  <c:v>-121.53</c:v>
                </c:pt>
                <c:pt idx="44">
                  <c:v>-165.93</c:v>
                </c:pt>
                <c:pt idx="45">
                  <c:v>-127.08</c:v>
                </c:pt>
                <c:pt idx="46">
                  <c:v>-177.03</c:v>
                </c:pt>
                <c:pt idx="47">
                  <c:v>-121.53</c:v>
                </c:pt>
                <c:pt idx="48">
                  <c:v>-121.53</c:v>
                </c:pt>
                <c:pt idx="49">
                  <c:v>-121.53</c:v>
                </c:pt>
                <c:pt idx="50">
                  <c:v>-177.03</c:v>
                </c:pt>
                <c:pt idx="51">
                  <c:v>-121.53</c:v>
                </c:pt>
                <c:pt idx="52">
                  <c:v>-143.73000000000002</c:v>
                </c:pt>
                <c:pt idx="53">
                  <c:v>-121.88</c:v>
                </c:pt>
                <c:pt idx="54">
                  <c:v>-154.95999999999998</c:v>
                </c:pt>
                <c:pt idx="55">
                  <c:v>-66.55</c:v>
                </c:pt>
                <c:pt idx="56">
                  <c:v>-276.67</c:v>
                </c:pt>
                <c:pt idx="57">
                  <c:v>-177.16</c:v>
                </c:pt>
                <c:pt idx="58">
                  <c:v>-202.22</c:v>
                </c:pt>
                <c:pt idx="59">
                  <c:v>-160.51</c:v>
                </c:pt>
                <c:pt idx="60">
                  <c:v>-182.70999999999998</c:v>
                </c:pt>
                <c:pt idx="61">
                  <c:v>-164.51999999999998</c:v>
                </c:pt>
                <c:pt idx="62">
                  <c:v>-160.26</c:v>
                </c:pt>
                <c:pt idx="63">
                  <c:v>-195.7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Overview!$T$2</c:f>
              <c:strCache>
                <c:ptCount val="1"/>
                <c:pt idx="0">
                  <c:v>Total Monthly</c:v>
                </c:pt>
              </c:strCache>
            </c:strRef>
          </c:tx>
          <c:marker>
            <c:symbol val="none"/>
          </c:marker>
          <c:cat>
            <c:numRef>
              <c:f>Overview!$A$3:$A$147</c:f>
              <c:numCache>
                <c:formatCode>m/d/yyyy</c:formatCode>
                <c:ptCount val="145"/>
                <c:pt idx="1">
                  <c:v>43466</c:v>
                </c:pt>
                <c:pt idx="2">
                  <c:v>43497</c:v>
                </c:pt>
                <c:pt idx="3">
                  <c:v>43525</c:v>
                </c:pt>
                <c:pt idx="4">
                  <c:v>43556</c:v>
                </c:pt>
                <c:pt idx="5">
                  <c:v>43586</c:v>
                </c:pt>
                <c:pt idx="6">
                  <c:v>43617</c:v>
                </c:pt>
                <c:pt idx="7">
                  <c:v>43647</c:v>
                </c:pt>
                <c:pt idx="8">
                  <c:v>43678</c:v>
                </c:pt>
                <c:pt idx="9">
                  <c:v>43709</c:v>
                </c:pt>
                <c:pt idx="10">
                  <c:v>43739</c:v>
                </c:pt>
                <c:pt idx="11">
                  <c:v>43770</c:v>
                </c:pt>
                <c:pt idx="12">
                  <c:v>43800</c:v>
                </c:pt>
                <c:pt idx="13">
                  <c:v>43831</c:v>
                </c:pt>
                <c:pt idx="14">
                  <c:v>43862</c:v>
                </c:pt>
                <c:pt idx="15">
                  <c:v>43891</c:v>
                </c:pt>
                <c:pt idx="16">
                  <c:v>43922</c:v>
                </c:pt>
                <c:pt idx="17">
                  <c:v>43952</c:v>
                </c:pt>
                <c:pt idx="18">
                  <c:v>43983</c:v>
                </c:pt>
                <c:pt idx="19">
                  <c:v>44013</c:v>
                </c:pt>
                <c:pt idx="20">
                  <c:v>44044</c:v>
                </c:pt>
                <c:pt idx="21">
                  <c:v>44075</c:v>
                </c:pt>
                <c:pt idx="22">
                  <c:v>44105</c:v>
                </c:pt>
                <c:pt idx="23">
                  <c:v>44136</c:v>
                </c:pt>
                <c:pt idx="24">
                  <c:v>44166</c:v>
                </c:pt>
                <c:pt idx="25">
                  <c:v>44197</c:v>
                </c:pt>
                <c:pt idx="26">
                  <c:v>44228</c:v>
                </c:pt>
                <c:pt idx="27">
                  <c:v>44256</c:v>
                </c:pt>
                <c:pt idx="28">
                  <c:v>44287</c:v>
                </c:pt>
                <c:pt idx="29">
                  <c:v>44317</c:v>
                </c:pt>
                <c:pt idx="30">
                  <c:v>44348</c:v>
                </c:pt>
                <c:pt idx="31">
                  <c:v>44378</c:v>
                </c:pt>
                <c:pt idx="32">
                  <c:v>44409</c:v>
                </c:pt>
                <c:pt idx="33">
                  <c:v>44440</c:v>
                </c:pt>
                <c:pt idx="34">
                  <c:v>44470</c:v>
                </c:pt>
                <c:pt idx="35">
                  <c:v>44501</c:v>
                </c:pt>
                <c:pt idx="36">
                  <c:v>44531</c:v>
                </c:pt>
                <c:pt idx="37">
                  <c:v>44562</c:v>
                </c:pt>
                <c:pt idx="38">
                  <c:v>44593</c:v>
                </c:pt>
                <c:pt idx="39">
                  <c:v>44621</c:v>
                </c:pt>
                <c:pt idx="40">
                  <c:v>44652</c:v>
                </c:pt>
                <c:pt idx="41">
                  <c:v>44682</c:v>
                </c:pt>
                <c:pt idx="42">
                  <c:v>44713</c:v>
                </c:pt>
                <c:pt idx="43">
                  <c:v>44743</c:v>
                </c:pt>
                <c:pt idx="44">
                  <c:v>44774</c:v>
                </c:pt>
                <c:pt idx="45">
                  <c:v>44805</c:v>
                </c:pt>
                <c:pt idx="46">
                  <c:v>44835</c:v>
                </c:pt>
                <c:pt idx="47">
                  <c:v>44866</c:v>
                </c:pt>
                <c:pt idx="48">
                  <c:v>44896</c:v>
                </c:pt>
                <c:pt idx="49">
                  <c:v>44927</c:v>
                </c:pt>
                <c:pt idx="50">
                  <c:v>44958</c:v>
                </c:pt>
                <c:pt idx="51">
                  <c:v>44986</c:v>
                </c:pt>
                <c:pt idx="52">
                  <c:v>45017</c:v>
                </c:pt>
                <c:pt idx="53">
                  <c:v>45047</c:v>
                </c:pt>
                <c:pt idx="54">
                  <c:v>45078</c:v>
                </c:pt>
                <c:pt idx="55">
                  <c:v>45108</c:v>
                </c:pt>
                <c:pt idx="56">
                  <c:v>45139</c:v>
                </c:pt>
                <c:pt idx="57">
                  <c:v>45170</c:v>
                </c:pt>
                <c:pt idx="58">
                  <c:v>45200</c:v>
                </c:pt>
                <c:pt idx="59">
                  <c:v>45231</c:v>
                </c:pt>
                <c:pt idx="60">
                  <c:v>45261</c:v>
                </c:pt>
                <c:pt idx="61">
                  <c:v>45292</c:v>
                </c:pt>
                <c:pt idx="62">
                  <c:v>45323</c:v>
                </c:pt>
                <c:pt idx="63">
                  <c:v>45352</c:v>
                </c:pt>
                <c:pt idx="64">
                  <c:v>45383</c:v>
                </c:pt>
                <c:pt idx="65">
                  <c:v>45413</c:v>
                </c:pt>
                <c:pt idx="66">
                  <c:v>45444</c:v>
                </c:pt>
                <c:pt idx="67">
                  <c:v>45474</c:v>
                </c:pt>
                <c:pt idx="68">
                  <c:v>45505</c:v>
                </c:pt>
                <c:pt idx="69">
                  <c:v>45536</c:v>
                </c:pt>
                <c:pt idx="70">
                  <c:v>45566</c:v>
                </c:pt>
                <c:pt idx="71">
                  <c:v>45597</c:v>
                </c:pt>
                <c:pt idx="72">
                  <c:v>45627</c:v>
                </c:pt>
                <c:pt idx="73">
                  <c:v>45658</c:v>
                </c:pt>
                <c:pt idx="74">
                  <c:v>45689</c:v>
                </c:pt>
                <c:pt idx="75">
                  <c:v>45717</c:v>
                </c:pt>
                <c:pt idx="76">
                  <c:v>45748</c:v>
                </c:pt>
                <c:pt idx="77">
                  <c:v>45778</c:v>
                </c:pt>
                <c:pt idx="78">
                  <c:v>45809</c:v>
                </c:pt>
                <c:pt idx="79">
                  <c:v>45839</c:v>
                </c:pt>
                <c:pt idx="80">
                  <c:v>45870</c:v>
                </c:pt>
                <c:pt idx="81">
                  <c:v>45901</c:v>
                </c:pt>
                <c:pt idx="82">
                  <c:v>45931</c:v>
                </c:pt>
                <c:pt idx="83">
                  <c:v>45962</c:v>
                </c:pt>
                <c:pt idx="84">
                  <c:v>45992</c:v>
                </c:pt>
                <c:pt idx="85">
                  <c:v>46023</c:v>
                </c:pt>
                <c:pt idx="86">
                  <c:v>46054</c:v>
                </c:pt>
                <c:pt idx="87">
                  <c:v>46082</c:v>
                </c:pt>
                <c:pt idx="88">
                  <c:v>46113</c:v>
                </c:pt>
                <c:pt idx="89">
                  <c:v>46143</c:v>
                </c:pt>
                <c:pt idx="90">
                  <c:v>46174</c:v>
                </c:pt>
                <c:pt idx="91">
                  <c:v>46204</c:v>
                </c:pt>
                <c:pt idx="92">
                  <c:v>46235</c:v>
                </c:pt>
                <c:pt idx="93">
                  <c:v>46266</c:v>
                </c:pt>
                <c:pt idx="94">
                  <c:v>46296</c:v>
                </c:pt>
                <c:pt idx="95">
                  <c:v>46327</c:v>
                </c:pt>
                <c:pt idx="96">
                  <c:v>46357</c:v>
                </c:pt>
                <c:pt idx="97">
                  <c:v>46388</c:v>
                </c:pt>
                <c:pt idx="98">
                  <c:v>46419</c:v>
                </c:pt>
                <c:pt idx="99">
                  <c:v>46447</c:v>
                </c:pt>
                <c:pt idx="100">
                  <c:v>46478</c:v>
                </c:pt>
                <c:pt idx="101">
                  <c:v>46508</c:v>
                </c:pt>
                <c:pt idx="102">
                  <c:v>46539</c:v>
                </c:pt>
                <c:pt idx="103">
                  <c:v>46569</c:v>
                </c:pt>
                <c:pt idx="104">
                  <c:v>46600</c:v>
                </c:pt>
                <c:pt idx="105">
                  <c:v>46631</c:v>
                </c:pt>
                <c:pt idx="106">
                  <c:v>46661</c:v>
                </c:pt>
                <c:pt idx="107">
                  <c:v>46692</c:v>
                </c:pt>
                <c:pt idx="108">
                  <c:v>46722</c:v>
                </c:pt>
                <c:pt idx="109">
                  <c:v>46753</c:v>
                </c:pt>
                <c:pt idx="110">
                  <c:v>46784</c:v>
                </c:pt>
                <c:pt idx="111">
                  <c:v>46813</c:v>
                </c:pt>
                <c:pt idx="112">
                  <c:v>46844</c:v>
                </c:pt>
                <c:pt idx="113">
                  <c:v>46874</c:v>
                </c:pt>
                <c:pt idx="114">
                  <c:v>46905</c:v>
                </c:pt>
                <c:pt idx="115">
                  <c:v>46935</c:v>
                </c:pt>
                <c:pt idx="116">
                  <c:v>46966</c:v>
                </c:pt>
                <c:pt idx="117">
                  <c:v>46997</c:v>
                </c:pt>
                <c:pt idx="118">
                  <c:v>47027</c:v>
                </c:pt>
                <c:pt idx="119">
                  <c:v>47058</c:v>
                </c:pt>
                <c:pt idx="120">
                  <c:v>47088</c:v>
                </c:pt>
                <c:pt idx="121">
                  <c:v>47119</c:v>
                </c:pt>
                <c:pt idx="122">
                  <c:v>47150</c:v>
                </c:pt>
                <c:pt idx="123">
                  <c:v>47178</c:v>
                </c:pt>
                <c:pt idx="124">
                  <c:v>47209</c:v>
                </c:pt>
                <c:pt idx="125">
                  <c:v>47239</c:v>
                </c:pt>
                <c:pt idx="126">
                  <c:v>47270</c:v>
                </c:pt>
                <c:pt idx="127">
                  <c:v>47300</c:v>
                </c:pt>
                <c:pt idx="128">
                  <c:v>47331</c:v>
                </c:pt>
                <c:pt idx="129">
                  <c:v>47362</c:v>
                </c:pt>
                <c:pt idx="130">
                  <c:v>47392</c:v>
                </c:pt>
                <c:pt idx="131">
                  <c:v>47423</c:v>
                </c:pt>
                <c:pt idx="132">
                  <c:v>47453</c:v>
                </c:pt>
                <c:pt idx="133">
                  <c:v>47484</c:v>
                </c:pt>
                <c:pt idx="134">
                  <c:v>47515</c:v>
                </c:pt>
                <c:pt idx="135">
                  <c:v>47543</c:v>
                </c:pt>
                <c:pt idx="136">
                  <c:v>47574</c:v>
                </c:pt>
                <c:pt idx="137">
                  <c:v>47604</c:v>
                </c:pt>
                <c:pt idx="138">
                  <c:v>47635</c:v>
                </c:pt>
                <c:pt idx="139">
                  <c:v>47665</c:v>
                </c:pt>
                <c:pt idx="140">
                  <c:v>47696</c:v>
                </c:pt>
                <c:pt idx="141">
                  <c:v>47727</c:v>
                </c:pt>
                <c:pt idx="142">
                  <c:v>47757</c:v>
                </c:pt>
                <c:pt idx="143">
                  <c:v>47788</c:v>
                </c:pt>
                <c:pt idx="144">
                  <c:v>47818</c:v>
                </c:pt>
              </c:numCache>
            </c:numRef>
          </c:cat>
          <c:val>
            <c:numRef>
              <c:f>Overview!$T$3:$T$147</c:f>
              <c:numCache>
                <c:formatCode>_("$"* #,##0.00_);_("$"* \(#,##0.00\);_("$"* "-"??_);_(@_)</c:formatCode>
                <c:ptCount val="145"/>
                <c:pt idx="0">
                  <c:v>11923.43</c:v>
                </c:pt>
                <c:pt idx="1">
                  <c:v>-331.44000000000005</c:v>
                </c:pt>
                <c:pt idx="2">
                  <c:v>-5150.43</c:v>
                </c:pt>
                <c:pt idx="3">
                  <c:v>-1165.6600000000001</c:v>
                </c:pt>
                <c:pt idx="4">
                  <c:v>14.36000000000007</c:v>
                </c:pt>
                <c:pt idx="5">
                  <c:v>2084.4299999999998</c:v>
                </c:pt>
                <c:pt idx="6">
                  <c:v>1680.1799999999992</c:v>
                </c:pt>
                <c:pt idx="7">
                  <c:v>-2277.9499999999998</c:v>
                </c:pt>
                <c:pt idx="8">
                  <c:v>2741.5000000000005</c:v>
                </c:pt>
                <c:pt idx="9">
                  <c:v>2980.8599999999997</c:v>
                </c:pt>
                <c:pt idx="10">
                  <c:v>4455.2099999999991</c:v>
                </c:pt>
                <c:pt idx="11">
                  <c:v>3830.9500000000016</c:v>
                </c:pt>
                <c:pt idx="12">
                  <c:v>1913.6399999999996</c:v>
                </c:pt>
                <c:pt idx="13">
                  <c:v>1129.2799999999995</c:v>
                </c:pt>
                <c:pt idx="14">
                  <c:v>2842.74</c:v>
                </c:pt>
                <c:pt idx="15">
                  <c:v>2861.1700000000005</c:v>
                </c:pt>
                <c:pt idx="16">
                  <c:v>9672.3100000000013</c:v>
                </c:pt>
                <c:pt idx="17">
                  <c:v>2650.9599999999991</c:v>
                </c:pt>
                <c:pt idx="18">
                  <c:v>2112.29</c:v>
                </c:pt>
                <c:pt idx="19">
                  <c:v>1622.1799999999996</c:v>
                </c:pt>
                <c:pt idx="20">
                  <c:v>289.06999999999977</c:v>
                </c:pt>
                <c:pt idx="21">
                  <c:v>3973.4199999999992</c:v>
                </c:pt>
                <c:pt idx="22">
                  <c:v>1587.0499999999997</c:v>
                </c:pt>
                <c:pt idx="23">
                  <c:v>920.16</c:v>
                </c:pt>
                <c:pt idx="24">
                  <c:v>1083.5999999999995</c:v>
                </c:pt>
                <c:pt idx="25">
                  <c:v>-50.400000000000553</c:v>
                </c:pt>
                <c:pt idx="26">
                  <c:v>1244.49</c:v>
                </c:pt>
                <c:pt idx="27">
                  <c:v>1764.5899999999997</c:v>
                </c:pt>
                <c:pt idx="28">
                  <c:v>755.70999999999913</c:v>
                </c:pt>
                <c:pt idx="29">
                  <c:v>5026.9900000000007</c:v>
                </c:pt>
                <c:pt idx="30">
                  <c:v>1165.5100000000004</c:v>
                </c:pt>
                <c:pt idx="31">
                  <c:v>1676.6099999999997</c:v>
                </c:pt>
                <c:pt idx="32">
                  <c:v>1798.8399999999988</c:v>
                </c:pt>
                <c:pt idx="33">
                  <c:v>190.92000000000147</c:v>
                </c:pt>
                <c:pt idx="34">
                  <c:v>1551.8200000000011</c:v>
                </c:pt>
                <c:pt idx="35">
                  <c:v>1330.6299999999987</c:v>
                </c:pt>
                <c:pt idx="36">
                  <c:v>1157.6399999999987</c:v>
                </c:pt>
                <c:pt idx="37">
                  <c:v>123.1599999999999</c:v>
                </c:pt>
                <c:pt idx="38">
                  <c:v>1922.2599999999995</c:v>
                </c:pt>
                <c:pt idx="39">
                  <c:v>-228.67999999999984</c:v>
                </c:pt>
                <c:pt idx="40">
                  <c:v>3161.5299999999979</c:v>
                </c:pt>
                <c:pt idx="41">
                  <c:v>996.55999999999972</c:v>
                </c:pt>
                <c:pt idx="42">
                  <c:v>3088.4699999999993</c:v>
                </c:pt>
                <c:pt idx="43">
                  <c:v>5422.5000000000009</c:v>
                </c:pt>
                <c:pt idx="44">
                  <c:v>506.38999999999874</c:v>
                </c:pt>
                <c:pt idx="45">
                  <c:v>-224.71000000000012</c:v>
                </c:pt>
                <c:pt idx="46">
                  <c:v>634.76000000000056</c:v>
                </c:pt>
                <c:pt idx="47">
                  <c:v>360.14000000000033</c:v>
                </c:pt>
                <c:pt idx="48">
                  <c:v>3645.3300000000017</c:v>
                </c:pt>
                <c:pt idx="49">
                  <c:v>240.61999999999989</c:v>
                </c:pt>
                <c:pt idx="50">
                  <c:v>10.809999999999739</c:v>
                </c:pt>
                <c:pt idx="51">
                  <c:v>-677.58</c:v>
                </c:pt>
                <c:pt idx="52">
                  <c:v>-790.74000000000024</c:v>
                </c:pt>
                <c:pt idx="53">
                  <c:v>4501.2</c:v>
                </c:pt>
                <c:pt idx="54">
                  <c:v>1699.3000000000006</c:v>
                </c:pt>
                <c:pt idx="55">
                  <c:v>-276.340000000001</c:v>
                </c:pt>
                <c:pt idx="56">
                  <c:v>-65811.329999999987</c:v>
                </c:pt>
                <c:pt idx="57">
                  <c:v>598.3099999999996</c:v>
                </c:pt>
                <c:pt idx="58">
                  <c:v>246.85000000000008</c:v>
                </c:pt>
                <c:pt idx="59">
                  <c:v>857.66000000000008</c:v>
                </c:pt>
                <c:pt idx="60">
                  <c:v>3184.2900000000031</c:v>
                </c:pt>
                <c:pt idx="61">
                  <c:v>-12467.349999999995</c:v>
                </c:pt>
                <c:pt idx="62">
                  <c:v>-293.22999999999979</c:v>
                </c:pt>
                <c:pt idx="63">
                  <c:v>-2406.5699999999993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75840"/>
        <c:axId val="240694016"/>
      </c:lineChart>
      <c:dateAx>
        <c:axId val="240675840"/>
        <c:scaling>
          <c:orientation val="minMax"/>
          <c:max val="45292"/>
        </c:scaling>
        <c:delete val="0"/>
        <c:axPos val="b"/>
        <c:majorGridlines/>
        <c:numFmt formatCode="mmmm\,\ yyyy" sourceLinked="0"/>
        <c:majorTickMark val="out"/>
        <c:minorTickMark val="none"/>
        <c:tickLblPos val="low"/>
        <c:crossAx val="240694016"/>
        <c:crosses val="autoZero"/>
        <c:auto val="0"/>
        <c:lblOffset val="100"/>
        <c:baseTimeUnit val="months"/>
        <c:minorUnit val="1"/>
        <c:minorTimeUnit val="months"/>
      </c:dateAx>
      <c:valAx>
        <c:axId val="240694016"/>
        <c:scaling>
          <c:orientation val="minMax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Amount</a:t>
                </a:r>
              </a:p>
            </c:rich>
          </c:tx>
          <c:overlay val="0"/>
        </c:title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2406758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Vehicle Per Month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59"/>
          <c:order val="0"/>
          <c:tx>
            <c:strRef>
              <c:f>Overview!$I$2</c:f>
              <c:strCache>
                <c:ptCount val="1"/>
                <c:pt idx="0">
                  <c:v>Vehicle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cat>
            <c:numRef>
              <c:f>Overview!$A$3:$A$147</c:f>
              <c:numCache>
                <c:formatCode>m/d/yyyy</c:formatCode>
                <c:ptCount val="145"/>
                <c:pt idx="1">
                  <c:v>43466</c:v>
                </c:pt>
                <c:pt idx="2">
                  <c:v>43497</c:v>
                </c:pt>
                <c:pt idx="3">
                  <c:v>43525</c:v>
                </c:pt>
                <c:pt idx="4">
                  <c:v>43556</c:v>
                </c:pt>
                <c:pt idx="5">
                  <c:v>43586</c:v>
                </c:pt>
                <c:pt idx="6">
                  <c:v>43617</c:v>
                </c:pt>
                <c:pt idx="7">
                  <c:v>43647</c:v>
                </c:pt>
                <c:pt idx="8">
                  <c:v>43678</c:v>
                </c:pt>
                <c:pt idx="9">
                  <c:v>43709</c:v>
                </c:pt>
                <c:pt idx="10">
                  <c:v>43739</c:v>
                </c:pt>
                <c:pt idx="11">
                  <c:v>43770</c:v>
                </c:pt>
                <c:pt idx="12">
                  <c:v>43800</c:v>
                </c:pt>
                <c:pt idx="13">
                  <c:v>43831</c:v>
                </c:pt>
                <c:pt idx="14">
                  <c:v>43862</c:v>
                </c:pt>
                <c:pt idx="15">
                  <c:v>43891</c:v>
                </c:pt>
                <c:pt idx="16">
                  <c:v>43922</c:v>
                </c:pt>
                <c:pt idx="17">
                  <c:v>43952</c:v>
                </c:pt>
                <c:pt idx="18">
                  <c:v>43983</c:v>
                </c:pt>
                <c:pt idx="19">
                  <c:v>44013</c:v>
                </c:pt>
                <c:pt idx="20">
                  <c:v>44044</c:v>
                </c:pt>
                <c:pt idx="21">
                  <c:v>44075</c:v>
                </c:pt>
                <c:pt idx="22">
                  <c:v>44105</c:v>
                </c:pt>
                <c:pt idx="23">
                  <c:v>44136</c:v>
                </c:pt>
                <c:pt idx="24">
                  <c:v>44166</c:v>
                </c:pt>
                <c:pt idx="25">
                  <c:v>44197</c:v>
                </c:pt>
                <c:pt idx="26">
                  <c:v>44228</c:v>
                </c:pt>
                <c:pt idx="27">
                  <c:v>44256</c:v>
                </c:pt>
                <c:pt idx="28">
                  <c:v>44287</c:v>
                </c:pt>
                <c:pt idx="29">
                  <c:v>44317</c:v>
                </c:pt>
                <c:pt idx="30">
                  <c:v>44348</c:v>
                </c:pt>
                <c:pt idx="31">
                  <c:v>44378</c:v>
                </c:pt>
                <c:pt idx="32">
                  <c:v>44409</c:v>
                </c:pt>
                <c:pt idx="33">
                  <c:v>44440</c:v>
                </c:pt>
                <c:pt idx="34">
                  <c:v>44470</c:v>
                </c:pt>
                <c:pt idx="35">
                  <c:v>44501</c:v>
                </c:pt>
                <c:pt idx="36">
                  <c:v>44531</c:v>
                </c:pt>
                <c:pt idx="37">
                  <c:v>44562</c:v>
                </c:pt>
                <c:pt idx="38">
                  <c:v>44593</c:v>
                </c:pt>
                <c:pt idx="39">
                  <c:v>44621</c:v>
                </c:pt>
                <c:pt idx="40">
                  <c:v>44652</c:v>
                </c:pt>
                <c:pt idx="41">
                  <c:v>44682</c:v>
                </c:pt>
                <c:pt idx="42">
                  <c:v>44713</c:v>
                </c:pt>
                <c:pt idx="43">
                  <c:v>44743</c:v>
                </c:pt>
                <c:pt idx="44">
                  <c:v>44774</c:v>
                </c:pt>
                <c:pt idx="45">
                  <c:v>44805</c:v>
                </c:pt>
                <c:pt idx="46">
                  <c:v>44835</c:v>
                </c:pt>
                <c:pt idx="47">
                  <c:v>44866</c:v>
                </c:pt>
                <c:pt idx="48">
                  <c:v>44896</c:v>
                </c:pt>
                <c:pt idx="49">
                  <c:v>44927</c:v>
                </c:pt>
                <c:pt idx="50">
                  <c:v>44958</c:v>
                </c:pt>
                <c:pt idx="51">
                  <c:v>44986</c:v>
                </c:pt>
                <c:pt idx="52">
                  <c:v>45017</c:v>
                </c:pt>
                <c:pt idx="53">
                  <c:v>45047</c:v>
                </c:pt>
                <c:pt idx="54">
                  <c:v>45078</c:v>
                </c:pt>
                <c:pt idx="55">
                  <c:v>45108</c:v>
                </c:pt>
                <c:pt idx="56">
                  <c:v>45139</c:v>
                </c:pt>
                <c:pt idx="57">
                  <c:v>45170</c:v>
                </c:pt>
                <c:pt idx="58">
                  <c:v>45200</c:v>
                </c:pt>
                <c:pt idx="59">
                  <c:v>45231</c:v>
                </c:pt>
                <c:pt idx="60">
                  <c:v>45261</c:v>
                </c:pt>
                <c:pt idx="61">
                  <c:v>45292</c:v>
                </c:pt>
                <c:pt idx="62">
                  <c:v>45323</c:v>
                </c:pt>
                <c:pt idx="63">
                  <c:v>45352</c:v>
                </c:pt>
                <c:pt idx="64">
                  <c:v>45383</c:v>
                </c:pt>
                <c:pt idx="65">
                  <c:v>45413</c:v>
                </c:pt>
                <c:pt idx="66">
                  <c:v>45444</c:v>
                </c:pt>
                <c:pt idx="67">
                  <c:v>45474</c:v>
                </c:pt>
                <c:pt idx="68">
                  <c:v>45505</c:v>
                </c:pt>
                <c:pt idx="69">
                  <c:v>45536</c:v>
                </c:pt>
                <c:pt idx="70">
                  <c:v>45566</c:v>
                </c:pt>
                <c:pt idx="71">
                  <c:v>45597</c:v>
                </c:pt>
                <c:pt idx="72">
                  <c:v>45627</c:v>
                </c:pt>
                <c:pt idx="73">
                  <c:v>45658</c:v>
                </c:pt>
                <c:pt idx="74">
                  <c:v>45689</c:v>
                </c:pt>
                <c:pt idx="75">
                  <c:v>45717</c:v>
                </c:pt>
                <c:pt idx="76">
                  <c:v>45748</c:v>
                </c:pt>
                <c:pt idx="77">
                  <c:v>45778</c:v>
                </c:pt>
                <c:pt idx="78">
                  <c:v>45809</c:v>
                </c:pt>
                <c:pt idx="79">
                  <c:v>45839</c:v>
                </c:pt>
                <c:pt idx="80">
                  <c:v>45870</c:v>
                </c:pt>
                <c:pt idx="81">
                  <c:v>45901</c:v>
                </c:pt>
                <c:pt idx="82">
                  <c:v>45931</c:v>
                </c:pt>
                <c:pt idx="83">
                  <c:v>45962</c:v>
                </c:pt>
                <c:pt idx="84">
                  <c:v>45992</c:v>
                </c:pt>
                <c:pt idx="85">
                  <c:v>46023</c:v>
                </c:pt>
                <c:pt idx="86">
                  <c:v>46054</c:v>
                </c:pt>
                <c:pt idx="87">
                  <c:v>46082</c:v>
                </c:pt>
                <c:pt idx="88">
                  <c:v>46113</c:v>
                </c:pt>
                <c:pt idx="89">
                  <c:v>46143</c:v>
                </c:pt>
                <c:pt idx="90">
                  <c:v>46174</c:v>
                </c:pt>
                <c:pt idx="91">
                  <c:v>46204</c:v>
                </c:pt>
                <c:pt idx="92">
                  <c:v>46235</c:v>
                </c:pt>
                <c:pt idx="93">
                  <c:v>46266</c:v>
                </c:pt>
                <c:pt idx="94">
                  <c:v>46296</c:v>
                </c:pt>
                <c:pt idx="95">
                  <c:v>46327</c:v>
                </c:pt>
                <c:pt idx="96">
                  <c:v>46357</c:v>
                </c:pt>
                <c:pt idx="97">
                  <c:v>46388</c:v>
                </c:pt>
                <c:pt idx="98">
                  <c:v>46419</c:v>
                </c:pt>
                <c:pt idx="99">
                  <c:v>46447</c:v>
                </c:pt>
                <c:pt idx="100">
                  <c:v>46478</c:v>
                </c:pt>
                <c:pt idx="101">
                  <c:v>46508</c:v>
                </c:pt>
                <c:pt idx="102">
                  <c:v>46539</c:v>
                </c:pt>
                <c:pt idx="103">
                  <c:v>46569</c:v>
                </c:pt>
                <c:pt idx="104">
                  <c:v>46600</c:v>
                </c:pt>
                <c:pt idx="105">
                  <c:v>46631</c:v>
                </c:pt>
                <c:pt idx="106">
                  <c:v>46661</c:v>
                </c:pt>
                <c:pt idx="107">
                  <c:v>46692</c:v>
                </c:pt>
                <c:pt idx="108">
                  <c:v>46722</c:v>
                </c:pt>
                <c:pt idx="109">
                  <c:v>46753</c:v>
                </c:pt>
                <c:pt idx="110">
                  <c:v>46784</c:v>
                </c:pt>
                <c:pt idx="111">
                  <c:v>46813</c:v>
                </c:pt>
                <c:pt idx="112">
                  <c:v>46844</c:v>
                </c:pt>
                <c:pt idx="113">
                  <c:v>46874</c:v>
                </c:pt>
                <c:pt idx="114">
                  <c:v>46905</c:v>
                </c:pt>
                <c:pt idx="115">
                  <c:v>46935</c:v>
                </c:pt>
                <c:pt idx="116">
                  <c:v>46966</c:v>
                </c:pt>
                <c:pt idx="117">
                  <c:v>46997</c:v>
                </c:pt>
                <c:pt idx="118">
                  <c:v>47027</c:v>
                </c:pt>
                <c:pt idx="119">
                  <c:v>47058</c:v>
                </c:pt>
                <c:pt idx="120">
                  <c:v>47088</c:v>
                </c:pt>
                <c:pt idx="121">
                  <c:v>47119</c:v>
                </c:pt>
                <c:pt idx="122">
                  <c:v>47150</c:v>
                </c:pt>
                <c:pt idx="123">
                  <c:v>47178</c:v>
                </c:pt>
                <c:pt idx="124">
                  <c:v>47209</c:v>
                </c:pt>
                <c:pt idx="125">
                  <c:v>47239</c:v>
                </c:pt>
                <c:pt idx="126">
                  <c:v>47270</c:v>
                </c:pt>
                <c:pt idx="127">
                  <c:v>47300</c:v>
                </c:pt>
                <c:pt idx="128">
                  <c:v>47331</c:v>
                </c:pt>
                <c:pt idx="129">
                  <c:v>47362</c:v>
                </c:pt>
                <c:pt idx="130">
                  <c:v>47392</c:v>
                </c:pt>
                <c:pt idx="131">
                  <c:v>47423</c:v>
                </c:pt>
                <c:pt idx="132">
                  <c:v>47453</c:v>
                </c:pt>
                <c:pt idx="133">
                  <c:v>47484</c:v>
                </c:pt>
                <c:pt idx="134">
                  <c:v>47515</c:v>
                </c:pt>
                <c:pt idx="135">
                  <c:v>47543</c:v>
                </c:pt>
                <c:pt idx="136">
                  <c:v>47574</c:v>
                </c:pt>
                <c:pt idx="137">
                  <c:v>47604</c:v>
                </c:pt>
                <c:pt idx="138">
                  <c:v>47635</c:v>
                </c:pt>
                <c:pt idx="139">
                  <c:v>47665</c:v>
                </c:pt>
                <c:pt idx="140">
                  <c:v>47696</c:v>
                </c:pt>
                <c:pt idx="141">
                  <c:v>47727</c:v>
                </c:pt>
                <c:pt idx="142">
                  <c:v>47757</c:v>
                </c:pt>
                <c:pt idx="143">
                  <c:v>47788</c:v>
                </c:pt>
                <c:pt idx="144">
                  <c:v>47818</c:v>
                </c:pt>
              </c:numCache>
            </c:numRef>
          </c:cat>
          <c:val>
            <c:numRef>
              <c:f>Overview!$I$3:$I$147</c:f>
              <c:numCache>
                <c:formatCode>_("$"* #,##0.00_);_("$"* \(#,##0.00\);_("$"* "-"??_);_(@_)</c:formatCode>
                <c:ptCount val="145"/>
                <c:pt idx="1">
                  <c:v>-88.6</c:v>
                </c:pt>
                <c:pt idx="2">
                  <c:v>-838.84999999999991</c:v>
                </c:pt>
                <c:pt idx="3">
                  <c:v>-230.60000000000002</c:v>
                </c:pt>
                <c:pt idx="4">
                  <c:v>-50</c:v>
                </c:pt>
                <c:pt idx="5">
                  <c:v>0</c:v>
                </c:pt>
                <c:pt idx="6">
                  <c:v>-98.48</c:v>
                </c:pt>
                <c:pt idx="7">
                  <c:v>-52.91</c:v>
                </c:pt>
                <c:pt idx="8">
                  <c:v>-47.41</c:v>
                </c:pt>
                <c:pt idx="9">
                  <c:v>-55.32</c:v>
                </c:pt>
                <c:pt idx="10">
                  <c:v>-51.96</c:v>
                </c:pt>
                <c:pt idx="11">
                  <c:v>-47.23</c:v>
                </c:pt>
                <c:pt idx="12">
                  <c:v>-47.08</c:v>
                </c:pt>
                <c:pt idx="13">
                  <c:v>-911.8900000000001</c:v>
                </c:pt>
                <c:pt idx="14">
                  <c:v>-49.38</c:v>
                </c:pt>
                <c:pt idx="15">
                  <c:v>-4.42</c:v>
                </c:pt>
                <c:pt idx="16">
                  <c:v>0</c:v>
                </c:pt>
                <c:pt idx="17">
                  <c:v>-44.1</c:v>
                </c:pt>
                <c:pt idx="18">
                  <c:v>-9.1</c:v>
                </c:pt>
                <c:pt idx="19">
                  <c:v>-461.56000000000006</c:v>
                </c:pt>
                <c:pt idx="20">
                  <c:v>-19.63</c:v>
                </c:pt>
                <c:pt idx="21">
                  <c:v>-35.31</c:v>
                </c:pt>
                <c:pt idx="22">
                  <c:v>-142.68</c:v>
                </c:pt>
                <c:pt idx="23">
                  <c:v>-116.25999999999999</c:v>
                </c:pt>
                <c:pt idx="24">
                  <c:v>-532.88</c:v>
                </c:pt>
                <c:pt idx="25">
                  <c:v>-898.61000000000013</c:v>
                </c:pt>
                <c:pt idx="26">
                  <c:v>-44.91</c:v>
                </c:pt>
                <c:pt idx="27">
                  <c:v>-88.27</c:v>
                </c:pt>
                <c:pt idx="28">
                  <c:v>-86.64</c:v>
                </c:pt>
                <c:pt idx="29">
                  <c:v>-111.89</c:v>
                </c:pt>
                <c:pt idx="30">
                  <c:v>-169.6</c:v>
                </c:pt>
                <c:pt idx="31">
                  <c:v>-59.71</c:v>
                </c:pt>
                <c:pt idx="32">
                  <c:v>-68.5</c:v>
                </c:pt>
                <c:pt idx="33">
                  <c:v>-71.77</c:v>
                </c:pt>
                <c:pt idx="34">
                  <c:v>-125.47999999999999</c:v>
                </c:pt>
                <c:pt idx="35">
                  <c:v>-158.33999999999997</c:v>
                </c:pt>
                <c:pt idx="36">
                  <c:v>-115.77000000000001</c:v>
                </c:pt>
                <c:pt idx="37">
                  <c:v>-115.52</c:v>
                </c:pt>
                <c:pt idx="38">
                  <c:v>-127.77000000000001</c:v>
                </c:pt>
                <c:pt idx="39">
                  <c:v>0</c:v>
                </c:pt>
                <c:pt idx="40">
                  <c:v>-210.48000000000002</c:v>
                </c:pt>
                <c:pt idx="41">
                  <c:v>-152.55000000000001</c:v>
                </c:pt>
                <c:pt idx="42">
                  <c:v>-149.49</c:v>
                </c:pt>
                <c:pt idx="43">
                  <c:v>-153.70000000000002</c:v>
                </c:pt>
                <c:pt idx="44">
                  <c:v>-105.36</c:v>
                </c:pt>
                <c:pt idx="45">
                  <c:v>-280.15000000000003</c:v>
                </c:pt>
                <c:pt idx="46">
                  <c:v>-151.67000000000002</c:v>
                </c:pt>
                <c:pt idx="47">
                  <c:v>-227.15</c:v>
                </c:pt>
                <c:pt idx="48">
                  <c:v>-715.42</c:v>
                </c:pt>
                <c:pt idx="49">
                  <c:v>-207.02</c:v>
                </c:pt>
                <c:pt idx="50">
                  <c:v>-127.23</c:v>
                </c:pt>
                <c:pt idx="51">
                  <c:v>-212.23000000000002</c:v>
                </c:pt>
                <c:pt idx="52">
                  <c:v>-317.80999999999995</c:v>
                </c:pt>
                <c:pt idx="53">
                  <c:v>-267.02</c:v>
                </c:pt>
                <c:pt idx="54">
                  <c:v>-101.82000000000001</c:v>
                </c:pt>
                <c:pt idx="55">
                  <c:v>-597.24</c:v>
                </c:pt>
                <c:pt idx="56">
                  <c:v>-203.31</c:v>
                </c:pt>
                <c:pt idx="57">
                  <c:v>-284.53999999999996</c:v>
                </c:pt>
                <c:pt idx="58">
                  <c:v>-142.98000000000002</c:v>
                </c:pt>
                <c:pt idx="59">
                  <c:v>-249.94</c:v>
                </c:pt>
                <c:pt idx="60">
                  <c:v>-392.59000000000003</c:v>
                </c:pt>
                <c:pt idx="61">
                  <c:v>-224.26</c:v>
                </c:pt>
                <c:pt idx="62">
                  <c:v>-52.29</c:v>
                </c:pt>
                <c:pt idx="63">
                  <c:v>-366.3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706688"/>
        <c:axId val="240708608"/>
      </c:lineChart>
      <c:dateAx>
        <c:axId val="240706688"/>
        <c:scaling>
          <c:orientation val="minMax"/>
          <c:max val="45292"/>
        </c:scaling>
        <c:delete val="0"/>
        <c:axPos val="b"/>
        <c:majorGridlines/>
        <c:numFmt formatCode="mmmm\,\ yyyy" sourceLinked="0"/>
        <c:majorTickMark val="out"/>
        <c:minorTickMark val="none"/>
        <c:tickLblPos val="low"/>
        <c:crossAx val="240708608"/>
        <c:crosses val="autoZero"/>
        <c:auto val="0"/>
        <c:lblOffset val="100"/>
        <c:baseTimeUnit val="months"/>
        <c:minorUnit val="1"/>
        <c:minorTimeUnit val="months"/>
      </c:dateAx>
      <c:valAx>
        <c:axId val="240708608"/>
        <c:scaling>
          <c:orientation val="minMax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Amount</a:t>
                </a:r>
              </a:p>
            </c:rich>
          </c:tx>
          <c:overlay val="0"/>
        </c:title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240706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Entertainment Per Month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59"/>
          <c:order val="0"/>
          <c:tx>
            <c:strRef>
              <c:f>Overview!$F$2</c:f>
              <c:strCache>
                <c:ptCount val="1"/>
                <c:pt idx="0">
                  <c:v>Entertainment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cat>
            <c:numRef>
              <c:f>Overview!$A$3:$A$147</c:f>
              <c:numCache>
                <c:formatCode>m/d/yyyy</c:formatCode>
                <c:ptCount val="145"/>
                <c:pt idx="1">
                  <c:v>43466</c:v>
                </c:pt>
                <c:pt idx="2">
                  <c:v>43497</c:v>
                </c:pt>
                <c:pt idx="3">
                  <c:v>43525</c:v>
                </c:pt>
                <c:pt idx="4">
                  <c:v>43556</c:v>
                </c:pt>
                <c:pt idx="5">
                  <c:v>43586</c:v>
                </c:pt>
                <c:pt idx="6">
                  <c:v>43617</c:v>
                </c:pt>
                <c:pt idx="7">
                  <c:v>43647</c:v>
                </c:pt>
                <c:pt idx="8">
                  <c:v>43678</c:v>
                </c:pt>
                <c:pt idx="9">
                  <c:v>43709</c:v>
                </c:pt>
                <c:pt idx="10">
                  <c:v>43739</c:v>
                </c:pt>
                <c:pt idx="11">
                  <c:v>43770</c:v>
                </c:pt>
                <c:pt idx="12">
                  <c:v>43800</c:v>
                </c:pt>
                <c:pt idx="13">
                  <c:v>43831</c:v>
                </c:pt>
                <c:pt idx="14">
                  <c:v>43862</c:v>
                </c:pt>
                <c:pt idx="15">
                  <c:v>43891</c:v>
                </c:pt>
                <c:pt idx="16">
                  <c:v>43922</c:v>
                </c:pt>
                <c:pt idx="17">
                  <c:v>43952</c:v>
                </c:pt>
                <c:pt idx="18">
                  <c:v>43983</c:v>
                </c:pt>
                <c:pt idx="19">
                  <c:v>44013</c:v>
                </c:pt>
                <c:pt idx="20">
                  <c:v>44044</c:v>
                </c:pt>
                <c:pt idx="21">
                  <c:v>44075</c:v>
                </c:pt>
                <c:pt idx="22">
                  <c:v>44105</c:v>
                </c:pt>
                <c:pt idx="23">
                  <c:v>44136</c:v>
                </c:pt>
                <c:pt idx="24">
                  <c:v>44166</c:v>
                </c:pt>
                <c:pt idx="25">
                  <c:v>44197</c:v>
                </c:pt>
                <c:pt idx="26">
                  <c:v>44228</c:v>
                </c:pt>
                <c:pt idx="27">
                  <c:v>44256</c:v>
                </c:pt>
                <c:pt idx="28">
                  <c:v>44287</c:v>
                </c:pt>
                <c:pt idx="29">
                  <c:v>44317</c:v>
                </c:pt>
                <c:pt idx="30">
                  <c:v>44348</c:v>
                </c:pt>
                <c:pt idx="31">
                  <c:v>44378</c:v>
                </c:pt>
                <c:pt idx="32">
                  <c:v>44409</c:v>
                </c:pt>
                <c:pt idx="33">
                  <c:v>44440</c:v>
                </c:pt>
                <c:pt idx="34">
                  <c:v>44470</c:v>
                </c:pt>
                <c:pt idx="35">
                  <c:v>44501</c:v>
                </c:pt>
                <c:pt idx="36">
                  <c:v>44531</c:v>
                </c:pt>
                <c:pt idx="37">
                  <c:v>44562</c:v>
                </c:pt>
                <c:pt idx="38">
                  <c:v>44593</c:v>
                </c:pt>
                <c:pt idx="39">
                  <c:v>44621</c:v>
                </c:pt>
                <c:pt idx="40">
                  <c:v>44652</c:v>
                </c:pt>
                <c:pt idx="41">
                  <c:v>44682</c:v>
                </c:pt>
                <c:pt idx="42">
                  <c:v>44713</c:v>
                </c:pt>
                <c:pt idx="43">
                  <c:v>44743</c:v>
                </c:pt>
                <c:pt idx="44">
                  <c:v>44774</c:v>
                </c:pt>
                <c:pt idx="45">
                  <c:v>44805</c:v>
                </c:pt>
                <c:pt idx="46">
                  <c:v>44835</c:v>
                </c:pt>
                <c:pt idx="47">
                  <c:v>44866</c:v>
                </c:pt>
                <c:pt idx="48">
                  <c:v>44896</c:v>
                </c:pt>
                <c:pt idx="49">
                  <c:v>44927</c:v>
                </c:pt>
                <c:pt idx="50">
                  <c:v>44958</c:v>
                </c:pt>
                <c:pt idx="51">
                  <c:v>44986</c:v>
                </c:pt>
                <c:pt idx="52">
                  <c:v>45017</c:v>
                </c:pt>
                <c:pt idx="53">
                  <c:v>45047</c:v>
                </c:pt>
                <c:pt idx="54">
                  <c:v>45078</c:v>
                </c:pt>
                <c:pt idx="55">
                  <c:v>45108</c:v>
                </c:pt>
                <c:pt idx="56">
                  <c:v>45139</c:v>
                </c:pt>
                <c:pt idx="57">
                  <c:v>45170</c:v>
                </c:pt>
                <c:pt idx="58">
                  <c:v>45200</c:v>
                </c:pt>
                <c:pt idx="59">
                  <c:v>45231</c:v>
                </c:pt>
                <c:pt idx="60">
                  <c:v>45261</c:v>
                </c:pt>
                <c:pt idx="61">
                  <c:v>45292</c:v>
                </c:pt>
                <c:pt idx="62">
                  <c:v>45323</c:v>
                </c:pt>
                <c:pt idx="63">
                  <c:v>45352</c:v>
                </c:pt>
                <c:pt idx="64">
                  <c:v>45383</c:v>
                </c:pt>
                <c:pt idx="65">
                  <c:v>45413</c:v>
                </c:pt>
                <c:pt idx="66">
                  <c:v>45444</c:v>
                </c:pt>
                <c:pt idx="67">
                  <c:v>45474</c:v>
                </c:pt>
                <c:pt idx="68">
                  <c:v>45505</c:v>
                </c:pt>
                <c:pt idx="69">
                  <c:v>45536</c:v>
                </c:pt>
                <c:pt idx="70">
                  <c:v>45566</c:v>
                </c:pt>
                <c:pt idx="71">
                  <c:v>45597</c:v>
                </c:pt>
                <c:pt idx="72">
                  <c:v>45627</c:v>
                </c:pt>
                <c:pt idx="73">
                  <c:v>45658</c:v>
                </c:pt>
                <c:pt idx="74">
                  <c:v>45689</c:v>
                </c:pt>
                <c:pt idx="75">
                  <c:v>45717</c:v>
                </c:pt>
                <c:pt idx="76">
                  <c:v>45748</c:v>
                </c:pt>
                <c:pt idx="77">
                  <c:v>45778</c:v>
                </c:pt>
                <c:pt idx="78">
                  <c:v>45809</c:v>
                </c:pt>
                <c:pt idx="79">
                  <c:v>45839</c:v>
                </c:pt>
                <c:pt idx="80">
                  <c:v>45870</c:v>
                </c:pt>
                <c:pt idx="81">
                  <c:v>45901</c:v>
                </c:pt>
                <c:pt idx="82">
                  <c:v>45931</c:v>
                </c:pt>
                <c:pt idx="83">
                  <c:v>45962</c:v>
                </c:pt>
                <c:pt idx="84">
                  <c:v>45992</c:v>
                </c:pt>
                <c:pt idx="85">
                  <c:v>46023</c:v>
                </c:pt>
                <c:pt idx="86">
                  <c:v>46054</c:v>
                </c:pt>
                <c:pt idx="87">
                  <c:v>46082</c:v>
                </c:pt>
                <c:pt idx="88">
                  <c:v>46113</c:v>
                </c:pt>
                <c:pt idx="89">
                  <c:v>46143</c:v>
                </c:pt>
                <c:pt idx="90">
                  <c:v>46174</c:v>
                </c:pt>
                <c:pt idx="91">
                  <c:v>46204</c:v>
                </c:pt>
                <c:pt idx="92">
                  <c:v>46235</c:v>
                </c:pt>
                <c:pt idx="93">
                  <c:v>46266</c:v>
                </c:pt>
                <c:pt idx="94">
                  <c:v>46296</c:v>
                </c:pt>
                <c:pt idx="95">
                  <c:v>46327</c:v>
                </c:pt>
                <c:pt idx="96">
                  <c:v>46357</c:v>
                </c:pt>
                <c:pt idx="97">
                  <c:v>46388</c:v>
                </c:pt>
                <c:pt idx="98">
                  <c:v>46419</c:v>
                </c:pt>
                <c:pt idx="99">
                  <c:v>46447</c:v>
                </c:pt>
                <c:pt idx="100">
                  <c:v>46478</c:v>
                </c:pt>
                <c:pt idx="101">
                  <c:v>46508</c:v>
                </c:pt>
                <c:pt idx="102">
                  <c:v>46539</c:v>
                </c:pt>
                <c:pt idx="103">
                  <c:v>46569</c:v>
                </c:pt>
                <c:pt idx="104">
                  <c:v>46600</c:v>
                </c:pt>
                <c:pt idx="105">
                  <c:v>46631</c:v>
                </c:pt>
                <c:pt idx="106">
                  <c:v>46661</c:v>
                </c:pt>
                <c:pt idx="107">
                  <c:v>46692</c:v>
                </c:pt>
                <c:pt idx="108">
                  <c:v>46722</c:v>
                </c:pt>
                <c:pt idx="109">
                  <c:v>46753</c:v>
                </c:pt>
                <c:pt idx="110">
                  <c:v>46784</c:v>
                </c:pt>
                <c:pt idx="111">
                  <c:v>46813</c:v>
                </c:pt>
                <c:pt idx="112">
                  <c:v>46844</c:v>
                </c:pt>
                <c:pt idx="113">
                  <c:v>46874</c:v>
                </c:pt>
                <c:pt idx="114">
                  <c:v>46905</c:v>
                </c:pt>
                <c:pt idx="115">
                  <c:v>46935</c:v>
                </c:pt>
                <c:pt idx="116">
                  <c:v>46966</c:v>
                </c:pt>
                <c:pt idx="117">
                  <c:v>46997</c:v>
                </c:pt>
                <c:pt idx="118">
                  <c:v>47027</c:v>
                </c:pt>
                <c:pt idx="119">
                  <c:v>47058</c:v>
                </c:pt>
                <c:pt idx="120">
                  <c:v>47088</c:v>
                </c:pt>
                <c:pt idx="121">
                  <c:v>47119</c:v>
                </c:pt>
                <c:pt idx="122">
                  <c:v>47150</c:v>
                </c:pt>
                <c:pt idx="123">
                  <c:v>47178</c:v>
                </c:pt>
                <c:pt idx="124">
                  <c:v>47209</c:v>
                </c:pt>
                <c:pt idx="125">
                  <c:v>47239</c:v>
                </c:pt>
                <c:pt idx="126">
                  <c:v>47270</c:v>
                </c:pt>
                <c:pt idx="127">
                  <c:v>47300</c:v>
                </c:pt>
                <c:pt idx="128">
                  <c:v>47331</c:v>
                </c:pt>
                <c:pt idx="129">
                  <c:v>47362</c:v>
                </c:pt>
                <c:pt idx="130">
                  <c:v>47392</c:v>
                </c:pt>
                <c:pt idx="131">
                  <c:v>47423</c:v>
                </c:pt>
                <c:pt idx="132">
                  <c:v>47453</c:v>
                </c:pt>
                <c:pt idx="133">
                  <c:v>47484</c:v>
                </c:pt>
                <c:pt idx="134">
                  <c:v>47515</c:v>
                </c:pt>
                <c:pt idx="135">
                  <c:v>47543</c:v>
                </c:pt>
                <c:pt idx="136">
                  <c:v>47574</c:v>
                </c:pt>
                <c:pt idx="137">
                  <c:v>47604</c:v>
                </c:pt>
                <c:pt idx="138">
                  <c:v>47635</c:v>
                </c:pt>
                <c:pt idx="139">
                  <c:v>47665</c:v>
                </c:pt>
                <c:pt idx="140">
                  <c:v>47696</c:v>
                </c:pt>
                <c:pt idx="141">
                  <c:v>47727</c:v>
                </c:pt>
                <c:pt idx="142">
                  <c:v>47757</c:v>
                </c:pt>
                <c:pt idx="143">
                  <c:v>47788</c:v>
                </c:pt>
                <c:pt idx="144">
                  <c:v>47818</c:v>
                </c:pt>
              </c:numCache>
            </c:numRef>
          </c:cat>
          <c:val>
            <c:numRef>
              <c:f>Overview!$F$3:$F$147</c:f>
              <c:numCache>
                <c:formatCode>_("$"* #,##0.00_);_("$"* \(#,##0.00\);_("$"* "-"??_);_(@_)</c:formatCode>
                <c:ptCount val="145"/>
                <c:pt idx="1">
                  <c:v>-16.37</c:v>
                </c:pt>
                <c:pt idx="2">
                  <c:v>-99.070000000000007</c:v>
                </c:pt>
                <c:pt idx="3">
                  <c:v>-41.980000000000004</c:v>
                </c:pt>
                <c:pt idx="4">
                  <c:v>-10.99</c:v>
                </c:pt>
                <c:pt idx="5">
                  <c:v>-39.93</c:v>
                </c:pt>
                <c:pt idx="6">
                  <c:v>-131.57</c:v>
                </c:pt>
                <c:pt idx="7">
                  <c:v>-142.19</c:v>
                </c:pt>
                <c:pt idx="8">
                  <c:v>-96.81</c:v>
                </c:pt>
                <c:pt idx="9">
                  <c:v>-249.34000000000003</c:v>
                </c:pt>
                <c:pt idx="10">
                  <c:v>-339.16999999999996</c:v>
                </c:pt>
                <c:pt idx="11">
                  <c:v>-113.15</c:v>
                </c:pt>
                <c:pt idx="12">
                  <c:v>-336.02</c:v>
                </c:pt>
                <c:pt idx="13">
                  <c:v>-128.94</c:v>
                </c:pt>
                <c:pt idx="14">
                  <c:v>-201.02</c:v>
                </c:pt>
                <c:pt idx="15">
                  <c:v>-157.17000000000002</c:v>
                </c:pt>
                <c:pt idx="16">
                  <c:v>-29.86</c:v>
                </c:pt>
                <c:pt idx="17">
                  <c:v>-104.07</c:v>
                </c:pt>
                <c:pt idx="18">
                  <c:v>-285.43</c:v>
                </c:pt>
                <c:pt idx="19">
                  <c:v>-51.620000000000005</c:v>
                </c:pt>
                <c:pt idx="20">
                  <c:v>-129.08000000000001</c:v>
                </c:pt>
                <c:pt idx="21">
                  <c:v>-181.8</c:v>
                </c:pt>
                <c:pt idx="22">
                  <c:v>-63.61</c:v>
                </c:pt>
                <c:pt idx="23">
                  <c:v>-107.75</c:v>
                </c:pt>
                <c:pt idx="24">
                  <c:v>-47.870000000000005</c:v>
                </c:pt>
                <c:pt idx="25">
                  <c:v>-61.81</c:v>
                </c:pt>
                <c:pt idx="26">
                  <c:v>-239.85999999999999</c:v>
                </c:pt>
                <c:pt idx="27">
                  <c:v>-104.55999999999999</c:v>
                </c:pt>
                <c:pt idx="28">
                  <c:v>-268.33</c:v>
                </c:pt>
                <c:pt idx="29">
                  <c:v>-45.03</c:v>
                </c:pt>
                <c:pt idx="30">
                  <c:v>-82.700000000000017</c:v>
                </c:pt>
                <c:pt idx="31">
                  <c:v>-335.72</c:v>
                </c:pt>
                <c:pt idx="32">
                  <c:v>-140.91</c:v>
                </c:pt>
                <c:pt idx="33">
                  <c:v>-70.77000000000001</c:v>
                </c:pt>
                <c:pt idx="34">
                  <c:v>-53.250000000000021</c:v>
                </c:pt>
                <c:pt idx="35">
                  <c:v>-181.05</c:v>
                </c:pt>
                <c:pt idx="36">
                  <c:v>-86.690000000000012</c:v>
                </c:pt>
                <c:pt idx="37">
                  <c:v>-181.58</c:v>
                </c:pt>
                <c:pt idx="38">
                  <c:v>-146.42999999999998</c:v>
                </c:pt>
                <c:pt idx="39">
                  <c:v>-128.18</c:v>
                </c:pt>
                <c:pt idx="40">
                  <c:v>-345.59</c:v>
                </c:pt>
                <c:pt idx="41">
                  <c:v>-371.31999999999994</c:v>
                </c:pt>
                <c:pt idx="42">
                  <c:v>-288.56</c:v>
                </c:pt>
                <c:pt idx="43">
                  <c:v>-132.13999999999999</c:v>
                </c:pt>
                <c:pt idx="44">
                  <c:v>-168.77</c:v>
                </c:pt>
                <c:pt idx="45">
                  <c:v>-86.65</c:v>
                </c:pt>
                <c:pt idx="46">
                  <c:v>-174.67000000000002</c:v>
                </c:pt>
                <c:pt idx="47">
                  <c:v>-742.09</c:v>
                </c:pt>
                <c:pt idx="48">
                  <c:v>-147.6</c:v>
                </c:pt>
                <c:pt idx="49">
                  <c:v>-15.58</c:v>
                </c:pt>
                <c:pt idx="50">
                  <c:v>-268.89</c:v>
                </c:pt>
                <c:pt idx="51">
                  <c:v>-1054.94</c:v>
                </c:pt>
                <c:pt idx="52">
                  <c:v>-77.819999999999993</c:v>
                </c:pt>
                <c:pt idx="53">
                  <c:v>-278.35000000000002</c:v>
                </c:pt>
                <c:pt idx="54">
                  <c:v>-45.4</c:v>
                </c:pt>
                <c:pt idx="55">
                  <c:v>-198.67000000000004</c:v>
                </c:pt>
                <c:pt idx="56">
                  <c:v>-474.78</c:v>
                </c:pt>
                <c:pt idx="57">
                  <c:v>-154.67999999999998</c:v>
                </c:pt>
                <c:pt idx="58">
                  <c:v>-315.44</c:v>
                </c:pt>
                <c:pt idx="59">
                  <c:v>-41.02</c:v>
                </c:pt>
                <c:pt idx="60">
                  <c:v>-9.15</c:v>
                </c:pt>
                <c:pt idx="61">
                  <c:v>-185.72</c:v>
                </c:pt>
                <c:pt idx="62">
                  <c:v>0</c:v>
                </c:pt>
                <c:pt idx="63">
                  <c:v>-607.96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876160"/>
        <c:axId val="240882432"/>
      </c:lineChart>
      <c:dateAx>
        <c:axId val="240876160"/>
        <c:scaling>
          <c:orientation val="minMax"/>
          <c:max val="45292"/>
        </c:scaling>
        <c:delete val="0"/>
        <c:axPos val="b"/>
        <c:majorGridlines/>
        <c:numFmt formatCode="mmmm\,\ yyyy" sourceLinked="0"/>
        <c:majorTickMark val="out"/>
        <c:minorTickMark val="none"/>
        <c:tickLblPos val="low"/>
        <c:crossAx val="240882432"/>
        <c:crosses val="autoZero"/>
        <c:auto val="0"/>
        <c:lblOffset val="100"/>
        <c:baseTimeUnit val="months"/>
        <c:minorUnit val="1"/>
        <c:minorTimeUnit val="months"/>
      </c:dateAx>
      <c:valAx>
        <c:axId val="240882432"/>
        <c:scaling>
          <c:orientation val="minMax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Amount</a:t>
                </a:r>
              </a:p>
            </c:rich>
          </c:tx>
          <c:overlay val="0"/>
        </c:title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240876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Job Per Month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59"/>
          <c:order val="0"/>
          <c:tx>
            <c:strRef>
              <c:f>Overview!$C$2</c:f>
              <c:strCache>
                <c:ptCount val="1"/>
                <c:pt idx="0">
                  <c:v>Job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cat>
            <c:numRef>
              <c:f>Overview!$A$3:$A$147</c:f>
              <c:numCache>
                <c:formatCode>m/d/yyyy</c:formatCode>
                <c:ptCount val="145"/>
                <c:pt idx="1">
                  <c:v>43466</c:v>
                </c:pt>
                <c:pt idx="2">
                  <c:v>43497</c:v>
                </c:pt>
                <c:pt idx="3">
                  <c:v>43525</c:v>
                </c:pt>
                <c:pt idx="4">
                  <c:v>43556</c:v>
                </c:pt>
                <c:pt idx="5">
                  <c:v>43586</c:v>
                </c:pt>
                <c:pt idx="6">
                  <c:v>43617</c:v>
                </c:pt>
                <c:pt idx="7">
                  <c:v>43647</c:v>
                </c:pt>
                <c:pt idx="8">
                  <c:v>43678</c:v>
                </c:pt>
                <c:pt idx="9">
                  <c:v>43709</c:v>
                </c:pt>
                <c:pt idx="10">
                  <c:v>43739</c:v>
                </c:pt>
                <c:pt idx="11">
                  <c:v>43770</c:v>
                </c:pt>
                <c:pt idx="12">
                  <c:v>43800</c:v>
                </c:pt>
                <c:pt idx="13">
                  <c:v>43831</c:v>
                </c:pt>
                <c:pt idx="14">
                  <c:v>43862</c:v>
                </c:pt>
                <c:pt idx="15">
                  <c:v>43891</c:v>
                </c:pt>
                <c:pt idx="16">
                  <c:v>43922</c:v>
                </c:pt>
                <c:pt idx="17">
                  <c:v>43952</c:v>
                </c:pt>
                <c:pt idx="18">
                  <c:v>43983</c:v>
                </c:pt>
                <c:pt idx="19">
                  <c:v>44013</c:v>
                </c:pt>
                <c:pt idx="20">
                  <c:v>44044</c:v>
                </c:pt>
                <c:pt idx="21">
                  <c:v>44075</c:v>
                </c:pt>
                <c:pt idx="22">
                  <c:v>44105</c:v>
                </c:pt>
                <c:pt idx="23">
                  <c:v>44136</c:v>
                </c:pt>
                <c:pt idx="24">
                  <c:v>44166</c:v>
                </c:pt>
                <c:pt idx="25">
                  <c:v>44197</c:v>
                </c:pt>
                <c:pt idx="26">
                  <c:v>44228</c:v>
                </c:pt>
                <c:pt idx="27">
                  <c:v>44256</c:v>
                </c:pt>
                <c:pt idx="28">
                  <c:v>44287</c:v>
                </c:pt>
                <c:pt idx="29">
                  <c:v>44317</c:v>
                </c:pt>
                <c:pt idx="30">
                  <c:v>44348</c:v>
                </c:pt>
                <c:pt idx="31">
                  <c:v>44378</c:v>
                </c:pt>
                <c:pt idx="32">
                  <c:v>44409</c:v>
                </c:pt>
                <c:pt idx="33">
                  <c:v>44440</c:v>
                </c:pt>
                <c:pt idx="34">
                  <c:v>44470</c:v>
                </c:pt>
                <c:pt idx="35">
                  <c:v>44501</c:v>
                </c:pt>
                <c:pt idx="36">
                  <c:v>44531</c:v>
                </c:pt>
                <c:pt idx="37">
                  <c:v>44562</c:v>
                </c:pt>
                <c:pt idx="38">
                  <c:v>44593</c:v>
                </c:pt>
                <c:pt idx="39">
                  <c:v>44621</c:v>
                </c:pt>
                <c:pt idx="40">
                  <c:v>44652</c:v>
                </c:pt>
                <c:pt idx="41">
                  <c:v>44682</c:v>
                </c:pt>
                <c:pt idx="42">
                  <c:v>44713</c:v>
                </c:pt>
                <c:pt idx="43">
                  <c:v>44743</c:v>
                </c:pt>
                <c:pt idx="44">
                  <c:v>44774</c:v>
                </c:pt>
                <c:pt idx="45">
                  <c:v>44805</c:v>
                </c:pt>
                <c:pt idx="46">
                  <c:v>44835</c:v>
                </c:pt>
                <c:pt idx="47">
                  <c:v>44866</c:v>
                </c:pt>
                <c:pt idx="48">
                  <c:v>44896</c:v>
                </c:pt>
                <c:pt idx="49">
                  <c:v>44927</c:v>
                </c:pt>
                <c:pt idx="50">
                  <c:v>44958</c:v>
                </c:pt>
                <c:pt idx="51">
                  <c:v>44986</c:v>
                </c:pt>
                <c:pt idx="52">
                  <c:v>45017</c:v>
                </c:pt>
                <c:pt idx="53">
                  <c:v>45047</c:v>
                </c:pt>
                <c:pt idx="54">
                  <c:v>45078</c:v>
                </c:pt>
                <c:pt idx="55">
                  <c:v>45108</c:v>
                </c:pt>
                <c:pt idx="56">
                  <c:v>45139</c:v>
                </c:pt>
                <c:pt idx="57">
                  <c:v>45170</c:v>
                </c:pt>
                <c:pt idx="58">
                  <c:v>45200</c:v>
                </c:pt>
                <c:pt idx="59">
                  <c:v>45231</c:v>
                </c:pt>
                <c:pt idx="60">
                  <c:v>45261</c:v>
                </c:pt>
                <c:pt idx="61">
                  <c:v>45292</c:v>
                </c:pt>
                <c:pt idx="62">
                  <c:v>45323</c:v>
                </c:pt>
                <c:pt idx="63">
                  <c:v>45352</c:v>
                </c:pt>
                <c:pt idx="64">
                  <c:v>45383</c:v>
                </c:pt>
                <c:pt idx="65">
                  <c:v>45413</c:v>
                </c:pt>
                <c:pt idx="66">
                  <c:v>45444</c:v>
                </c:pt>
                <c:pt idx="67">
                  <c:v>45474</c:v>
                </c:pt>
                <c:pt idx="68">
                  <c:v>45505</c:v>
                </c:pt>
                <c:pt idx="69">
                  <c:v>45536</c:v>
                </c:pt>
                <c:pt idx="70">
                  <c:v>45566</c:v>
                </c:pt>
                <c:pt idx="71">
                  <c:v>45597</c:v>
                </c:pt>
                <c:pt idx="72">
                  <c:v>45627</c:v>
                </c:pt>
                <c:pt idx="73">
                  <c:v>45658</c:v>
                </c:pt>
                <c:pt idx="74">
                  <c:v>45689</c:v>
                </c:pt>
                <c:pt idx="75">
                  <c:v>45717</c:v>
                </c:pt>
                <c:pt idx="76">
                  <c:v>45748</c:v>
                </c:pt>
                <c:pt idx="77">
                  <c:v>45778</c:v>
                </c:pt>
                <c:pt idx="78">
                  <c:v>45809</c:v>
                </c:pt>
                <c:pt idx="79">
                  <c:v>45839</c:v>
                </c:pt>
                <c:pt idx="80">
                  <c:v>45870</c:v>
                </c:pt>
                <c:pt idx="81">
                  <c:v>45901</c:v>
                </c:pt>
                <c:pt idx="82">
                  <c:v>45931</c:v>
                </c:pt>
                <c:pt idx="83">
                  <c:v>45962</c:v>
                </c:pt>
                <c:pt idx="84">
                  <c:v>45992</c:v>
                </c:pt>
                <c:pt idx="85">
                  <c:v>46023</c:v>
                </c:pt>
                <c:pt idx="86">
                  <c:v>46054</c:v>
                </c:pt>
                <c:pt idx="87">
                  <c:v>46082</c:v>
                </c:pt>
                <c:pt idx="88">
                  <c:v>46113</c:v>
                </c:pt>
                <c:pt idx="89">
                  <c:v>46143</c:v>
                </c:pt>
                <c:pt idx="90">
                  <c:v>46174</c:v>
                </c:pt>
                <c:pt idx="91">
                  <c:v>46204</c:v>
                </c:pt>
                <c:pt idx="92">
                  <c:v>46235</c:v>
                </c:pt>
                <c:pt idx="93">
                  <c:v>46266</c:v>
                </c:pt>
                <c:pt idx="94">
                  <c:v>46296</c:v>
                </c:pt>
                <c:pt idx="95">
                  <c:v>46327</c:v>
                </c:pt>
                <c:pt idx="96">
                  <c:v>46357</c:v>
                </c:pt>
                <c:pt idx="97">
                  <c:v>46388</c:v>
                </c:pt>
                <c:pt idx="98">
                  <c:v>46419</c:v>
                </c:pt>
                <c:pt idx="99">
                  <c:v>46447</c:v>
                </c:pt>
                <c:pt idx="100">
                  <c:v>46478</c:v>
                </c:pt>
                <c:pt idx="101">
                  <c:v>46508</c:v>
                </c:pt>
                <c:pt idx="102">
                  <c:v>46539</c:v>
                </c:pt>
                <c:pt idx="103">
                  <c:v>46569</c:v>
                </c:pt>
                <c:pt idx="104">
                  <c:v>46600</c:v>
                </c:pt>
                <c:pt idx="105">
                  <c:v>46631</c:v>
                </c:pt>
                <c:pt idx="106">
                  <c:v>46661</c:v>
                </c:pt>
                <c:pt idx="107">
                  <c:v>46692</c:v>
                </c:pt>
                <c:pt idx="108">
                  <c:v>46722</c:v>
                </c:pt>
                <c:pt idx="109">
                  <c:v>46753</c:v>
                </c:pt>
                <c:pt idx="110">
                  <c:v>46784</c:v>
                </c:pt>
                <c:pt idx="111">
                  <c:v>46813</c:v>
                </c:pt>
                <c:pt idx="112">
                  <c:v>46844</c:v>
                </c:pt>
                <c:pt idx="113">
                  <c:v>46874</c:v>
                </c:pt>
                <c:pt idx="114">
                  <c:v>46905</c:v>
                </c:pt>
                <c:pt idx="115">
                  <c:v>46935</c:v>
                </c:pt>
                <c:pt idx="116">
                  <c:v>46966</c:v>
                </c:pt>
                <c:pt idx="117">
                  <c:v>46997</c:v>
                </c:pt>
                <c:pt idx="118">
                  <c:v>47027</c:v>
                </c:pt>
                <c:pt idx="119">
                  <c:v>47058</c:v>
                </c:pt>
                <c:pt idx="120">
                  <c:v>47088</c:v>
                </c:pt>
                <c:pt idx="121">
                  <c:v>47119</c:v>
                </c:pt>
                <c:pt idx="122">
                  <c:v>47150</c:v>
                </c:pt>
                <c:pt idx="123">
                  <c:v>47178</c:v>
                </c:pt>
                <c:pt idx="124">
                  <c:v>47209</c:v>
                </c:pt>
                <c:pt idx="125">
                  <c:v>47239</c:v>
                </c:pt>
                <c:pt idx="126">
                  <c:v>47270</c:v>
                </c:pt>
                <c:pt idx="127">
                  <c:v>47300</c:v>
                </c:pt>
                <c:pt idx="128">
                  <c:v>47331</c:v>
                </c:pt>
                <c:pt idx="129">
                  <c:v>47362</c:v>
                </c:pt>
                <c:pt idx="130">
                  <c:v>47392</c:v>
                </c:pt>
                <c:pt idx="131">
                  <c:v>47423</c:v>
                </c:pt>
                <c:pt idx="132">
                  <c:v>47453</c:v>
                </c:pt>
                <c:pt idx="133">
                  <c:v>47484</c:v>
                </c:pt>
                <c:pt idx="134">
                  <c:v>47515</c:v>
                </c:pt>
                <c:pt idx="135">
                  <c:v>47543</c:v>
                </c:pt>
                <c:pt idx="136">
                  <c:v>47574</c:v>
                </c:pt>
                <c:pt idx="137">
                  <c:v>47604</c:v>
                </c:pt>
                <c:pt idx="138">
                  <c:v>47635</c:v>
                </c:pt>
                <c:pt idx="139">
                  <c:v>47665</c:v>
                </c:pt>
                <c:pt idx="140">
                  <c:v>47696</c:v>
                </c:pt>
                <c:pt idx="141">
                  <c:v>47727</c:v>
                </c:pt>
                <c:pt idx="142">
                  <c:v>47757</c:v>
                </c:pt>
                <c:pt idx="143">
                  <c:v>47788</c:v>
                </c:pt>
                <c:pt idx="144">
                  <c:v>47818</c:v>
                </c:pt>
              </c:numCache>
            </c:numRef>
          </c:cat>
          <c:val>
            <c:numRef>
              <c:f>Overview!$C$3:$C$147</c:f>
              <c:numCache>
                <c:formatCode>_("$"* #,##0.00_);_("$"* \(#,##0.00\);_("$"* "-"??_);_(@_)</c:formatCode>
                <c:ptCount val="145"/>
                <c:pt idx="1">
                  <c:v>0</c:v>
                </c:pt>
                <c:pt idx="2">
                  <c:v>-35.700000000000003</c:v>
                </c:pt>
                <c:pt idx="3">
                  <c:v>0</c:v>
                </c:pt>
                <c:pt idx="4">
                  <c:v>0</c:v>
                </c:pt>
                <c:pt idx="5">
                  <c:v>1704.24</c:v>
                </c:pt>
                <c:pt idx="6">
                  <c:v>3533.96</c:v>
                </c:pt>
                <c:pt idx="7">
                  <c:v>3471.22</c:v>
                </c:pt>
                <c:pt idx="8">
                  <c:v>3471.22</c:v>
                </c:pt>
                <c:pt idx="9">
                  <c:v>3471.22</c:v>
                </c:pt>
                <c:pt idx="10">
                  <c:v>5206.83</c:v>
                </c:pt>
                <c:pt idx="11">
                  <c:v>4652.3900000000003</c:v>
                </c:pt>
                <c:pt idx="12">
                  <c:v>3420.24</c:v>
                </c:pt>
                <c:pt idx="13">
                  <c:v>3316.72</c:v>
                </c:pt>
                <c:pt idx="14">
                  <c:v>3471.22</c:v>
                </c:pt>
                <c:pt idx="15">
                  <c:v>3471.22</c:v>
                </c:pt>
                <c:pt idx="16">
                  <c:v>9539.2899999999991</c:v>
                </c:pt>
                <c:pt idx="17">
                  <c:v>3527.64</c:v>
                </c:pt>
                <c:pt idx="18">
                  <c:v>3527.64</c:v>
                </c:pt>
                <c:pt idx="19">
                  <c:v>4087.5199999999995</c:v>
                </c:pt>
                <c:pt idx="20">
                  <c:v>5288.41</c:v>
                </c:pt>
                <c:pt idx="21">
                  <c:v>4184.96</c:v>
                </c:pt>
                <c:pt idx="22">
                  <c:v>4184.96</c:v>
                </c:pt>
                <c:pt idx="23">
                  <c:v>4184.96</c:v>
                </c:pt>
                <c:pt idx="24">
                  <c:v>4184.96</c:v>
                </c:pt>
                <c:pt idx="25">
                  <c:v>4191.7699999999995</c:v>
                </c:pt>
                <c:pt idx="26">
                  <c:v>4191.7699999999995</c:v>
                </c:pt>
                <c:pt idx="27">
                  <c:v>4191.7699999999995</c:v>
                </c:pt>
                <c:pt idx="28">
                  <c:v>4708.01</c:v>
                </c:pt>
                <c:pt idx="29">
                  <c:v>4191.7699999999995</c:v>
                </c:pt>
                <c:pt idx="30">
                  <c:v>4261.32</c:v>
                </c:pt>
                <c:pt idx="31">
                  <c:v>4366.29</c:v>
                </c:pt>
                <c:pt idx="32">
                  <c:v>4366.29</c:v>
                </c:pt>
                <c:pt idx="33">
                  <c:v>4367.21</c:v>
                </c:pt>
                <c:pt idx="34">
                  <c:v>4477.26</c:v>
                </c:pt>
                <c:pt idx="35">
                  <c:v>4685.58</c:v>
                </c:pt>
                <c:pt idx="36">
                  <c:v>4743.5499999999993</c:v>
                </c:pt>
                <c:pt idx="37">
                  <c:v>7357.02</c:v>
                </c:pt>
                <c:pt idx="38">
                  <c:v>4576.25</c:v>
                </c:pt>
                <c:pt idx="39">
                  <c:v>3803.31</c:v>
                </c:pt>
                <c:pt idx="40">
                  <c:v>3972.2299999999996</c:v>
                </c:pt>
                <c:pt idx="41">
                  <c:v>3977.4399999999996</c:v>
                </c:pt>
                <c:pt idx="42">
                  <c:v>5973.98</c:v>
                </c:pt>
                <c:pt idx="43">
                  <c:v>4029.0699999999997</c:v>
                </c:pt>
                <c:pt idx="44">
                  <c:v>3982.6499999999996</c:v>
                </c:pt>
                <c:pt idx="45">
                  <c:v>3993.33</c:v>
                </c:pt>
                <c:pt idx="46">
                  <c:v>3993.3</c:v>
                </c:pt>
                <c:pt idx="47">
                  <c:v>4069.1800000000003</c:v>
                </c:pt>
                <c:pt idx="48">
                  <c:v>6544.26</c:v>
                </c:pt>
                <c:pt idx="49">
                  <c:v>4296.93</c:v>
                </c:pt>
                <c:pt idx="50">
                  <c:v>4296.95</c:v>
                </c:pt>
                <c:pt idx="51">
                  <c:v>3972.52</c:v>
                </c:pt>
                <c:pt idx="52">
                  <c:v>4039.21</c:v>
                </c:pt>
                <c:pt idx="53">
                  <c:v>3932.85</c:v>
                </c:pt>
                <c:pt idx="54">
                  <c:v>6075.07</c:v>
                </c:pt>
                <c:pt idx="55">
                  <c:v>4053.63</c:v>
                </c:pt>
                <c:pt idx="56">
                  <c:v>4285.9799999999996</c:v>
                </c:pt>
                <c:pt idx="57">
                  <c:v>4225.3</c:v>
                </c:pt>
                <c:pt idx="58">
                  <c:v>4545.34</c:v>
                </c:pt>
                <c:pt idx="59">
                  <c:v>4612.9399999999996</c:v>
                </c:pt>
                <c:pt idx="60">
                  <c:v>7254.72</c:v>
                </c:pt>
                <c:pt idx="61">
                  <c:v>4324.51</c:v>
                </c:pt>
                <c:pt idx="62">
                  <c:v>4340.84</c:v>
                </c:pt>
                <c:pt idx="63">
                  <c:v>4698.8499999999995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803200"/>
        <c:axId val="241250304"/>
      </c:lineChart>
      <c:dateAx>
        <c:axId val="240803200"/>
        <c:scaling>
          <c:orientation val="minMax"/>
          <c:max val="45292"/>
        </c:scaling>
        <c:delete val="0"/>
        <c:axPos val="b"/>
        <c:majorGridlines/>
        <c:numFmt formatCode="mmmm\,\ yyyy" sourceLinked="0"/>
        <c:majorTickMark val="out"/>
        <c:minorTickMark val="none"/>
        <c:tickLblPos val="low"/>
        <c:crossAx val="241250304"/>
        <c:crosses val="autoZero"/>
        <c:auto val="0"/>
        <c:lblOffset val="100"/>
        <c:baseTimeUnit val="months"/>
        <c:minorUnit val="1"/>
        <c:minorTimeUnit val="months"/>
      </c:dateAx>
      <c:valAx>
        <c:axId val="241250304"/>
        <c:scaling>
          <c:orientation val="minMax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Amount</a:t>
                </a:r>
              </a:p>
            </c:rich>
          </c:tx>
          <c:overlay val="0"/>
        </c:title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240803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Bills Per Month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59"/>
          <c:order val="0"/>
          <c:tx>
            <c:strRef>
              <c:f>Overview!$E$2</c:f>
              <c:strCache>
                <c:ptCount val="1"/>
                <c:pt idx="0">
                  <c:v>Bills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cat>
            <c:numRef>
              <c:f>Overview!$A$3:$A$147</c:f>
              <c:numCache>
                <c:formatCode>m/d/yyyy</c:formatCode>
                <c:ptCount val="145"/>
                <c:pt idx="1">
                  <c:v>43466</c:v>
                </c:pt>
                <c:pt idx="2">
                  <c:v>43497</c:v>
                </c:pt>
                <c:pt idx="3">
                  <c:v>43525</c:v>
                </c:pt>
                <c:pt idx="4">
                  <c:v>43556</c:v>
                </c:pt>
                <c:pt idx="5">
                  <c:v>43586</c:v>
                </c:pt>
                <c:pt idx="6">
                  <c:v>43617</c:v>
                </c:pt>
                <c:pt idx="7">
                  <c:v>43647</c:v>
                </c:pt>
                <c:pt idx="8">
                  <c:v>43678</c:v>
                </c:pt>
                <c:pt idx="9">
                  <c:v>43709</c:v>
                </c:pt>
                <c:pt idx="10">
                  <c:v>43739</c:v>
                </c:pt>
                <c:pt idx="11">
                  <c:v>43770</c:v>
                </c:pt>
                <c:pt idx="12">
                  <c:v>43800</c:v>
                </c:pt>
                <c:pt idx="13">
                  <c:v>43831</c:v>
                </c:pt>
                <c:pt idx="14">
                  <c:v>43862</c:v>
                </c:pt>
                <c:pt idx="15">
                  <c:v>43891</c:v>
                </c:pt>
                <c:pt idx="16">
                  <c:v>43922</c:v>
                </c:pt>
                <c:pt idx="17">
                  <c:v>43952</c:v>
                </c:pt>
                <c:pt idx="18">
                  <c:v>43983</c:v>
                </c:pt>
                <c:pt idx="19">
                  <c:v>44013</c:v>
                </c:pt>
                <c:pt idx="20">
                  <c:v>44044</c:v>
                </c:pt>
                <c:pt idx="21">
                  <c:v>44075</c:v>
                </c:pt>
                <c:pt idx="22">
                  <c:v>44105</c:v>
                </c:pt>
                <c:pt idx="23">
                  <c:v>44136</c:v>
                </c:pt>
                <c:pt idx="24">
                  <c:v>44166</c:v>
                </c:pt>
                <c:pt idx="25">
                  <c:v>44197</c:v>
                </c:pt>
                <c:pt idx="26">
                  <c:v>44228</c:v>
                </c:pt>
                <c:pt idx="27">
                  <c:v>44256</c:v>
                </c:pt>
                <c:pt idx="28">
                  <c:v>44287</c:v>
                </c:pt>
                <c:pt idx="29">
                  <c:v>44317</c:v>
                </c:pt>
                <c:pt idx="30">
                  <c:v>44348</c:v>
                </c:pt>
                <c:pt idx="31">
                  <c:v>44378</c:v>
                </c:pt>
                <c:pt idx="32">
                  <c:v>44409</c:v>
                </c:pt>
                <c:pt idx="33">
                  <c:v>44440</c:v>
                </c:pt>
                <c:pt idx="34">
                  <c:v>44470</c:v>
                </c:pt>
                <c:pt idx="35">
                  <c:v>44501</c:v>
                </c:pt>
                <c:pt idx="36">
                  <c:v>44531</c:v>
                </c:pt>
                <c:pt idx="37">
                  <c:v>44562</c:v>
                </c:pt>
                <c:pt idx="38">
                  <c:v>44593</c:v>
                </c:pt>
                <c:pt idx="39">
                  <c:v>44621</c:v>
                </c:pt>
                <c:pt idx="40">
                  <c:v>44652</c:v>
                </c:pt>
                <c:pt idx="41">
                  <c:v>44682</c:v>
                </c:pt>
                <c:pt idx="42">
                  <c:v>44713</c:v>
                </c:pt>
                <c:pt idx="43">
                  <c:v>44743</c:v>
                </c:pt>
                <c:pt idx="44">
                  <c:v>44774</c:v>
                </c:pt>
                <c:pt idx="45">
                  <c:v>44805</c:v>
                </c:pt>
                <c:pt idx="46">
                  <c:v>44835</c:v>
                </c:pt>
                <c:pt idx="47">
                  <c:v>44866</c:v>
                </c:pt>
                <c:pt idx="48">
                  <c:v>44896</c:v>
                </c:pt>
                <c:pt idx="49">
                  <c:v>44927</c:v>
                </c:pt>
                <c:pt idx="50">
                  <c:v>44958</c:v>
                </c:pt>
                <c:pt idx="51">
                  <c:v>44986</c:v>
                </c:pt>
                <c:pt idx="52">
                  <c:v>45017</c:v>
                </c:pt>
                <c:pt idx="53">
                  <c:v>45047</c:v>
                </c:pt>
                <c:pt idx="54">
                  <c:v>45078</c:v>
                </c:pt>
                <c:pt idx="55">
                  <c:v>45108</c:v>
                </c:pt>
                <c:pt idx="56">
                  <c:v>45139</c:v>
                </c:pt>
                <c:pt idx="57">
                  <c:v>45170</c:v>
                </c:pt>
                <c:pt idx="58">
                  <c:v>45200</c:v>
                </c:pt>
                <c:pt idx="59">
                  <c:v>45231</c:v>
                </c:pt>
                <c:pt idx="60">
                  <c:v>45261</c:v>
                </c:pt>
                <c:pt idx="61">
                  <c:v>45292</c:v>
                </c:pt>
                <c:pt idx="62">
                  <c:v>45323</c:v>
                </c:pt>
                <c:pt idx="63">
                  <c:v>45352</c:v>
                </c:pt>
                <c:pt idx="64">
                  <c:v>45383</c:v>
                </c:pt>
                <c:pt idx="65">
                  <c:v>45413</c:v>
                </c:pt>
                <c:pt idx="66">
                  <c:v>45444</c:v>
                </c:pt>
                <c:pt idx="67">
                  <c:v>45474</c:v>
                </c:pt>
                <c:pt idx="68">
                  <c:v>45505</c:v>
                </c:pt>
                <c:pt idx="69">
                  <c:v>45536</c:v>
                </c:pt>
                <c:pt idx="70">
                  <c:v>45566</c:v>
                </c:pt>
                <c:pt idx="71">
                  <c:v>45597</c:v>
                </c:pt>
                <c:pt idx="72">
                  <c:v>45627</c:v>
                </c:pt>
                <c:pt idx="73">
                  <c:v>45658</c:v>
                </c:pt>
                <c:pt idx="74">
                  <c:v>45689</c:v>
                </c:pt>
                <c:pt idx="75">
                  <c:v>45717</c:v>
                </c:pt>
                <c:pt idx="76">
                  <c:v>45748</c:v>
                </c:pt>
                <c:pt idx="77">
                  <c:v>45778</c:v>
                </c:pt>
                <c:pt idx="78">
                  <c:v>45809</c:v>
                </c:pt>
                <c:pt idx="79">
                  <c:v>45839</c:v>
                </c:pt>
                <c:pt idx="80">
                  <c:v>45870</c:v>
                </c:pt>
                <c:pt idx="81">
                  <c:v>45901</c:v>
                </c:pt>
                <c:pt idx="82">
                  <c:v>45931</c:v>
                </c:pt>
                <c:pt idx="83">
                  <c:v>45962</c:v>
                </c:pt>
                <c:pt idx="84">
                  <c:v>45992</c:v>
                </c:pt>
                <c:pt idx="85">
                  <c:v>46023</c:v>
                </c:pt>
                <c:pt idx="86">
                  <c:v>46054</c:v>
                </c:pt>
                <c:pt idx="87">
                  <c:v>46082</c:v>
                </c:pt>
                <c:pt idx="88">
                  <c:v>46113</c:v>
                </c:pt>
                <c:pt idx="89">
                  <c:v>46143</c:v>
                </c:pt>
                <c:pt idx="90">
                  <c:v>46174</c:v>
                </c:pt>
                <c:pt idx="91">
                  <c:v>46204</c:v>
                </c:pt>
                <c:pt idx="92">
                  <c:v>46235</c:v>
                </c:pt>
                <c:pt idx="93">
                  <c:v>46266</c:v>
                </c:pt>
                <c:pt idx="94">
                  <c:v>46296</c:v>
                </c:pt>
                <c:pt idx="95">
                  <c:v>46327</c:v>
                </c:pt>
                <c:pt idx="96">
                  <c:v>46357</c:v>
                </c:pt>
                <c:pt idx="97">
                  <c:v>46388</c:v>
                </c:pt>
                <c:pt idx="98">
                  <c:v>46419</c:v>
                </c:pt>
                <c:pt idx="99">
                  <c:v>46447</c:v>
                </c:pt>
                <c:pt idx="100">
                  <c:v>46478</c:v>
                </c:pt>
                <c:pt idx="101">
                  <c:v>46508</c:v>
                </c:pt>
                <c:pt idx="102">
                  <c:v>46539</c:v>
                </c:pt>
                <c:pt idx="103">
                  <c:v>46569</c:v>
                </c:pt>
                <c:pt idx="104">
                  <c:v>46600</c:v>
                </c:pt>
                <c:pt idx="105">
                  <c:v>46631</c:v>
                </c:pt>
                <c:pt idx="106">
                  <c:v>46661</c:v>
                </c:pt>
                <c:pt idx="107">
                  <c:v>46692</c:v>
                </c:pt>
                <c:pt idx="108">
                  <c:v>46722</c:v>
                </c:pt>
                <c:pt idx="109">
                  <c:v>46753</c:v>
                </c:pt>
                <c:pt idx="110">
                  <c:v>46784</c:v>
                </c:pt>
                <c:pt idx="111">
                  <c:v>46813</c:v>
                </c:pt>
                <c:pt idx="112">
                  <c:v>46844</c:v>
                </c:pt>
                <c:pt idx="113">
                  <c:v>46874</c:v>
                </c:pt>
                <c:pt idx="114">
                  <c:v>46905</c:v>
                </c:pt>
                <c:pt idx="115">
                  <c:v>46935</c:v>
                </c:pt>
                <c:pt idx="116">
                  <c:v>46966</c:v>
                </c:pt>
                <c:pt idx="117">
                  <c:v>46997</c:v>
                </c:pt>
                <c:pt idx="118">
                  <c:v>47027</c:v>
                </c:pt>
                <c:pt idx="119">
                  <c:v>47058</c:v>
                </c:pt>
                <c:pt idx="120">
                  <c:v>47088</c:v>
                </c:pt>
                <c:pt idx="121">
                  <c:v>47119</c:v>
                </c:pt>
                <c:pt idx="122">
                  <c:v>47150</c:v>
                </c:pt>
                <c:pt idx="123">
                  <c:v>47178</c:v>
                </c:pt>
                <c:pt idx="124">
                  <c:v>47209</c:v>
                </c:pt>
                <c:pt idx="125">
                  <c:v>47239</c:v>
                </c:pt>
                <c:pt idx="126">
                  <c:v>47270</c:v>
                </c:pt>
                <c:pt idx="127">
                  <c:v>47300</c:v>
                </c:pt>
                <c:pt idx="128">
                  <c:v>47331</c:v>
                </c:pt>
                <c:pt idx="129">
                  <c:v>47362</c:v>
                </c:pt>
                <c:pt idx="130">
                  <c:v>47392</c:v>
                </c:pt>
                <c:pt idx="131">
                  <c:v>47423</c:v>
                </c:pt>
                <c:pt idx="132">
                  <c:v>47453</c:v>
                </c:pt>
                <c:pt idx="133">
                  <c:v>47484</c:v>
                </c:pt>
                <c:pt idx="134">
                  <c:v>47515</c:v>
                </c:pt>
                <c:pt idx="135">
                  <c:v>47543</c:v>
                </c:pt>
                <c:pt idx="136">
                  <c:v>47574</c:v>
                </c:pt>
                <c:pt idx="137">
                  <c:v>47604</c:v>
                </c:pt>
                <c:pt idx="138">
                  <c:v>47635</c:v>
                </c:pt>
                <c:pt idx="139">
                  <c:v>47665</c:v>
                </c:pt>
                <c:pt idx="140">
                  <c:v>47696</c:v>
                </c:pt>
                <c:pt idx="141">
                  <c:v>47727</c:v>
                </c:pt>
                <c:pt idx="142">
                  <c:v>47757</c:v>
                </c:pt>
                <c:pt idx="143">
                  <c:v>47788</c:v>
                </c:pt>
                <c:pt idx="144">
                  <c:v>47818</c:v>
                </c:pt>
              </c:numCache>
            </c:numRef>
          </c:cat>
          <c:val>
            <c:numRef>
              <c:f>Overview!$E$3:$E$147</c:f>
              <c:numCache>
                <c:formatCode>_("$"* #,##0.00_);_("$"* \(#,##0.00\);_("$"* "-"??_);_(@_)</c:formatCode>
                <c:ptCount val="14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-1.5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-121.6</c:v>
                </c:pt>
                <c:pt idx="11">
                  <c:v>0</c:v>
                </c:pt>
                <c:pt idx="12">
                  <c:v>405.5</c:v>
                </c:pt>
                <c:pt idx="13">
                  <c:v>-105</c:v>
                </c:pt>
                <c:pt idx="14">
                  <c:v>-105</c:v>
                </c:pt>
                <c:pt idx="15">
                  <c:v>-2.4700000000000002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-105</c:v>
                </c:pt>
                <c:pt idx="20">
                  <c:v>0</c:v>
                </c:pt>
                <c:pt idx="21">
                  <c:v>0</c:v>
                </c:pt>
                <c:pt idx="22">
                  <c:v>-30</c:v>
                </c:pt>
                <c:pt idx="23">
                  <c:v>0</c:v>
                </c:pt>
                <c:pt idx="24">
                  <c:v>-223.22</c:v>
                </c:pt>
                <c:pt idx="25">
                  <c:v>-20</c:v>
                </c:pt>
                <c:pt idx="26">
                  <c:v>-32</c:v>
                </c:pt>
                <c:pt idx="27">
                  <c:v>0</c:v>
                </c:pt>
                <c:pt idx="28">
                  <c:v>-336.24</c:v>
                </c:pt>
                <c:pt idx="29">
                  <c:v>3660.72</c:v>
                </c:pt>
                <c:pt idx="30">
                  <c:v>-195</c:v>
                </c:pt>
                <c:pt idx="31">
                  <c:v>117.3</c:v>
                </c:pt>
                <c:pt idx="32">
                  <c:v>266.19</c:v>
                </c:pt>
                <c:pt idx="33">
                  <c:v>-14.06</c:v>
                </c:pt>
                <c:pt idx="34">
                  <c:v>-21.610000000000014</c:v>
                </c:pt>
                <c:pt idx="35">
                  <c:v>-211.82</c:v>
                </c:pt>
                <c:pt idx="36">
                  <c:v>-13.87</c:v>
                </c:pt>
                <c:pt idx="37">
                  <c:v>-14.19</c:v>
                </c:pt>
                <c:pt idx="38">
                  <c:v>148.34</c:v>
                </c:pt>
                <c:pt idx="39">
                  <c:v>-2079.8000000000002</c:v>
                </c:pt>
                <c:pt idx="40">
                  <c:v>-100</c:v>
                </c:pt>
                <c:pt idx="41">
                  <c:v>0</c:v>
                </c:pt>
                <c:pt idx="42">
                  <c:v>44.5</c:v>
                </c:pt>
                <c:pt idx="43">
                  <c:v>0</c:v>
                </c:pt>
                <c:pt idx="44">
                  <c:v>18.920000000000002</c:v>
                </c:pt>
                <c:pt idx="45">
                  <c:v>-25</c:v>
                </c:pt>
                <c:pt idx="46">
                  <c:v>-95</c:v>
                </c:pt>
                <c:pt idx="47">
                  <c:v>-204</c:v>
                </c:pt>
                <c:pt idx="48">
                  <c:v>-130</c:v>
                </c:pt>
                <c:pt idx="49">
                  <c:v>48.45</c:v>
                </c:pt>
                <c:pt idx="50">
                  <c:v>-35.5</c:v>
                </c:pt>
                <c:pt idx="51">
                  <c:v>10.260000000000005</c:v>
                </c:pt>
                <c:pt idx="52">
                  <c:v>0</c:v>
                </c:pt>
                <c:pt idx="53">
                  <c:v>-135</c:v>
                </c:pt>
                <c:pt idx="54">
                  <c:v>-992.87</c:v>
                </c:pt>
                <c:pt idx="55">
                  <c:v>500</c:v>
                </c:pt>
                <c:pt idx="56">
                  <c:v>-178</c:v>
                </c:pt>
                <c:pt idx="57">
                  <c:v>0</c:v>
                </c:pt>
                <c:pt idx="58">
                  <c:v>-378.73</c:v>
                </c:pt>
                <c:pt idx="59">
                  <c:v>0</c:v>
                </c:pt>
                <c:pt idx="60">
                  <c:v>0</c:v>
                </c:pt>
                <c:pt idx="61">
                  <c:v>-37.72</c:v>
                </c:pt>
                <c:pt idx="62">
                  <c:v>0</c:v>
                </c:pt>
                <c:pt idx="63">
                  <c:v>-33.380000000000003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257472"/>
        <c:axId val="241272320"/>
      </c:lineChart>
      <c:dateAx>
        <c:axId val="241257472"/>
        <c:scaling>
          <c:orientation val="minMax"/>
          <c:max val="45292"/>
        </c:scaling>
        <c:delete val="0"/>
        <c:axPos val="b"/>
        <c:majorGridlines/>
        <c:title>
          <c:overlay val="0"/>
        </c:title>
        <c:numFmt formatCode="mmmm\,\ yyyy" sourceLinked="0"/>
        <c:majorTickMark val="out"/>
        <c:minorTickMark val="none"/>
        <c:tickLblPos val="low"/>
        <c:crossAx val="241272320"/>
        <c:crosses val="autoZero"/>
        <c:auto val="0"/>
        <c:lblOffset val="100"/>
        <c:baseTimeUnit val="months"/>
        <c:minorUnit val="1"/>
        <c:minorTimeUnit val="months"/>
      </c:dateAx>
      <c:valAx>
        <c:axId val="241272320"/>
        <c:scaling>
          <c:orientation val="minMax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Amount</a:t>
                </a:r>
              </a:p>
            </c:rich>
          </c:tx>
          <c:overlay val="0"/>
        </c:title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241257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Food Per Month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59"/>
          <c:order val="0"/>
          <c:tx>
            <c:strRef>
              <c:f>Overview!$D$2</c:f>
              <c:strCache>
                <c:ptCount val="1"/>
                <c:pt idx="0">
                  <c:v>Food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cat>
            <c:numRef>
              <c:f>Overview!$A$3:$A$147</c:f>
              <c:numCache>
                <c:formatCode>m/d/yyyy</c:formatCode>
                <c:ptCount val="145"/>
                <c:pt idx="1">
                  <c:v>43466</c:v>
                </c:pt>
                <c:pt idx="2">
                  <c:v>43497</c:v>
                </c:pt>
                <c:pt idx="3">
                  <c:v>43525</c:v>
                </c:pt>
                <c:pt idx="4">
                  <c:v>43556</c:v>
                </c:pt>
                <c:pt idx="5">
                  <c:v>43586</c:v>
                </c:pt>
                <c:pt idx="6">
                  <c:v>43617</c:v>
                </c:pt>
                <c:pt idx="7">
                  <c:v>43647</c:v>
                </c:pt>
                <c:pt idx="8">
                  <c:v>43678</c:v>
                </c:pt>
                <c:pt idx="9">
                  <c:v>43709</c:v>
                </c:pt>
                <c:pt idx="10">
                  <c:v>43739</c:v>
                </c:pt>
                <c:pt idx="11">
                  <c:v>43770</c:v>
                </c:pt>
                <c:pt idx="12">
                  <c:v>43800</c:v>
                </c:pt>
                <c:pt idx="13">
                  <c:v>43831</c:v>
                </c:pt>
                <c:pt idx="14">
                  <c:v>43862</c:v>
                </c:pt>
                <c:pt idx="15">
                  <c:v>43891</c:v>
                </c:pt>
                <c:pt idx="16">
                  <c:v>43922</c:v>
                </c:pt>
                <c:pt idx="17">
                  <c:v>43952</c:v>
                </c:pt>
                <c:pt idx="18">
                  <c:v>43983</c:v>
                </c:pt>
                <c:pt idx="19">
                  <c:v>44013</c:v>
                </c:pt>
                <c:pt idx="20">
                  <c:v>44044</c:v>
                </c:pt>
                <c:pt idx="21">
                  <c:v>44075</c:v>
                </c:pt>
                <c:pt idx="22">
                  <c:v>44105</c:v>
                </c:pt>
                <c:pt idx="23">
                  <c:v>44136</c:v>
                </c:pt>
                <c:pt idx="24">
                  <c:v>44166</c:v>
                </c:pt>
                <c:pt idx="25">
                  <c:v>44197</c:v>
                </c:pt>
                <c:pt idx="26">
                  <c:v>44228</c:v>
                </c:pt>
                <c:pt idx="27">
                  <c:v>44256</c:v>
                </c:pt>
                <c:pt idx="28">
                  <c:v>44287</c:v>
                </c:pt>
                <c:pt idx="29">
                  <c:v>44317</c:v>
                </c:pt>
                <c:pt idx="30">
                  <c:v>44348</c:v>
                </c:pt>
                <c:pt idx="31">
                  <c:v>44378</c:v>
                </c:pt>
                <c:pt idx="32">
                  <c:v>44409</c:v>
                </c:pt>
                <c:pt idx="33">
                  <c:v>44440</c:v>
                </c:pt>
                <c:pt idx="34">
                  <c:v>44470</c:v>
                </c:pt>
                <c:pt idx="35">
                  <c:v>44501</c:v>
                </c:pt>
                <c:pt idx="36">
                  <c:v>44531</c:v>
                </c:pt>
                <c:pt idx="37">
                  <c:v>44562</c:v>
                </c:pt>
                <c:pt idx="38">
                  <c:v>44593</c:v>
                </c:pt>
                <c:pt idx="39">
                  <c:v>44621</c:v>
                </c:pt>
                <c:pt idx="40">
                  <c:v>44652</c:v>
                </c:pt>
                <c:pt idx="41">
                  <c:v>44682</c:v>
                </c:pt>
                <c:pt idx="42">
                  <c:v>44713</c:v>
                </c:pt>
                <c:pt idx="43">
                  <c:v>44743</c:v>
                </c:pt>
                <c:pt idx="44">
                  <c:v>44774</c:v>
                </c:pt>
                <c:pt idx="45">
                  <c:v>44805</c:v>
                </c:pt>
                <c:pt idx="46">
                  <c:v>44835</c:v>
                </c:pt>
                <c:pt idx="47">
                  <c:v>44866</c:v>
                </c:pt>
                <c:pt idx="48">
                  <c:v>44896</c:v>
                </c:pt>
                <c:pt idx="49">
                  <c:v>44927</c:v>
                </c:pt>
                <c:pt idx="50">
                  <c:v>44958</c:v>
                </c:pt>
                <c:pt idx="51">
                  <c:v>44986</c:v>
                </c:pt>
                <c:pt idx="52">
                  <c:v>45017</c:v>
                </c:pt>
                <c:pt idx="53">
                  <c:v>45047</c:v>
                </c:pt>
                <c:pt idx="54">
                  <c:v>45078</c:v>
                </c:pt>
                <c:pt idx="55">
                  <c:v>45108</c:v>
                </c:pt>
                <c:pt idx="56">
                  <c:v>45139</c:v>
                </c:pt>
                <c:pt idx="57">
                  <c:v>45170</c:v>
                </c:pt>
                <c:pt idx="58">
                  <c:v>45200</c:v>
                </c:pt>
                <c:pt idx="59">
                  <c:v>45231</c:v>
                </c:pt>
                <c:pt idx="60">
                  <c:v>45261</c:v>
                </c:pt>
                <c:pt idx="61">
                  <c:v>45292</c:v>
                </c:pt>
                <c:pt idx="62">
                  <c:v>45323</c:v>
                </c:pt>
                <c:pt idx="63">
                  <c:v>45352</c:v>
                </c:pt>
                <c:pt idx="64">
                  <c:v>45383</c:v>
                </c:pt>
                <c:pt idx="65">
                  <c:v>45413</c:v>
                </c:pt>
                <c:pt idx="66">
                  <c:v>45444</c:v>
                </c:pt>
                <c:pt idx="67">
                  <c:v>45474</c:v>
                </c:pt>
                <c:pt idx="68">
                  <c:v>45505</c:v>
                </c:pt>
                <c:pt idx="69">
                  <c:v>45536</c:v>
                </c:pt>
                <c:pt idx="70">
                  <c:v>45566</c:v>
                </c:pt>
                <c:pt idx="71">
                  <c:v>45597</c:v>
                </c:pt>
                <c:pt idx="72">
                  <c:v>45627</c:v>
                </c:pt>
                <c:pt idx="73">
                  <c:v>45658</c:v>
                </c:pt>
                <c:pt idx="74">
                  <c:v>45689</c:v>
                </c:pt>
                <c:pt idx="75">
                  <c:v>45717</c:v>
                </c:pt>
                <c:pt idx="76">
                  <c:v>45748</c:v>
                </c:pt>
                <c:pt idx="77">
                  <c:v>45778</c:v>
                </c:pt>
                <c:pt idx="78">
                  <c:v>45809</c:v>
                </c:pt>
                <c:pt idx="79">
                  <c:v>45839</c:v>
                </c:pt>
                <c:pt idx="80">
                  <c:v>45870</c:v>
                </c:pt>
                <c:pt idx="81">
                  <c:v>45901</c:v>
                </c:pt>
                <c:pt idx="82">
                  <c:v>45931</c:v>
                </c:pt>
                <c:pt idx="83">
                  <c:v>45962</c:v>
                </c:pt>
                <c:pt idx="84">
                  <c:v>45992</c:v>
                </c:pt>
                <c:pt idx="85">
                  <c:v>46023</c:v>
                </c:pt>
                <c:pt idx="86">
                  <c:v>46054</c:v>
                </c:pt>
                <c:pt idx="87">
                  <c:v>46082</c:v>
                </c:pt>
                <c:pt idx="88">
                  <c:v>46113</c:v>
                </c:pt>
                <c:pt idx="89">
                  <c:v>46143</c:v>
                </c:pt>
                <c:pt idx="90">
                  <c:v>46174</c:v>
                </c:pt>
                <c:pt idx="91">
                  <c:v>46204</c:v>
                </c:pt>
                <c:pt idx="92">
                  <c:v>46235</c:v>
                </c:pt>
                <c:pt idx="93">
                  <c:v>46266</c:v>
                </c:pt>
                <c:pt idx="94">
                  <c:v>46296</c:v>
                </c:pt>
                <c:pt idx="95">
                  <c:v>46327</c:v>
                </c:pt>
                <c:pt idx="96">
                  <c:v>46357</c:v>
                </c:pt>
                <c:pt idx="97">
                  <c:v>46388</c:v>
                </c:pt>
                <c:pt idx="98">
                  <c:v>46419</c:v>
                </c:pt>
                <c:pt idx="99">
                  <c:v>46447</c:v>
                </c:pt>
                <c:pt idx="100">
                  <c:v>46478</c:v>
                </c:pt>
                <c:pt idx="101">
                  <c:v>46508</c:v>
                </c:pt>
                <c:pt idx="102">
                  <c:v>46539</c:v>
                </c:pt>
                <c:pt idx="103">
                  <c:v>46569</c:v>
                </c:pt>
                <c:pt idx="104">
                  <c:v>46600</c:v>
                </c:pt>
                <c:pt idx="105">
                  <c:v>46631</c:v>
                </c:pt>
                <c:pt idx="106">
                  <c:v>46661</c:v>
                </c:pt>
                <c:pt idx="107">
                  <c:v>46692</c:v>
                </c:pt>
                <c:pt idx="108">
                  <c:v>46722</c:v>
                </c:pt>
                <c:pt idx="109">
                  <c:v>46753</c:v>
                </c:pt>
                <c:pt idx="110">
                  <c:v>46784</c:v>
                </c:pt>
                <c:pt idx="111">
                  <c:v>46813</c:v>
                </c:pt>
                <c:pt idx="112">
                  <c:v>46844</c:v>
                </c:pt>
                <c:pt idx="113">
                  <c:v>46874</c:v>
                </c:pt>
                <c:pt idx="114">
                  <c:v>46905</c:v>
                </c:pt>
                <c:pt idx="115">
                  <c:v>46935</c:v>
                </c:pt>
                <c:pt idx="116">
                  <c:v>46966</c:v>
                </c:pt>
                <c:pt idx="117">
                  <c:v>46997</c:v>
                </c:pt>
                <c:pt idx="118">
                  <c:v>47027</c:v>
                </c:pt>
                <c:pt idx="119">
                  <c:v>47058</c:v>
                </c:pt>
                <c:pt idx="120">
                  <c:v>47088</c:v>
                </c:pt>
                <c:pt idx="121">
                  <c:v>47119</c:v>
                </c:pt>
                <c:pt idx="122">
                  <c:v>47150</c:v>
                </c:pt>
                <c:pt idx="123">
                  <c:v>47178</c:v>
                </c:pt>
                <c:pt idx="124">
                  <c:v>47209</c:v>
                </c:pt>
                <c:pt idx="125">
                  <c:v>47239</c:v>
                </c:pt>
                <c:pt idx="126">
                  <c:v>47270</c:v>
                </c:pt>
                <c:pt idx="127">
                  <c:v>47300</c:v>
                </c:pt>
                <c:pt idx="128">
                  <c:v>47331</c:v>
                </c:pt>
                <c:pt idx="129">
                  <c:v>47362</c:v>
                </c:pt>
                <c:pt idx="130">
                  <c:v>47392</c:v>
                </c:pt>
                <c:pt idx="131">
                  <c:v>47423</c:v>
                </c:pt>
                <c:pt idx="132">
                  <c:v>47453</c:v>
                </c:pt>
                <c:pt idx="133">
                  <c:v>47484</c:v>
                </c:pt>
                <c:pt idx="134">
                  <c:v>47515</c:v>
                </c:pt>
                <c:pt idx="135">
                  <c:v>47543</c:v>
                </c:pt>
                <c:pt idx="136">
                  <c:v>47574</c:v>
                </c:pt>
                <c:pt idx="137">
                  <c:v>47604</c:v>
                </c:pt>
                <c:pt idx="138">
                  <c:v>47635</c:v>
                </c:pt>
                <c:pt idx="139">
                  <c:v>47665</c:v>
                </c:pt>
                <c:pt idx="140">
                  <c:v>47696</c:v>
                </c:pt>
                <c:pt idx="141">
                  <c:v>47727</c:v>
                </c:pt>
                <c:pt idx="142">
                  <c:v>47757</c:v>
                </c:pt>
                <c:pt idx="143">
                  <c:v>47788</c:v>
                </c:pt>
                <c:pt idx="144">
                  <c:v>47818</c:v>
                </c:pt>
              </c:numCache>
            </c:numRef>
          </c:cat>
          <c:val>
            <c:numRef>
              <c:f>Overview!$D$3:$D$147</c:f>
              <c:numCache>
                <c:formatCode>_("$"* #,##0.00_);_("$"* \(#,##0.00\);_("$"* "-"??_);_(@_)</c:formatCode>
                <c:ptCount val="145"/>
                <c:pt idx="1">
                  <c:v>-123.97999999999999</c:v>
                </c:pt>
                <c:pt idx="2">
                  <c:v>-230.95999999999998</c:v>
                </c:pt>
                <c:pt idx="3">
                  <c:v>-281.78000000000003</c:v>
                </c:pt>
                <c:pt idx="4">
                  <c:v>-332.09</c:v>
                </c:pt>
                <c:pt idx="5">
                  <c:v>-386.34000000000003</c:v>
                </c:pt>
                <c:pt idx="6">
                  <c:v>-342.06</c:v>
                </c:pt>
                <c:pt idx="7">
                  <c:v>-594.07000000000005</c:v>
                </c:pt>
                <c:pt idx="8">
                  <c:v>-534.89000000000033</c:v>
                </c:pt>
                <c:pt idx="9">
                  <c:v>-456.72000000000008</c:v>
                </c:pt>
                <c:pt idx="10">
                  <c:v>-428.81999999999994</c:v>
                </c:pt>
                <c:pt idx="11">
                  <c:v>-409.80000000000013</c:v>
                </c:pt>
                <c:pt idx="12">
                  <c:v>-439.61</c:v>
                </c:pt>
                <c:pt idx="13">
                  <c:v>-392.15000000000009</c:v>
                </c:pt>
                <c:pt idx="14">
                  <c:v>-413.49</c:v>
                </c:pt>
                <c:pt idx="15">
                  <c:v>-374.51</c:v>
                </c:pt>
                <c:pt idx="16">
                  <c:v>-296.35000000000002</c:v>
                </c:pt>
                <c:pt idx="17">
                  <c:v>-671.73</c:v>
                </c:pt>
                <c:pt idx="18">
                  <c:v>-855.1099999999999</c:v>
                </c:pt>
                <c:pt idx="19">
                  <c:v>-1296.9500000000003</c:v>
                </c:pt>
                <c:pt idx="20">
                  <c:v>-1159.8500000000001</c:v>
                </c:pt>
                <c:pt idx="21">
                  <c:v>-398.75999999999993</c:v>
                </c:pt>
                <c:pt idx="22">
                  <c:v>-608.26</c:v>
                </c:pt>
                <c:pt idx="23">
                  <c:v>-399.38999999999993</c:v>
                </c:pt>
                <c:pt idx="24">
                  <c:v>-592.25999999999988</c:v>
                </c:pt>
                <c:pt idx="25">
                  <c:v>-983.58000000000015</c:v>
                </c:pt>
                <c:pt idx="26">
                  <c:v>-494.28000000000003</c:v>
                </c:pt>
                <c:pt idx="27">
                  <c:v>-559.31999999999982</c:v>
                </c:pt>
                <c:pt idx="28">
                  <c:v>-666.47000000000014</c:v>
                </c:pt>
                <c:pt idx="29">
                  <c:v>-1054.1099999999999</c:v>
                </c:pt>
                <c:pt idx="30">
                  <c:v>-833.3</c:v>
                </c:pt>
                <c:pt idx="31">
                  <c:v>-744.39999999999986</c:v>
                </c:pt>
                <c:pt idx="32">
                  <c:v>-1224.3999999999999</c:v>
                </c:pt>
                <c:pt idx="33">
                  <c:v>-1017.3900000000001</c:v>
                </c:pt>
                <c:pt idx="34">
                  <c:v>-819.47</c:v>
                </c:pt>
                <c:pt idx="35">
                  <c:v>-979.48000000000013</c:v>
                </c:pt>
                <c:pt idx="36">
                  <c:v>-1184.2899999999991</c:v>
                </c:pt>
                <c:pt idx="37">
                  <c:v>-1267.0099999999998</c:v>
                </c:pt>
                <c:pt idx="38">
                  <c:v>-1113.01</c:v>
                </c:pt>
                <c:pt idx="39">
                  <c:v>-704.78</c:v>
                </c:pt>
                <c:pt idx="40">
                  <c:v>-652.78</c:v>
                </c:pt>
                <c:pt idx="41">
                  <c:v>-796.75</c:v>
                </c:pt>
                <c:pt idx="42">
                  <c:v>-984.36</c:v>
                </c:pt>
                <c:pt idx="43">
                  <c:v>-1085.7899999999995</c:v>
                </c:pt>
                <c:pt idx="44">
                  <c:v>-979.52000000000032</c:v>
                </c:pt>
                <c:pt idx="45">
                  <c:v>-995.21999999999991</c:v>
                </c:pt>
                <c:pt idx="46">
                  <c:v>-944.42999999999984</c:v>
                </c:pt>
                <c:pt idx="47">
                  <c:v>-780.34</c:v>
                </c:pt>
                <c:pt idx="48">
                  <c:v>-682.61000000000024</c:v>
                </c:pt>
                <c:pt idx="49">
                  <c:v>-571.81999999999994</c:v>
                </c:pt>
                <c:pt idx="50">
                  <c:v>-1410.7199999999993</c:v>
                </c:pt>
                <c:pt idx="51">
                  <c:v>-1829.7000000000005</c:v>
                </c:pt>
                <c:pt idx="52">
                  <c:v>-1249.4799999999993</c:v>
                </c:pt>
                <c:pt idx="53">
                  <c:v>-1854.7299999999989</c:v>
                </c:pt>
                <c:pt idx="54">
                  <c:v>-1518.6</c:v>
                </c:pt>
                <c:pt idx="55">
                  <c:v>-1145.8400000000001</c:v>
                </c:pt>
                <c:pt idx="56">
                  <c:v>-1941.86</c:v>
                </c:pt>
                <c:pt idx="57">
                  <c:v>-1020.21</c:v>
                </c:pt>
                <c:pt idx="58">
                  <c:v>-1252.03</c:v>
                </c:pt>
                <c:pt idx="59">
                  <c:v>-1189.47</c:v>
                </c:pt>
                <c:pt idx="60">
                  <c:v>-1272.6600000000003</c:v>
                </c:pt>
                <c:pt idx="61">
                  <c:v>-822.77</c:v>
                </c:pt>
                <c:pt idx="62">
                  <c:v>-398.68999999999994</c:v>
                </c:pt>
                <c:pt idx="63">
                  <c:v>-1888.28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316992"/>
        <c:axId val="241318912"/>
      </c:lineChart>
      <c:dateAx>
        <c:axId val="241316992"/>
        <c:scaling>
          <c:orientation val="minMax"/>
          <c:max val="45292"/>
        </c:scaling>
        <c:delete val="0"/>
        <c:axPos val="b"/>
        <c:majorGridlines/>
        <c:numFmt formatCode="mmmm\,\ yyyy" sourceLinked="0"/>
        <c:majorTickMark val="out"/>
        <c:minorTickMark val="none"/>
        <c:tickLblPos val="low"/>
        <c:crossAx val="241318912"/>
        <c:crosses val="autoZero"/>
        <c:auto val="0"/>
        <c:lblOffset val="100"/>
        <c:baseTimeUnit val="months"/>
        <c:minorUnit val="1"/>
        <c:minorTimeUnit val="months"/>
      </c:dateAx>
      <c:valAx>
        <c:axId val="241318912"/>
        <c:scaling>
          <c:orientation val="minMax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Amount</a:t>
                </a:r>
              </a:p>
            </c:rich>
          </c:tx>
          <c:overlay val="0"/>
        </c:title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241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Misc Per Month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59"/>
          <c:order val="0"/>
          <c:tx>
            <c:strRef>
              <c:f>Overview!$H$2</c:f>
              <c:strCache>
                <c:ptCount val="1"/>
                <c:pt idx="0">
                  <c:v>Misc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cat>
            <c:numRef>
              <c:f>Overview!$A$3:$A$147</c:f>
              <c:numCache>
                <c:formatCode>m/d/yyyy</c:formatCode>
                <c:ptCount val="145"/>
                <c:pt idx="1">
                  <c:v>43466</c:v>
                </c:pt>
                <c:pt idx="2">
                  <c:v>43497</c:v>
                </c:pt>
                <c:pt idx="3">
                  <c:v>43525</c:v>
                </c:pt>
                <c:pt idx="4">
                  <c:v>43556</c:v>
                </c:pt>
                <c:pt idx="5">
                  <c:v>43586</c:v>
                </c:pt>
                <c:pt idx="6">
                  <c:v>43617</c:v>
                </c:pt>
                <c:pt idx="7">
                  <c:v>43647</c:v>
                </c:pt>
                <c:pt idx="8">
                  <c:v>43678</c:v>
                </c:pt>
                <c:pt idx="9">
                  <c:v>43709</c:v>
                </c:pt>
                <c:pt idx="10">
                  <c:v>43739</c:v>
                </c:pt>
                <c:pt idx="11">
                  <c:v>43770</c:v>
                </c:pt>
                <c:pt idx="12">
                  <c:v>43800</c:v>
                </c:pt>
                <c:pt idx="13">
                  <c:v>43831</c:v>
                </c:pt>
                <c:pt idx="14">
                  <c:v>43862</c:v>
                </c:pt>
                <c:pt idx="15">
                  <c:v>43891</c:v>
                </c:pt>
                <c:pt idx="16">
                  <c:v>43922</c:v>
                </c:pt>
                <c:pt idx="17">
                  <c:v>43952</c:v>
                </c:pt>
                <c:pt idx="18">
                  <c:v>43983</c:v>
                </c:pt>
                <c:pt idx="19">
                  <c:v>44013</c:v>
                </c:pt>
                <c:pt idx="20">
                  <c:v>44044</c:v>
                </c:pt>
                <c:pt idx="21">
                  <c:v>44075</c:v>
                </c:pt>
                <c:pt idx="22">
                  <c:v>44105</c:v>
                </c:pt>
                <c:pt idx="23">
                  <c:v>44136</c:v>
                </c:pt>
                <c:pt idx="24">
                  <c:v>44166</c:v>
                </c:pt>
                <c:pt idx="25">
                  <c:v>44197</c:v>
                </c:pt>
                <c:pt idx="26">
                  <c:v>44228</c:v>
                </c:pt>
                <c:pt idx="27">
                  <c:v>44256</c:v>
                </c:pt>
                <c:pt idx="28">
                  <c:v>44287</c:v>
                </c:pt>
                <c:pt idx="29">
                  <c:v>44317</c:v>
                </c:pt>
                <c:pt idx="30">
                  <c:v>44348</c:v>
                </c:pt>
                <c:pt idx="31">
                  <c:v>44378</c:v>
                </c:pt>
                <c:pt idx="32">
                  <c:v>44409</c:v>
                </c:pt>
                <c:pt idx="33">
                  <c:v>44440</c:v>
                </c:pt>
                <c:pt idx="34">
                  <c:v>44470</c:v>
                </c:pt>
                <c:pt idx="35">
                  <c:v>44501</c:v>
                </c:pt>
                <c:pt idx="36">
                  <c:v>44531</c:v>
                </c:pt>
                <c:pt idx="37">
                  <c:v>44562</c:v>
                </c:pt>
                <c:pt idx="38">
                  <c:v>44593</c:v>
                </c:pt>
                <c:pt idx="39">
                  <c:v>44621</c:v>
                </c:pt>
                <c:pt idx="40">
                  <c:v>44652</c:v>
                </c:pt>
                <c:pt idx="41">
                  <c:v>44682</c:v>
                </c:pt>
                <c:pt idx="42">
                  <c:v>44713</c:v>
                </c:pt>
                <c:pt idx="43">
                  <c:v>44743</c:v>
                </c:pt>
                <c:pt idx="44">
                  <c:v>44774</c:v>
                </c:pt>
                <c:pt idx="45">
                  <c:v>44805</c:v>
                </c:pt>
                <c:pt idx="46">
                  <c:v>44835</c:v>
                </c:pt>
                <c:pt idx="47">
                  <c:v>44866</c:v>
                </c:pt>
                <c:pt idx="48">
                  <c:v>44896</c:v>
                </c:pt>
                <c:pt idx="49">
                  <c:v>44927</c:v>
                </c:pt>
                <c:pt idx="50">
                  <c:v>44958</c:v>
                </c:pt>
                <c:pt idx="51">
                  <c:v>44986</c:v>
                </c:pt>
                <c:pt idx="52">
                  <c:v>45017</c:v>
                </c:pt>
                <c:pt idx="53">
                  <c:v>45047</c:v>
                </c:pt>
                <c:pt idx="54">
                  <c:v>45078</c:v>
                </c:pt>
                <c:pt idx="55">
                  <c:v>45108</c:v>
                </c:pt>
                <c:pt idx="56">
                  <c:v>45139</c:v>
                </c:pt>
                <c:pt idx="57">
                  <c:v>45170</c:v>
                </c:pt>
                <c:pt idx="58">
                  <c:v>45200</c:v>
                </c:pt>
                <c:pt idx="59">
                  <c:v>45231</c:v>
                </c:pt>
                <c:pt idx="60">
                  <c:v>45261</c:v>
                </c:pt>
                <c:pt idx="61">
                  <c:v>45292</c:v>
                </c:pt>
                <c:pt idx="62">
                  <c:v>45323</c:v>
                </c:pt>
                <c:pt idx="63">
                  <c:v>45352</c:v>
                </c:pt>
                <c:pt idx="64">
                  <c:v>45383</c:v>
                </c:pt>
                <c:pt idx="65">
                  <c:v>45413</c:v>
                </c:pt>
                <c:pt idx="66">
                  <c:v>45444</c:v>
                </c:pt>
                <c:pt idx="67">
                  <c:v>45474</c:v>
                </c:pt>
                <c:pt idx="68">
                  <c:v>45505</c:v>
                </c:pt>
                <c:pt idx="69">
                  <c:v>45536</c:v>
                </c:pt>
                <c:pt idx="70">
                  <c:v>45566</c:v>
                </c:pt>
                <c:pt idx="71">
                  <c:v>45597</c:v>
                </c:pt>
                <c:pt idx="72">
                  <c:v>45627</c:v>
                </c:pt>
                <c:pt idx="73">
                  <c:v>45658</c:v>
                </c:pt>
                <c:pt idx="74">
                  <c:v>45689</c:v>
                </c:pt>
                <c:pt idx="75">
                  <c:v>45717</c:v>
                </c:pt>
                <c:pt idx="76">
                  <c:v>45748</c:v>
                </c:pt>
                <c:pt idx="77">
                  <c:v>45778</c:v>
                </c:pt>
                <c:pt idx="78">
                  <c:v>45809</c:v>
                </c:pt>
                <c:pt idx="79">
                  <c:v>45839</c:v>
                </c:pt>
                <c:pt idx="80">
                  <c:v>45870</c:v>
                </c:pt>
                <c:pt idx="81">
                  <c:v>45901</c:v>
                </c:pt>
                <c:pt idx="82">
                  <c:v>45931</c:v>
                </c:pt>
                <c:pt idx="83">
                  <c:v>45962</c:v>
                </c:pt>
                <c:pt idx="84">
                  <c:v>45992</c:v>
                </c:pt>
                <c:pt idx="85">
                  <c:v>46023</c:v>
                </c:pt>
                <c:pt idx="86">
                  <c:v>46054</c:v>
                </c:pt>
                <c:pt idx="87">
                  <c:v>46082</c:v>
                </c:pt>
                <c:pt idx="88">
                  <c:v>46113</c:v>
                </c:pt>
                <c:pt idx="89">
                  <c:v>46143</c:v>
                </c:pt>
                <c:pt idx="90">
                  <c:v>46174</c:v>
                </c:pt>
                <c:pt idx="91">
                  <c:v>46204</c:v>
                </c:pt>
                <c:pt idx="92">
                  <c:v>46235</c:v>
                </c:pt>
                <c:pt idx="93">
                  <c:v>46266</c:v>
                </c:pt>
                <c:pt idx="94">
                  <c:v>46296</c:v>
                </c:pt>
                <c:pt idx="95">
                  <c:v>46327</c:v>
                </c:pt>
                <c:pt idx="96">
                  <c:v>46357</c:v>
                </c:pt>
                <c:pt idx="97">
                  <c:v>46388</c:v>
                </c:pt>
                <c:pt idx="98">
                  <c:v>46419</c:v>
                </c:pt>
                <c:pt idx="99">
                  <c:v>46447</c:v>
                </c:pt>
                <c:pt idx="100">
                  <c:v>46478</c:v>
                </c:pt>
                <c:pt idx="101">
                  <c:v>46508</c:v>
                </c:pt>
                <c:pt idx="102">
                  <c:v>46539</c:v>
                </c:pt>
                <c:pt idx="103">
                  <c:v>46569</c:v>
                </c:pt>
                <c:pt idx="104">
                  <c:v>46600</c:v>
                </c:pt>
                <c:pt idx="105">
                  <c:v>46631</c:v>
                </c:pt>
                <c:pt idx="106">
                  <c:v>46661</c:v>
                </c:pt>
                <c:pt idx="107">
                  <c:v>46692</c:v>
                </c:pt>
                <c:pt idx="108">
                  <c:v>46722</c:v>
                </c:pt>
                <c:pt idx="109">
                  <c:v>46753</c:v>
                </c:pt>
                <c:pt idx="110">
                  <c:v>46784</c:v>
                </c:pt>
                <c:pt idx="111">
                  <c:v>46813</c:v>
                </c:pt>
                <c:pt idx="112">
                  <c:v>46844</c:v>
                </c:pt>
                <c:pt idx="113">
                  <c:v>46874</c:v>
                </c:pt>
                <c:pt idx="114">
                  <c:v>46905</c:v>
                </c:pt>
                <c:pt idx="115">
                  <c:v>46935</c:v>
                </c:pt>
                <c:pt idx="116">
                  <c:v>46966</c:v>
                </c:pt>
                <c:pt idx="117">
                  <c:v>46997</c:v>
                </c:pt>
                <c:pt idx="118">
                  <c:v>47027</c:v>
                </c:pt>
                <c:pt idx="119">
                  <c:v>47058</c:v>
                </c:pt>
                <c:pt idx="120">
                  <c:v>47088</c:v>
                </c:pt>
                <c:pt idx="121">
                  <c:v>47119</c:v>
                </c:pt>
                <c:pt idx="122">
                  <c:v>47150</c:v>
                </c:pt>
                <c:pt idx="123">
                  <c:v>47178</c:v>
                </c:pt>
                <c:pt idx="124">
                  <c:v>47209</c:v>
                </c:pt>
                <c:pt idx="125">
                  <c:v>47239</c:v>
                </c:pt>
                <c:pt idx="126">
                  <c:v>47270</c:v>
                </c:pt>
                <c:pt idx="127">
                  <c:v>47300</c:v>
                </c:pt>
                <c:pt idx="128">
                  <c:v>47331</c:v>
                </c:pt>
                <c:pt idx="129">
                  <c:v>47362</c:v>
                </c:pt>
                <c:pt idx="130">
                  <c:v>47392</c:v>
                </c:pt>
                <c:pt idx="131">
                  <c:v>47423</c:v>
                </c:pt>
                <c:pt idx="132">
                  <c:v>47453</c:v>
                </c:pt>
                <c:pt idx="133">
                  <c:v>47484</c:v>
                </c:pt>
                <c:pt idx="134">
                  <c:v>47515</c:v>
                </c:pt>
                <c:pt idx="135">
                  <c:v>47543</c:v>
                </c:pt>
                <c:pt idx="136">
                  <c:v>47574</c:v>
                </c:pt>
                <c:pt idx="137">
                  <c:v>47604</c:v>
                </c:pt>
                <c:pt idx="138">
                  <c:v>47635</c:v>
                </c:pt>
                <c:pt idx="139">
                  <c:v>47665</c:v>
                </c:pt>
                <c:pt idx="140">
                  <c:v>47696</c:v>
                </c:pt>
                <c:pt idx="141">
                  <c:v>47727</c:v>
                </c:pt>
                <c:pt idx="142">
                  <c:v>47757</c:v>
                </c:pt>
                <c:pt idx="143">
                  <c:v>47788</c:v>
                </c:pt>
                <c:pt idx="144">
                  <c:v>47818</c:v>
                </c:pt>
              </c:numCache>
            </c:numRef>
          </c:cat>
          <c:val>
            <c:numRef>
              <c:f>Overview!$H$3:$H$147</c:f>
              <c:numCache>
                <c:formatCode>_("$"* #,##0.00_);_("$"* \(#,##0.00\);_("$"* "-"??_);_(@_)</c:formatCode>
                <c:ptCount val="145"/>
                <c:pt idx="1">
                  <c:v>-46.99</c:v>
                </c:pt>
                <c:pt idx="2">
                  <c:v>194.75</c:v>
                </c:pt>
                <c:pt idx="3">
                  <c:v>178.6</c:v>
                </c:pt>
                <c:pt idx="4">
                  <c:v>436.65999999999997</c:v>
                </c:pt>
                <c:pt idx="5">
                  <c:v>812.74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197.25</c:v>
                </c:pt>
                <c:pt idx="10">
                  <c:v>197.25</c:v>
                </c:pt>
                <c:pt idx="11">
                  <c:v>-216.23</c:v>
                </c:pt>
                <c:pt idx="12">
                  <c:v>-699.16</c:v>
                </c:pt>
                <c:pt idx="13">
                  <c:v>-638.37</c:v>
                </c:pt>
                <c:pt idx="14">
                  <c:v>195.46</c:v>
                </c:pt>
                <c:pt idx="15">
                  <c:v>0</c:v>
                </c:pt>
                <c:pt idx="16">
                  <c:v>516.01</c:v>
                </c:pt>
                <c:pt idx="17">
                  <c:v>0</c:v>
                </c:pt>
                <c:pt idx="18">
                  <c:v>0</c:v>
                </c:pt>
                <c:pt idx="19">
                  <c:v>-291.47999999999996</c:v>
                </c:pt>
                <c:pt idx="20">
                  <c:v>-154.48999999999998</c:v>
                </c:pt>
                <c:pt idx="21">
                  <c:v>1810.86</c:v>
                </c:pt>
                <c:pt idx="22">
                  <c:v>80.790000000000006</c:v>
                </c:pt>
                <c:pt idx="23">
                  <c:v>-859.78</c:v>
                </c:pt>
                <c:pt idx="24">
                  <c:v>0</c:v>
                </c:pt>
                <c:pt idx="25">
                  <c:v>0</c:v>
                </c:pt>
                <c:pt idx="26">
                  <c:v>104.79</c:v>
                </c:pt>
                <c:pt idx="27">
                  <c:v>55</c:v>
                </c:pt>
                <c:pt idx="28">
                  <c:v>-475.31</c:v>
                </c:pt>
                <c:pt idx="29">
                  <c:v>0</c:v>
                </c:pt>
                <c:pt idx="30">
                  <c:v>0</c:v>
                </c:pt>
                <c:pt idx="31">
                  <c:v>-481.81</c:v>
                </c:pt>
                <c:pt idx="32">
                  <c:v>0</c:v>
                </c:pt>
                <c:pt idx="33">
                  <c:v>0</c:v>
                </c:pt>
                <c:pt idx="34">
                  <c:v>-199.77</c:v>
                </c:pt>
                <c:pt idx="35">
                  <c:v>-202.03</c:v>
                </c:pt>
                <c:pt idx="36">
                  <c:v>-538.16999999999996</c:v>
                </c:pt>
                <c:pt idx="37">
                  <c:v>-4126.3599999999997</c:v>
                </c:pt>
                <c:pt idx="38">
                  <c:v>0</c:v>
                </c:pt>
                <c:pt idx="39">
                  <c:v>199.77</c:v>
                </c:pt>
                <c:pt idx="40">
                  <c:v>0</c:v>
                </c:pt>
                <c:pt idx="41">
                  <c:v>100</c:v>
                </c:pt>
                <c:pt idx="42">
                  <c:v>-2.74</c:v>
                </c:pt>
                <c:pt idx="43">
                  <c:v>0</c:v>
                </c:pt>
                <c:pt idx="44">
                  <c:v>-445.38</c:v>
                </c:pt>
                <c:pt idx="45">
                  <c:v>-284.72000000000003</c:v>
                </c:pt>
                <c:pt idx="46">
                  <c:v>0</c:v>
                </c:pt>
                <c:pt idx="47">
                  <c:v>-47.16</c:v>
                </c:pt>
                <c:pt idx="48">
                  <c:v>476.59</c:v>
                </c:pt>
                <c:pt idx="49">
                  <c:v>-1525.25</c:v>
                </c:pt>
                <c:pt idx="50">
                  <c:v>-71.78</c:v>
                </c:pt>
                <c:pt idx="51">
                  <c:v>0</c:v>
                </c:pt>
                <c:pt idx="52">
                  <c:v>-1120.6799999999998</c:v>
                </c:pt>
                <c:pt idx="53">
                  <c:v>-24</c:v>
                </c:pt>
                <c:pt idx="54">
                  <c:v>-55.069999999999993</c:v>
                </c:pt>
                <c:pt idx="55">
                  <c:v>135.25</c:v>
                </c:pt>
                <c:pt idx="56">
                  <c:v>-387.38999999999987</c:v>
                </c:pt>
                <c:pt idx="57">
                  <c:v>-219.95000000000002</c:v>
                </c:pt>
                <c:pt idx="58">
                  <c:v>-573.79</c:v>
                </c:pt>
                <c:pt idx="59">
                  <c:v>-469.77</c:v>
                </c:pt>
                <c:pt idx="60">
                  <c:v>-379.25</c:v>
                </c:pt>
                <c:pt idx="61">
                  <c:v>-2786.3099999999995</c:v>
                </c:pt>
                <c:pt idx="62">
                  <c:v>-1712.96</c:v>
                </c:pt>
                <c:pt idx="63">
                  <c:v>-1020.2700000000001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334912"/>
        <c:axId val="241353472"/>
      </c:lineChart>
      <c:dateAx>
        <c:axId val="241334912"/>
        <c:scaling>
          <c:orientation val="minMax"/>
          <c:max val="45292"/>
        </c:scaling>
        <c:delete val="0"/>
        <c:axPos val="b"/>
        <c:majorGridlines/>
        <c:numFmt formatCode="mmmm\,\ yyyy" sourceLinked="0"/>
        <c:majorTickMark val="out"/>
        <c:minorTickMark val="none"/>
        <c:tickLblPos val="low"/>
        <c:crossAx val="241353472"/>
        <c:crosses val="autoZero"/>
        <c:auto val="0"/>
        <c:lblOffset val="100"/>
        <c:baseTimeUnit val="months"/>
        <c:minorUnit val="1"/>
        <c:minorTimeUnit val="months"/>
      </c:dateAx>
      <c:valAx>
        <c:axId val="241353472"/>
        <c:scaling>
          <c:orientation val="minMax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Amount</a:t>
                </a:r>
              </a:p>
            </c:rich>
          </c:tx>
          <c:overlay val="0"/>
        </c:title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241334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Home Per Month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59"/>
          <c:order val="0"/>
          <c:tx>
            <c:strRef>
              <c:f>Overview!$G$2</c:f>
              <c:strCache>
                <c:ptCount val="1"/>
                <c:pt idx="0">
                  <c:v>Home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cat>
            <c:numRef>
              <c:f>Overview!$A$3:$A$147</c:f>
              <c:numCache>
                <c:formatCode>m/d/yyyy</c:formatCode>
                <c:ptCount val="145"/>
                <c:pt idx="1">
                  <c:v>43466</c:v>
                </c:pt>
                <c:pt idx="2">
                  <c:v>43497</c:v>
                </c:pt>
                <c:pt idx="3">
                  <c:v>43525</c:v>
                </c:pt>
                <c:pt idx="4">
                  <c:v>43556</c:v>
                </c:pt>
                <c:pt idx="5">
                  <c:v>43586</c:v>
                </c:pt>
                <c:pt idx="6">
                  <c:v>43617</c:v>
                </c:pt>
                <c:pt idx="7">
                  <c:v>43647</c:v>
                </c:pt>
                <c:pt idx="8">
                  <c:v>43678</c:v>
                </c:pt>
                <c:pt idx="9">
                  <c:v>43709</c:v>
                </c:pt>
                <c:pt idx="10">
                  <c:v>43739</c:v>
                </c:pt>
                <c:pt idx="11">
                  <c:v>43770</c:v>
                </c:pt>
                <c:pt idx="12">
                  <c:v>43800</c:v>
                </c:pt>
                <c:pt idx="13">
                  <c:v>43831</c:v>
                </c:pt>
                <c:pt idx="14">
                  <c:v>43862</c:v>
                </c:pt>
                <c:pt idx="15">
                  <c:v>43891</c:v>
                </c:pt>
                <c:pt idx="16">
                  <c:v>43922</c:v>
                </c:pt>
                <c:pt idx="17">
                  <c:v>43952</c:v>
                </c:pt>
                <c:pt idx="18">
                  <c:v>43983</c:v>
                </c:pt>
                <c:pt idx="19">
                  <c:v>44013</c:v>
                </c:pt>
                <c:pt idx="20">
                  <c:v>44044</c:v>
                </c:pt>
                <c:pt idx="21">
                  <c:v>44075</c:v>
                </c:pt>
                <c:pt idx="22">
                  <c:v>44105</c:v>
                </c:pt>
                <c:pt idx="23">
                  <c:v>44136</c:v>
                </c:pt>
                <c:pt idx="24">
                  <c:v>44166</c:v>
                </c:pt>
                <c:pt idx="25">
                  <c:v>44197</c:v>
                </c:pt>
                <c:pt idx="26">
                  <c:v>44228</c:v>
                </c:pt>
                <c:pt idx="27">
                  <c:v>44256</c:v>
                </c:pt>
                <c:pt idx="28">
                  <c:v>44287</c:v>
                </c:pt>
                <c:pt idx="29">
                  <c:v>44317</c:v>
                </c:pt>
                <c:pt idx="30">
                  <c:v>44348</c:v>
                </c:pt>
                <c:pt idx="31">
                  <c:v>44378</c:v>
                </c:pt>
                <c:pt idx="32">
                  <c:v>44409</c:v>
                </c:pt>
                <c:pt idx="33">
                  <c:v>44440</c:v>
                </c:pt>
                <c:pt idx="34">
                  <c:v>44470</c:v>
                </c:pt>
                <c:pt idx="35">
                  <c:v>44501</c:v>
                </c:pt>
                <c:pt idx="36">
                  <c:v>44531</c:v>
                </c:pt>
                <c:pt idx="37">
                  <c:v>44562</c:v>
                </c:pt>
                <c:pt idx="38">
                  <c:v>44593</c:v>
                </c:pt>
                <c:pt idx="39">
                  <c:v>44621</c:v>
                </c:pt>
                <c:pt idx="40">
                  <c:v>44652</c:v>
                </c:pt>
                <c:pt idx="41">
                  <c:v>44682</c:v>
                </c:pt>
                <c:pt idx="42">
                  <c:v>44713</c:v>
                </c:pt>
                <c:pt idx="43">
                  <c:v>44743</c:v>
                </c:pt>
                <c:pt idx="44">
                  <c:v>44774</c:v>
                </c:pt>
                <c:pt idx="45">
                  <c:v>44805</c:v>
                </c:pt>
                <c:pt idx="46">
                  <c:v>44835</c:v>
                </c:pt>
                <c:pt idx="47">
                  <c:v>44866</c:v>
                </c:pt>
                <c:pt idx="48">
                  <c:v>44896</c:v>
                </c:pt>
                <c:pt idx="49">
                  <c:v>44927</c:v>
                </c:pt>
                <c:pt idx="50">
                  <c:v>44958</c:v>
                </c:pt>
                <c:pt idx="51">
                  <c:v>44986</c:v>
                </c:pt>
                <c:pt idx="52">
                  <c:v>45017</c:v>
                </c:pt>
                <c:pt idx="53">
                  <c:v>45047</c:v>
                </c:pt>
                <c:pt idx="54">
                  <c:v>45078</c:v>
                </c:pt>
                <c:pt idx="55">
                  <c:v>45108</c:v>
                </c:pt>
                <c:pt idx="56">
                  <c:v>45139</c:v>
                </c:pt>
                <c:pt idx="57">
                  <c:v>45170</c:v>
                </c:pt>
                <c:pt idx="58">
                  <c:v>45200</c:v>
                </c:pt>
                <c:pt idx="59">
                  <c:v>45231</c:v>
                </c:pt>
                <c:pt idx="60">
                  <c:v>45261</c:v>
                </c:pt>
                <c:pt idx="61">
                  <c:v>45292</c:v>
                </c:pt>
                <c:pt idx="62">
                  <c:v>45323</c:v>
                </c:pt>
                <c:pt idx="63">
                  <c:v>45352</c:v>
                </c:pt>
                <c:pt idx="64">
                  <c:v>45383</c:v>
                </c:pt>
                <c:pt idx="65">
                  <c:v>45413</c:v>
                </c:pt>
                <c:pt idx="66">
                  <c:v>45444</c:v>
                </c:pt>
                <c:pt idx="67">
                  <c:v>45474</c:v>
                </c:pt>
                <c:pt idx="68">
                  <c:v>45505</c:v>
                </c:pt>
                <c:pt idx="69">
                  <c:v>45536</c:v>
                </c:pt>
                <c:pt idx="70">
                  <c:v>45566</c:v>
                </c:pt>
                <c:pt idx="71">
                  <c:v>45597</c:v>
                </c:pt>
                <c:pt idx="72">
                  <c:v>45627</c:v>
                </c:pt>
                <c:pt idx="73">
                  <c:v>45658</c:v>
                </c:pt>
                <c:pt idx="74">
                  <c:v>45689</c:v>
                </c:pt>
                <c:pt idx="75">
                  <c:v>45717</c:v>
                </c:pt>
                <c:pt idx="76">
                  <c:v>45748</c:v>
                </c:pt>
                <c:pt idx="77">
                  <c:v>45778</c:v>
                </c:pt>
                <c:pt idx="78">
                  <c:v>45809</c:v>
                </c:pt>
                <c:pt idx="79">
                  <c:v>45839</c:v>
                </c:pt>
                <c:pt idx="80">
                  <c:v>45870</c:v>
                </c:pt>
                <c:pt idx="81">
                  <c:v>45901</c:v>
                </c:pt>
                <c:pt idx="82">
                  <c:v>45931</c:v>
                </c:pt>
                <c:pt idx="83">
                  <c:v>45962</c:v>
                </c:pt>
                <c:pt idx="84">
                  <c:v>45992</c:v>
                </c:pt>
                <c:pt idx="85">
                  <c:v>46023</c:v>
                </c:pt>
                <c:pt idx="86">
                  <c:v>46054</c:v>
                </c:pt>
                <c:pt idx="87">
                  <c:v>46082</c:v>
                </c:pt>
                <c:pt idx="88">
                  <c:v>46113</c:v>
                </c:pt>
                <c:pt idx="89">
                  <c:v>46143</c:v>
                </c:pt>
                <c:pt idx="90">
                  <c:v>46174</c:v>
                </c:pt>
                <c:pt idx="91">
                  <c:v>46204</c:v>
                </c:pt>
                <c:pt idx="92">
                  <c:v>46235</c:v>
                </c:pt>
                <c:pt idx="93">
                  <c:v>46266</c:v>
                </c:pt>
                <c:pt idx="94">
                  <c:v>46296</c:v>
                </c:pt>
                <c:pt idx="95">
                  <c:v>46327</c:v>
                </c:pt>
                <c:pt idx="96">
                  <c:v>46357</c:v>
                </c:pt>
                <c:pt idx="97">
                  <c:v>46388</c:v>
                </c:pt>
                <c:pt idx="98">
                  <c:v>46419</c:v>
                </c:pt>
                <c:pt idx="99">
                  <c:v>46447</c:v>
                </c:pt>
                <c:pt idx="100">
                  <c:v>46478</c:v>
                </c:pt>
                <c:pt idx="101">
                  <c:v>46508</c:v>
                </c:pt>
                <c:pt idx="102">
                  <c:v>46539</c:v>
                </c:pt>
                <c:pt idx="103">
                  <c:v>46569</c:v>
                </c:pt>
                <c:pt idx="104">
                  <c:v>46600</c:v>
                </c:pt>
                <c:pt idx="105">
                  <c:v>46631</c:v>
                </c:pt>
                <c:pt idx="106">
                  <c:v>46661</c:v>
                </c:pt>
                <c:pt idx="107">
                  <c:v>46692</c:v>
                </c:pt>
                <c:pt idx="108">
                  <c:v>46722</c:v>
                </c:pt>
                <c:pt idx="109">
                  <c:v>46753</c:v>
                </c:pt>
                <c:pt idx="110">
                  <c:v>46784</c:v>
                </c:pt>
                <c:pt idx="111">
                  <c:v>46813</c:v>
                </c:pt>
                <c:pt idx="112">
                  <c:v>46844</c:v>
                </c:pt>
                <c:pt idx="113">
                  <c:v>46874</c:v>
                </c:pt>
                <c:pt idx="114">
                  <c:v>46905</c:v>
                </c:pt>
                <c:pt idx="115">
                  <c:v>46935</c:v>
                </c:pt>
                <c:pt idx="116">
                  <c:v>46966</c:v>
                </c:pt>
                <c:pt idx="117">
                  <c:v>46997</c:v>
                </c:pt>
                <c:pt idx="118">
                  <c:v>47027</c:v>
                </c:pt>
                <c:pt idx="119">
                  <c:v>47058</c:v>
                </c:pt>
                <c:pt idx="120">
                  <c:v>47088</c:v>
                </c:pt>
                <c:pt idx="121">
                  <c:v>47119</c:v>
                </c:pt>
                <c:pt idx="122">
                  <c:v>47150</c:v>
                </c:pt>
                <c:pt idx="123">
                  <c:v>47178</c:v>
                </c:pt>
                <c:pt idx="124">
                  <c:v>47209</c:v>
                </c:pt>
                <c:pt idx="125">
                  <c:v>47239</c:v>
                </c:pt>
                <c:pt idx="126">
                  <c:v>47270</c:v>
                </c:pt>
                <c:pt idx="127">
                  <c:v>47300</c:v>
                </c:pt>
                <c:pt idx="128">
                  <c:v>47331</c:v>
                </c:pt>
                <c:pt idx="129">
                  <c:v>47362</c:v>
                </c:pt>
                <c:pt idx="130">
                  <c:v>47392</c:v>
                </c:pt>
                <c:pt idx="131">
                  <c:v>47423</c:v>
                </c:pt>
                <c:pt idx="132">
                  <c:v>47453</c:v>
                </c:pt>
                <c:pt idx="133">
                  <c:v>47484</c:v>
                </c:pt>
                <c:pt idx="134">
                  <c:v>47515</c:v>
                </c:pt>
                <c:pt idx="135">
                  <c:v>47543</c:v>
                </c:pt>
                <c:pt idx="136">
                  <c:v>47574</c:v>
                </c:pt>
                <c:pt idx="137">
                  <c:v>47604</c:v>
                </c:pt>
                <c:pt idx="138">
                  <c:v>47635</c:v>
                </c:pt>
                <c:pt idx="139">
                  <c:v>47665</c:v>
                </c:pt>
                <c:pt idx="140">
                  <c:v>47696</c:v>
                </c:pt>
                <c:pt idx="141">
                  <c:v>47727</c:v>
                </c:pt>
                <c:pt idx="142">
                  <c:v>47757</c:v>
                </c:pt>
                <c:pt idx="143">
                  <c:v>47788</c:v>
                </c:pt>
                <c:pt idx="144">
                  <c:v>47818</c:v>
                </c:pt>
              </c:numCache>
            </c:numRef>
          </c:cat>
          <c:val>
            <c:numRef>
              <c:f>Overview!$G$3:$G$147</c:f>
              <c:numCache>
                <c:formatCode>_("$"* #,##0.00_);_("$"* \(#,##0.00\);_("$"* "-"??_);_(@_)</c:formatCode>
                <c:ptCount val="14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-117.18</c:v>
                </c:pt>
                <c:pt idx="13">
                  <c:v>-11.09</c:v>
                </c:pt>
                <c:pt idx="14">
                  <c:v>0</c:v>
                </c:pt>
                <c:pt idx="15">
                  <c:v>-5.54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-201.95</c:v>
                </c:pt>
                <c:pt idx="20">
                  <c:v>-2503.88</c:v>
                </c:pt>
                <c:pt idx="21">
                  <c:v>0</c:v>
                </c:pt>
                <c:pt idx="22">
                  <c:v>-110.97</c:v>
                </c:pt>
                <c:pt idx="23">
                  <c:v>-103.18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-194.23</c:v>
                </c:pt>
                <c:pt idx="28">
                  <c:v>-511.65999999999997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-7.76</c:v>
                </c:pt>
                <c:pt idx="34">
                  <c:v>0</c:v>
                </c:pt>
                <c:pt idx="35">
                  <c:v>0</c:v>
                </c:pt>
                <c:pt idx="36">
                  <c:v>-22.19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-11.09</c:v>
                </c:pt>
                <c:pt idx="42">
                  <c:v>0</c:v>
                </c:pt>
                <c:pt idx="43">
                  <c:v>0</c:v>
                </c:pt>
                <c:pt idx="44">
                  <c:v>-113.73</c:v>
                </c:pt>
                <c:pt idx="45">
                  <c:v>0</c:v>
                </c:pt>
                <c:pt idx="46">
                  <c:v>-62.92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-22.19</c:v>
                </c:pt>
                <c:pt idx="52">
                  <c:v>0</c:v>
                </c:pt>
                <c:pt idx="53">
                  <c:v>-100.94</c:v>
                </c:pt>
                <c:pt idx="54">
                  <c:v>0</c:v>
                </c:pt>
                <c:pt idx="55">
                  <c:v>-22.19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-207.97</c:v>
                </c:pt>
                <c:pt idx="61">
                  <c:v>0</c:v>
                </c:pt>
                <c:pt idx="62">
                  <c:v>0</c:v>
                </c:pt>
                <c:pt idx="63">
                  <c:v>-153.16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066368"/>
        <c:axId val="241068288"/>
      </c:lineChart>
      <c:dateAx>
        <c:axId val="241066368"/>
        <c:scaling>
          <c:orientation val="minMax"/>
          <c:max val="45292"/>
        </c:scaling>
        <c:delete val="0"/>
        <c:axPos val="b"/>
        <c:majorGridlines/>
        <c:numFmt formatCode="mmmm\,\ yyyy" sourceLinked="0"/>
        <c:majorTickMark val="out"/>
        <c:minorTickMark val="none"/>
        <c:tickLblPos val="low"/>
        <c:crossAx val="241068288"/>
        <c:crosses val="autoZero"/>
        <c:auto val="0"/>
        <c:lblOffset val="100"/>
        <c:baseTimeUnit val="months"/>
        <c:minorUnit val="1"/>
        <c:minorTimeUnit val="months"/>
      </c:dateAx>
      <c:valAx>
        <c:axId val="241068288"/>
        <c:scaling>
          <c:orientation val="minMax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Amount</a:t>
                </a:r>
              </a:p>
            </c:rich>
          </c:tx>
          <c:overlay val="0"/>
        </c:title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241066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Investments Per Month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59"/>
          <c:order val="0"/>
          <c:tx>
            <c:strRef>
              <c:f>Overview!$L$2</c:f>
              <c:strCache>
                <c:ptCount val="1"/>
                <c:pt idx="0">
                  <c:v>Investment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cat>
            <c:numRef>
              <c:f>Overview!$A$3:$A$147</c:f>
              <c:numCache>
                <c:formatCode>m/d/yyyy</c:formatCode>
                <c:ptCount val="145"/>
                <c:pt idx="1">
                  <c:v>43466</c:v>
                </c:pt>
                <c:pt idx="2">
                  <c:v>43497</c:v>
                </c:pt>
                <c:pt idx="3">
                  <c:v>43525</c:v>
                </c:pt>
                <c:pt idx="4">
                  <c:v>43556</c:v>
                </c:pt>
                <c:pt idx="5">
                  <c:v>43586</c:v>
                </c:pt>
                <c:pt idx="6">
                  <c:v>43617</c:v>
                </c:pt>
                <c:pt idx="7">
                  <c:v>43647</c:v>
                </c:pt>
                <c:pt idx="8">
                  <c:v>43678</c:v>
                </c:pt>
                <c:pt idx="9">
                  <c:v>43709</c:v>
                </c:pt>
                <c:pt idx="10">
                  <c:v>43739</c:v>
                </c:pt>
                <c:pt idx="11">
                  <c:v>43770</c:v>
                </c:pt>
                <c:pt idx="12">
                  <c:v>43800</c:v>
                </c:pt>
                <c:pt idx="13">
                  <c:v>43831</c:v>
                </c:pt>
                <c:pt idx="14">
                  <c:v>43862</c:v>
                </c:pt>
                <c:pt idx="15">
                  <c:v>43891</c:v>
                </c:pt>
                <c:pt idx="16">
                  <c:v>43922</c:v>
                </c:pt>
                <c:pt idx="17">
                  <c:v>43952</c:v>
                </c:pt>
                <c:pt idx="18">
                  <c:v>43983</c:v>
                </c:pt>
                <c:pt idx="19">
                  <c:v>44013</c:v>
                </c:pt>
                <c:pt idx="20">
                  <c:v>44044</c:v>
                </c:pt>
                <c:pt idx="21">
                  <c:v>44075</c:v>
                </c:pt>
                <c:pt idx="22">
                  <c:v>44105</c:v>
                </c:pt>
                <c:pt idx="23">
                  <c:v>44136</c:v>
                </c:pt>
                <c:pt idx="24">
                  <c:v>44166</c:v>
                </c:pt>
                <c:pt idx="25">
                  <c:v>44197</c:v>
                </c:pt>
                <c:pt idx="26">
                  <c:v>44228</c:v>
                </c:pt>
                <c:pt idx="27">
                  <c:v>44256</c:v>
                </c:pt>
                <c:pt idx="28">
                  <c:v>44287</c:v>
                </c:pt>
                <c:pt idx="29">
                  <c:v>44317</c:v>
                </c:pt>
                <c:pt idx="30">
                  <c:v>44348</c:v>
                </c:pt>
                <c:pt idx="31">
                  <c:v>44378</c:v>
                </c:pt>
                <c:pt idx="32">
                  <c:v>44409</c:v>
                </c:pt>
                <c:pt idx="33">
                  <c:v>44440</c:v>
                </c:pt>
                <c:pt idx="34">
                  <c:v>44470</c:v>
                </c:pt>
                <c:pt idx="35">
                  <c:v>44501</c:v>
                </c:pt>
                <c:pt idx="36">
                  <c:v>44531</c:v>
                </c:pt>
                <c:pt idx="37">
                  <c:v>44562</c:v>
                </c:pt>
                <c:pt idx="38">
                  <c:v>44593</c:v>
                </c:pt>
                <c:pt idx="39">
                  <c:v>44621</c:v>
                </c:pt>
                <c:pt idx="40">
                  <c:v>44652</c:v>
                </c:pt>
                <c:pt idx="41">
                  <c:v>44682</c:v>
                </c:pt>
                <c:pt idx="42">
                  <c:v>44713</c:v>
                </c:pt>
                <c:pt idx="43">
                  <c:v>44743</c:v>
                </c:pt>
                <c:pt idx="44">
                  <c:v>44774</c:v>
                </c:pt>
                <c:pt idx="45">
                  <c:v>44805</c:v>
                </c:pt>
                <c:pt idx="46">
                  <c:v>44835</c:v>
                </c:pt>
                <c:pt idx="47">
                  <c:v>44866</c:v>
                </c:pt>
                <c:pt idx="48">
                  <c:v>44896</c:v>
                </c:pt>
                <c:pt idx="49">
                  <c:v>44927</c:v>
                </c:pt>
                <c:pt idx="50">
                  <c:v>44958</c:v>
                </c:pt>
                <c:pt idx="51">
                  <c:v>44986</c:v>
                </c:pt>
                <c:pt idx="52">
                  <c:v>45017</c:v>
                </c:pt>
                <c:pt idx="53">
                  <c:v>45047</c:v>
                </c:pt>
                <c:pt idx="54">
                  <c:v>45078</c:v>
                </c:pt>
                <c:pt idx="55">
                  <c:v>45108</c:v>
                </c:pt>
                <c:pt idx="56">
                  <c:v>45139</c:v>
                </c:pt>
                <c:pt idx="57">
                  <c:v>45170</c:v>
                </c:pt>
                <c:pt idx="58">
                  <c:v>45200</c:v>
                </c:pt>
                <c:pt idx="59">
                  <c:v>45231</c:v>
                </c:pt>
                <c:pt idx="60">
                  <c:v>45261</c:v>
                </c:pt>
                <c:pt idx="61">
                  <c:v>45292</c:v>
                </c:pt>
                <c:pt idx="62">
                  <c:v>45323</c:v>
                </c:pt>
                <c:pt idx="63">
                  <c:v>45352</c:v>
                </c:pt>
                <c:pt idx="64">
                  <c:v>45383</c:v>
                </c:pt>
                <c:pt idx="65">
                  <c:v>45413</c:v>
                </c:pt>
                <c:pt idx="66">
                  <c:v>45444</c:v>
                </c:pt>
                <c:pt idx="67">
                  <c:v>45474</c:v>
                </c:pt>
                <c:pt idx="68">
                  <c:v>45505</c:v>
                </c:pt>
                <c:pt idx="69">
                  <c:v>45536</c:v>
                </c:pt>
                <c:pt idx="70">
                  <c:v>45566</c:v>
                </c:pt>
                <c:pt idx="71">
                  <c:v>45597</c:v>
                </c:pt>
                <c:pt idx="72">
                  <c:v>45627</c:v>
                </c:pt>
                <c:pt idx="73">
                  <c:v>45658</c:v>
                </c:pt>
                <c:pt idx="74">
                  <c:v>45689</c:v>
                </c:pt>
                <c:pt idx="75">
                  <c:v>45717</c:v>
                </c:pt>
                <c:pt idx="76">
                  <c:v>45748</c:v>
                </c:pt>
                <c:pt idx="77">
                  <c:v>45778</c:v>
                </c:pt>
                <c:pt idx="78">
                  <c:v>45809</c:v>
                </c:pt>
                <c:pt idx="79">
                  <c:v>45839</c:v>
                </c:pt>
                <c:pt idx="80">
                  <c:v>45870</c:v>
                </c:pt>
                <c:pt idx="81">
                  <c:v>45901</c:v>
                </c:pt>
                <c:pt idx="82">
                  <c:v>45931</c:v>
                </c:pt>
                <c:pt idx="83">
                  <c:v>45962</c:v>
                </c:pt>
                <c:pt idx="84">
                  <c:v>45992</c:v>
                </c:pt>
                <c:pt idx="85">
                  <c:v>46023</c:v>
                </c:pt>
                <c:pt idx="86">
                  <c:v>46054</c:v>
                </c:pt>
                <c:pt idx="87">
                  <c:v>46082</c:v>
                </c:pt>
                <c:pt idx="88">
                  <c:v>46113</c:v>
                </c:pt>
                <c:pt idx="89">
                  <c:v>46143</c:v>
                </c:pt>
                <c:pt idx="90">
                  <c:v>46174</c:v>
                </c:pt>
                <c:pt idx="91">
                  <c:v>46204</c:v>
                </c:pt>
                <c:pt idx="92">
                  <c:v>46235</c:v>
                </c:pt>
                <c:pt idx="93">
                  <c:v>46266</c:v>
                </c:pt>
                <c:pt idx="94">
                  <c:v>46296</c:v>
                </c:pt>
                <c:pt idx="95">
                  <c:v>46327</c:v>
                </c:pt>
                <c:pt idx="96">
                  <c:v>46357</c:v>
                </c:pt>
                <c:pt idx="97">
                  <c:v>46388</c:v>
                </c:pt>
                <c:pt idx="98">
                  <c:v>46419</c:v>
                </c:pt>
                <c:pt idx="99">
                  <c:v>46447</c:v>
                </c:pt>
                <c:pt idx="100">
                  <c:v>46478</c:v>
                </c:pt>
                <c:pt idx="101">
                  <c:v>46508</c:v>
                </c:pt>
                <c:pt idx="102">
                  <c:v>46539</c:v>
                </c:pt>
                <c:pt idx="103">
                  <c:v>46569</c:v>
                </c:pt>
                <c:pt idx="104">
                  <c:v>46600</c:v>
                </c:pt>
                <c:pt idx="105">
                  <c:v>46631</c:v>
                </c:pt>
                <c:pt idx="106">
                  <c:v>46661</c:v>
                </c:pt>
                <c:pt idx="107">
                  <c:v>46692</c:v>
                </c:pt>
                <c:pt idx="108">
                  <c:v>46722</c:v>
                </c:pt>
                <c:pt idx="109">
                  <c:v>46753</c:v>
                </c:pt>
                <c:pt idx="110">
                  <c:v>46784</c:v>
                </c:pt>
                <c:pt idx="111">
                  <c:v>46813</c:v>
                </c:pt>
                <c:pt idx="112">
                  <c:v>46844</c:v>
                </c:pt>
                <c:pt idx="113">
                  <c:v>46874</c:v>
                </c:pt>
                <c:pt idx="114">
                  <c:v>46905</c:v>
                </c:pt>
                <c:pt idx="115">
                  <c:v>46935</c:v>
                </c:pt>
                <c:pt idx="116">
                  <c:v>46966</c:v>
                </c:pt>
                <c:pt idx="117">
                  <c:v>46997</c:v>
                </c:pt>
                <c:pt idx="118">
                  <c:v>47027</c:v>
                </c:pt>
                <c:pt idx="119">
                  <c:v>47058</c:v>
                </c:pt>
                <c:pt idx="120">
                  <c:v>47088</c:v>
                </c:pt>
                <c:pt idx="121">
                  <c:v>47119</c:v>
                </c:pt>
                <c:pt idx="122">
                  <c:v>47150</c:v>
                </c:pt>
                <c:pt idx="123">
                  <c:v>47178</c:v>
                </c:pt>
                <c:pt idx="124">
                  <c:v>47209</c:v>
                </c:pt>
                <c:pt idx="125">
                  <c:v>47239</c:v>
                </c:pt>
                <c:pt idx="126">
                  <c:v>47270</c:v>
                </c:pt>
                <c:pt idx="127">
                  <c:v>47300</c:v>
                </c:pt>
                <c:pt idx="128">
                  <c:v>47331</c:v>
                </c:pt>
                <c:pt idx="129">
                  <c:v>47362</c:v>
                </c:pt>
                <c:pt idx="130">
                  <c:v>47392</c:v>
                </c:pt>
                <c:pt idx="131">
                  <c:v>47423</c:v>
                </c:pt>
                <c:pt idx="132">
                  <c:v>47453</c:v>
                </c:pt>
                <c:pt idx="133">
                  <c:v>47484</c:v>
                </c:pt>
                <c:pt idx="134">
                  <c:v>47515</c:v>
                </c:pt>
                <c:pt idx="135">
                  <c:v>47543</c:v>
                </c:pt>
                <c:pt idx="136">
                  <c:v>47574</c:v>
                </c:pt>
                <c:pt idx="137">
                  <c:v>47604</c:v>
                </c:pt>
                <c:pt idx="138">
                  <c:v>47635</c:v>
                </c:pt>
                <c:pt idx="139">
                  <c:v>47665</c:v>
                </c:pt>
                <c:pt idx="140">
                  <c:v>47696</c:v>
                </c:pt>
                <c:pt idx="141">
                  <c:v>47727</c:v>
                </c:pt>
                <c:pt idx="142">
                  <c:v>47757</c:v>
                </c:pt>
                <c:pt idx="143">
                  <c:v>47788</c:v>
                </c:pt>
                <c:pt idx="144">
                  <c:v>47818</c:v>
                </c:pt>
              </c:numCache>
            </c:numRef>
          </c:cat>
          <c:val>
            <c:numRef>
              <c:f>Overview!$L$3:$L$147</c:f>
              <c:numCache>
                <c:formatCode>_("$"* #,##0.00_);_("$"* \(#,##0.00\);_("$"* "-"??_);_(@_)</c:formatCode>
                <c:ptCount val="14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-5000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-200</c:v>
                </c:pt>
                <c:pt idx="26">
                  <c:v>-47.430000000000007</c:v>
                </c:pt>
                <c:pt idx="27">
                  <c:v>0</c:v>
                </c:pt>
                <c:pt idx="28">
                  <c:v>-250</c:v>
                </c:pt>
                <c:pt idx="29">
                  <c:v>0</c:v>
                </c:pt>
                <c:pt idx="30">
                  <c:v>-250</c:v>
                </c:pt>
                <c:pt idx="31">
                  <c:v>0</c:v>
                </c:pt>
                <c:pt idx="32">
                  <c:v>0</c:v>
                </c:pt>
                <c:pt idx="33">
                  <c:v>-250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-500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-1500</c:v>
                </c:pt>
                <c:pt idx="56">
                  <c:v>-65000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-14650</c:v>
                </c:pt>
                <c:pt idx="62">
                  <c:v>-800</c:v>
                </c:pt>
                <c:pt idx="63">
                  <c:v>-1200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084288"/>
        <c:axId val="241098752"/>
      </c:lineChart>
      <c:dateAx>
        <c:axId val="241084288"/>
        <c:scaling>
          <c:orientation val="minMax"/>
          <c:max val="45292"/>
        </c:scaling>
        <c:delete val="0"/>
        <c:axPos val="b"/>
        <c:majorGridlines/>
        <c:numFmt formatCode="mmmm\,\ yyyy" sourceLinked="0"/>
        <c:majorTickMark val="out"/>
        <c:minorTickMark val="none"/>
        <c:tickLblPos val="low"/>
        <c:crossAx val="241098752"/>
        <c:crosses val="autoZero"/>
        <c:auto val="0"/>
        <c:lblOffset val="100"/>
        <c:baseTimeUnit val="months"/>
        <c:minorUnit val="1"/>
        <c:minorTimeUnit val="months"/>
      </c:dateAx>
      <c:valAx>
        <c:axId val="241098752"/>
        <c:scaling>
          <c:orientation val="minMax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Amount</a:t>
                </a:r>
              </a:p>
            </c:rich>
          </c:tx>
          <c:overlay val="0"/>
        </c:title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241084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Gifts Per Month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59"/>
          <c:order val="0"/>
          <c:tx>
            <c:strRef>
              <c:f>Overview!$O$2</c:f>
              <c:strCache>
                <c:ptCount val="1"/>
                <c:pt idx="0">
                  <c:v>Gifts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cat>
            <c:numRef>
              <c:f>Overview!$A$3:$A$147</c:f>
              <c:numCache>
                <c:formatCode>m/d/yyyy</c:formatCode>
                <c:ptCount val="145"/>
                <c:pt idx="1">
                  <c:v>43466</c:v>
                </c:pt>
                <c:pt idx="2">
                  <c:v>43497</c:v>
                </c:pt>
                <c:pt idx="3">
                  <c:v>43525</c:v>
                </c:pt>
                <c:pt idx="4">
                  <c:v>43556</c:v>
                </c:pt>
                <c:pt idx="5">
                  <c:v>43586</c:v>
                </c:pt>
                <c:pt idx="6">
                  <c:v>43617</c:v>
                </c:pt>
                <c:pt idx="7">
                  <c:v>43647</c:v>
                </c:pt>
                <c:pt idx="8">
                  <c:v>43678</c:v>
                </c:pt>
                <c:pt idx="9">
                  <c:v>43709</c:v>
                </c:pt>
                <c:pt idx="10">
                  <c:v>43739</c:v>
                </c:pt>
                <c:pt idx="11">
                  <c:v>43770</c:v>
                </c:pt>
                <c:pt idx="12">
                  <c:v>43800</c:v>
                </c:pt>
                <c:pt idx="13">
                  <c:v>43831</c:v>
                </c:pt>
                <c:pt idx="14">
                  <c:v>43862</c:v>
                </c:pt>
                <c:pt idx="15">
                  <c:v>43891</c:v>
                </c:pt>
                <c:pt idx="16">
                  <c:v>43922</c:v>
                </c:pt>
                <c:pt idx="17">
                  <c:v>43952</c:v>
                </c:pt>
                <c:pt idx="18">
                  <c:v>43983</c:v>
                </c:pt>
                <c:pt idx="19">
                  <c:v>44013</c:v>
                </c:pt>
                <c:pt idx="20">
                  <c:v>44044</c:v>
                </c:pt>
                <c:pt idx="21">
                  <c:v>44075</c:v>
                </c:pt>
                <c:pt idx="22">
                  <c:v>44105</c:v>
                </c:pt>
                <c:pt idx="23">
                  <c:v>44136</c:v>
                </c:pt>
                <c:pt idx="24">
                  <c:v>44166</c:v>
                </c:pt>
                <c:pt idx="25">
                  <c:v>44197</c:v>
                </c:pt>
                <c:pt idx="26">
                  <c:v>44228</c:v>
                </c:pt>
                <c:pt idx="27">
                  <c:v>44256</c:v>
                </c:pt>
                <c:pt idx="28">
                  <c:v>44287</c:v>
                </c:pt>
                <c:pt idx="29">
                  <c:v>44317</c:v>
                </c:pt>
                <c:pt idx="30">
                  <c:v>44348</c:v>
                </c:pt>
                <c:pt idx="31">
                  <c:v>44378</c:v>
                </c:pt>
                <c:pt idx="32">
                  <c:v>44409</c:v>
                </c:pt>
                <c:pt idx="33">
                  <c:v>44440</c:v>
                </c:pt>
                <c:pt idx="34">
                  <c:v>44470</c:v>
                </c:pt>
                <c:pt idx="35">
                  <c:v>44501</c:v>
                </c:pt>
                <c:pt idx="36">
                  <c:v>44531</c:v>
                </c:pt>
                <c:pt idx="37">
                  <c:v>44562</c:v>
                </c:pt>
                <c:pt idx="38">
                  <c:v>44593</c:v>
                </c:pt>
                <c:pt idx="39">
                  <c:v>44621</c:v>
                </c:pt>
                <c:pt idx="40">
                  <c:v>44652</c:v>
                </c:pt>
                <c:pt idx="41">
                  <c:v>44682</c:v>
                </c:pt>
                <c:pt idx="42">
                  <c:v>44713</c:v>
                </c:pt>
                <c:pt idx="43">
                  <c:v>44743</c:v>
                </c:pt>
                <c:pt idx="44">
                  <c:v>44774</c:v>
                </c:pt>
                <c:pt idx="45">
                  <c:v>44805</c:v>
                </c:pt>
                <c:pt idx="46">
                  <c:v>44835</c:v>
                </c:pt>
                <c:pt idx="47">
                  <c:v>44866</c:v>
                </c:pt>
                <c:pt idx="48">
                  <c:v>44896</c:v>
                </c:pt>
                <c:pt idx="49">
                  <c:v>44927</c:v>
                </c:pt>
                <c:pt idx="50">
                  <c:v>44958</c:v>
                </c:pt>
                <c:pt idx="51">
                  <c:v>44986</c:v>
                </c:pt>
                <c:pt idx="52">
                  <c:v>45017</c:v>
                </c:pt>
                <c:pt idx="53">
                  <c:v>45047</c:v>
                </c:pt>
                <c:pt idx="54">
                  <c:v>45078</c:v>
                </c:pt>
                <c:pt idx="55">
                  <c:v>45108</c:v>
                </c:pt>
                <c:pt idx="56">
                  <c:v>45139</c:v>
                </c:pt>
                <c:pt idx="57">
                  <c:v>45170</c:v>
                </c:pt>
                <c:pt idx="58">
                  <c:v>45200</c:v>
                </c:pt>
                <c:pt idx="59">
                  <c:v>45231</c:v>
                </c:pt>
                <c:pt idx="60">
                  <c:v>45261</c:v>
                </c:pt>
                <c:pt idx="61">
                  <c:v>45292</c:v>
                </c:pt>
                <c:pt idx="62">
                  <c:v>45323</c:v>
                </c:pt>
                <c:pt idx="63">
                  <c:v>45352</c:v>
                </c:pt>
                <c:pt idx="64">
                  <c:v>45383</c:v>
                </c:pt>
                <c:pt idx="65">
                  <c:v>45413</c:v>
                </c:pt>
                <c:pt idx="66">
                  <c:v>45444</c:v>
                </c:pt>
                <c:pt idx="67">
                  <c:v>45474</c:v>
                </c:pt>
                <c:pt idx="68">
                  <c:v>45505</c:v>
                </c:pt>
                <c:pt idx="69">
                  <c:v>45536</c:v>
                </c:pt>
                <c:pt idx="70">
                  <c:v>45566</c:v>
                </c:pt>
                <c:pt idx="71">
                  <c:v>45597</c:v>
                </c:pt>
                <c:pt idx="72">
                  <c:v>45627</c:v>
                </c:pt>
                <c:pt idx="73">
                  <c:v>45658</c:v>
                </c:pt>
                <c:pt idx="74">
                  <c:v>45689</c:v>
                </c:pt>
                <c:pt idx="75">
                  <c:v>45717</c:v>
                </c:pt>
                <c:pt idx="76">
                  <c:v>45748</c:v>
                </c:pt>
                <c:pt idx="77">
                  <c:v>45778</c:v>
                </c:pt>
                <c:pt idx="78">
                  <c:v>45809</c:v>
                </c:pt>
                <c:pt idx="79">
                  <c:v>45839</c:v>
                </c:pt>
                <c:pt idx="80">
                  <c:v>45870</c:v>
                </c:pt>
                <c:pt idx="81">
                  <c:v>45901</c:v>
                </c:pt>
                <c:pt idx="82">
                  <c:v>45931</c:v>
                </c:pt>
                <c:pt idx="83">
                  <c:v>45962</c:v>
                </c:pt>
                <c:pt idx="84">
                  <c:v>45992</c:v>
                </c:pt>
                <c:pt idx="85">
                  <c:v>46023</c:v>
                </c:pt>
                <c:pt idx="86">
                  <c:v>46054</c:v>
                </c:pt>
                <c:pt idx="87">
                  <c:v>46082</c:v>
                </c:pt>
                <c:pt idx="88">
                  <c:v>46113</c:v>
                </c:pt>
                <c:pt idx="89">
                  <c:v>46143</c:v>
                </c:pt>
                <c:pt idx="90">
                  <c:v>46174</c:v>
                </c:pt>
                <c:pt idx="91">
                  <c:v>46204</c:v>
                </c:pt>
                <c:pt idx="92">
                  <c:v>46235</c:v>
                </c:pt>
                <c:pt idx="93">
                  <c:v>46266</c:v>
                </c:pt>
                <c:pt idx="94">
                  <c:v>46296</c:v>
                </c:pt>
                <c:pt idx="95">
                  <c:v>46327</c:v>
                </c:pt>
                <c:pt idx="96">
                  <c:v>46357</c:v>
                </c:pt>
                <c:pt idx="97">
                  <c:v>46388</c:v>
                </c:pt>
                <c:pt idx="98">
                  <c:v>46419</c:v>
                </c:pt>
                <c:pt idx="99">
                  <c:v>46447</c:v>
                </c:pt>
                <c:pt idx="100">
                  <c:v>46478</c:v>
                </c:pt>
                <c:pt idx="101">
                  <c:v>46508</c:v>
                </c:pt>
                <c:pt idx="102">
                  <c:v>46539</c:v>
                </c:pt>
                <c:pt idx="103">
                  <c:v>46569</c:v>
                </c:pt>
                <c:pt idx="104">
                  <c:v>46600</c:v>
                </c:pt>
                <c:pt idx="105">
                  <c:v>46631</c:v>
                </c:pt>
                <c:pt idx="106">
                  <c:v>46661</c:v>
                </c:pt>
                <c:pt idx="107">
                  <c:v>46692</c:v>
                </c:pt>
                <c:pt idx="108">
                  <c:v>46722</c:v>
                </c:pt>
                <c:pt idx="109">
                  <c:v>46753</c:v>
                </c:pt>
                <c:pt idx="110">
                  <c:v>46784</c:v>
                </c:pt>
                <c:pt idx="111">
                  <c:v>46813</c:v>
                </c:pt>
                <c:pt idx="112">
                  <c:v>46844</c:v>
                </c:pt>
                <c:pt idx="113">
                  <c:v>46874</c:v>
                </c:pt>
                <c:pt idx="114">
                  <c:v>46905</c:v>
                </c:pt>
                <c:pt idx="115">
                  <c:v>46935</c:v>
                </c:pt>
                <c:pt idx="116">
                  <c:v>46966</c:v>
                </c:pt>
                <c:pt idx="117">
                  <c:v>46997</c:v>
                </c:pt>
                <c:pt idx="118">
                  <c:v>47027</c:v>
                </c:pt>
                <c:pt idx="119">
                  <c:v>47058</c:v>
                </c:pt>
                <c:pt idx="120">
                  <c:v>47088</c:v>
                </c:pt>
                <c:pt idx="121">
                  <c:v>47119</c:v>
                </c:pt>
                <c:pt idx="122">
                  <c:v>47150</c:v>
                </c:pt>
                <c:pt idx="123">
                  <c:v>47178</c:v>
                </c:pt>
                <c:pt idx="124">
                  <c:v>47209</c:v>
                </c:pt>
                <c:pt idx="125">
                  <c:v>47239</c:v>
                </c:pt>
                <c:pt idx="126">
                  <c:v>47270</c:v>
                </c:pt>
                <c:pt idx="127">
                  <c:v>47300</c:v>
                </c:pt>
                <c:pt idx="128">
                  <c:v>47331</c:v>
                </c:pt>
                <c:pt idx="129">
                  <c:v>47362</c:v>
                </c:pt>
                <c:pt idx="130">
                  <c:v>47392</c:v>
                </c:pt>
                <c:pt idx="131">
                  <c:v>47423</c:v>
                </c:pt>
                <c:pt idx="132">
                  <c:v>47453</c:v>
                </c:pt>
                <c:pt idx="133">
                  <c:v>47484</c:v>
                </c:pt>
                <c:pt idx="134">
                  <c:v>47515</c:v>
                </c:pt>
                <c:pt idx="135">
                  <c:v>47543</c:v>
                </c:pt>
                <c:pt idx="136">
                  <c:v>47574</c:v>
                </c:pt>
                <c:pt idx="137">
                  <c:v>47604</c:v>
                </c:pt>
                <c:pt idx="138">
                  <c:v>47635</c:v>
                </c:pt>
                <c:pt idx="139">
                  <c:v>47665</c:v>
                </c:pt>
                <c:pt idx="140">
                  <c:v>47696</c:v>
                </c:pt>
                <c:pt idx="141">
                  <c:v>47727</c:v>
                </c:pt>
                <c:pt idx="142">
                  <c:v>47757</c:v>
                </c:pt>
                <c:pt idx="143">
                  <c:v>47788</c:v>
                </c:pt>
                <c:pt idx="144">
                  <c:v>47818</c:v>
                </c:pt>
              </c:numCache>
            </c:numRef>
          </c:cat>
          <c:val>
            <c:numRef>
              <c:f>Overview!$O$3:$O$147</c:f>
              <c:numCache>
                <c:formatCode>_("$"* #,##0.00_);_("$"* \(#,##0.00\);_("$"* "-"??_);_(@_)</c:formatCode>
                <c:ptCount val="14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-13.189999999999998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-36.75</c:v>
                </c:pt>
                <c:pt idx="34">
                  <c:v>0</c:v>
                </c:pt>
                <c:pt idx="35">
                  <c:v>-31.5</c:v>
                </c:pt>
                <c:pt idx="36">
                  <c:v>-74.529999999999987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-109.15</c:v>
                </c:pt>
                <c:pt idx="48">
                  <c:v>-34.96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-32.589999999999996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634688"/>
        <c:axId val="241657344"/>
      </c:lineChart>
      <c:dateAx>
        <c:axId val="241634688"/>
        <c:scaling>
          <c:orientation val="minMax"/>
          <c:max val="45292"/>
        </c:scaling>
        <c:delete val="0"/>
        <c:axPos val="b"/>
        <c:majorGridlines/>
        <c:numFmt formatCode="mmmm\,\ yyyy" sourceLinked="0"/>
        <c:majorTickMark val="out"/>
        <c:minorTickMark val="none"/>
        <c:tickLblPos val="low"/>
        <c:crossAx val="241657344"/>
        <c:crosses val="autoZero"/>
        <c:auto val="0"/>
        <c:lblOffset val="100"/>
        <c:baseTimeUnit val="months"/>
        <c:minorUnit val="1"/>
        <c:minorTimeUnit val="months"/>
      </c:dateAx>
      <c:valAx>
        <c:axId val="241657344"/>
        <c:scaling>
          <c:orientation val="minMax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Amount</a:t>
                </a:r>
              </a:p>
            </c:rich>
          </c:tx>
          <c:overlay val="0"/>
        </c:title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241634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Sports Per Month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59"/>
          <c:order val="0"/>
          <c:tx>
            <c:strRef>
              <c:f>Overview!$M$2</c:f>
              <c:strCache>
                <c:ptCount val="1"/>
                <c:pt idx="0">
                  <c:v>Sports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cat>
            <c:numRef>
              <c:f>Overview!$A$3:$A$147</c:f>
              <c:numCache>
                <c:formatCode>m/d/yyyy</c:formatCode>
                <c:ptCount val="145"/>
                <c:pt idx="1">
                  <c:v>43466</c:v>
                </c:pt>
                <c:pt idx="2">
                  <c:v>43497</c:v>
                </c:pt>
                <c:pt idx="3">
                  <c:v>43525</c:v>
                </c:pt>
                <c:pt idx="4">
                  <c:v>43556</c:v>
                </c:pt>
                <c:pt idx="5">
                  <c:v>43586</c:v>
                </c:pt>
                <c:pt idx="6">
                  <c:v>43617</c:v>
                </c:pt>
                <c:pt idx="7">
                  <c:v>43647</c:v>
                </c:pt>
                <c:pt idx="8">
                  <c:v>43678</c:v>
                </c:pt>
                <c:pt idx="9">
                  <c:v>43709</c:v>
                </c:pt>
                <c:pt idx="10">
                  <c:v>43739</c:v>
                </c:pt>
                <c:pt idx="11">
                  <c:v>43770</c:v>
                </c:pt>
                <c:pt idx="12">
                  <c:v>43800</c:v>
                </c:pt>
                <c:pt idx="13">
                  <c:v>43831</c:v>
                </c:pt>
                <c:pt idx="14">
                  <c:v>43862</c:v>
                </c:pt>
                <c:pt idx="15">
                  <c:v>43891</c:v>
                </c:pt>
                <c:pt idx="16">
                  <c:v>43922</c:v>
                </c:pt>
                <c:pt idx="17">
                  <c:v>43952</c:v>
                </c:pt>
                <c:pt idx="18">
                  <c:v>43983</c:v>
                </c:pt>
                <c:pt idx="19">
                  <c:v>44013</c:v>
                </c:pt>
                <c:pt idx="20">
                  <c:v>44044</c:v>
                </c:pt>
                <c:pt idx="21">
                  <c:v>44075</c:v>
                </c:pt>
                <c:pt idx="22">
                  <c:v>44105</c:v>
                </c:pt>
                <c:pt idx="23">
                  <c:v>44136</c:v>
                </c:pt>
                <c:pt idx="24">
                  <c:v>44166</c:v>
                </c:pt>
                <c:pt idx="25">
                  <c:v>44197</c:v>
                </c:pt>
                <c:pt idx="26">
                  <c:v>44228</c:v>
                </c:pt>
                <c:pt idx="27">
                  <c:v>44256</c:v>
                </c:pt>
                <c:pt idx="28">
                  <c:v>44287</c:v>
                </c:pt>
                <c:pt idx="29">
                  <c:v>44317</c:v>
                </c:pt>
                <c:pt idx="30">
                  <c:v>44348</c:v>
                </c:pt>
                <c:pt idx="31">
                  <c:v>44378</c:v>
                </c:pt>
                <c:pt idx="32">
                  <c:v>44409</c:v>
                </c:pt>
                <c:pt idx="33">
                  <c:v>44440</c:v>
                </c:pt>
                <c:pt idx="34">
                  <c:v>44470</c:v>
                </c:pt>
                <c:pt idx="35">
                  <c:v>44501</c:v>
                </c:pt>
                <c:pt idx="36">
                  <c:v>44531</c:v>
                </c:pt>
                <c:pt idx="37">
                  <c:v>44562</c:v>
                </c:pt>
                <c:pt idx="38">
                  <c:v>44593</c:v>
                </c:pt>
                <c:pt idx="39">
                  <c:v>44621</c:v>
                </c:pt>
                <c:pt idx="40">
                  <c:v>44652</c:v>
                </c:pt>
                <c:pt idx="41">
                  <c:v>44682</c:v>
                </c:pt>
                <c:pt idx="42">
                  <c:v>44713</c:v>
                </c:pt>
                <c:pt idx="43">
                  <c:v>44743</c:v>
                </c:pt>
                <c:pt idx="44">
                  <c:v>44774</c:v>
                </c:pt>
                <c:pt idx="45">
                  <c:v>44805</c:v>
                </c:pt>
                <c:pt idx="46">
                  <c:v>44835</c:v>
                </c:pt>
                <c:pt idx="47">
                  <c:v>44866</c:v>
                </c:pt>
                <c:pt idx="48">
                  <c:v>44896</c:v>
                </c:pt>
                <c:pt idx="49">
                  <c:v>44927</c:v>
                </c:pt>
                <c:pt idx="50">
                  <c:v>44958</c:v>
                </c:pt>
                <c:pt idx="51">
                  <c:v>44986</c:v>
                </c:pt>
                <c:pt idx="52">
                  <c:v>45017</c:v>
                </c:pt>
                <c:pt idx="53">
                  <c:v>45047</c:v>
                </c:pt>
                <c:pt idx="54">
                  <c:v>45078</c:v>
                </c:pt>
                <c:pt idx="55">
                  <c:v>45108</c:v>
                </c:pt>
                <c:pt idx="56">
                  <c:v>45139</c:v>
                </c:pt>
                <c:pt idx="57">
                  <c:v>45170</c:v>
                </c:pt>
                <c:pt idx="58">
                  <c:v>45200</c:v>
                </c:pt>
                <c:pt idx="59">
                  <c:v>45231</c:v>
                </c:pt>
                <c:pt idx="60">
                  <c:v>45261</c:v>
                </c:pt>
                <c:pt idx="61">
                  <c:v>45292</c:v>
                </c:pt>
                <c:pt idx="62">
                  <c:v>45323</c:v>
                </c:pt>
                <c:pt idx="63">
                  <c:v>45352</c:v>
                </c:pt>
                <c:pt idx="64">
                  <c:v>45383</c:v>
                </c:pt>
                <c:pt idx="65">
                  <c:v>45413</c:v>
                </c:pt>
                <c:pt idx="66">
                  <c:v>45444</c:v>
                </c:pt>
                <c:pt idx="67">
                  <c:v>45474</c:v>
                </c:pt>
                <c:pt idx="68">
                  <c:v>45505</c:v>
                </c:pt>
                <c:pt idx="69">
                  <c:v>45536</c:v>
                </c:pt>
                <c:pt idx="70">
                  <c:v>45566</c:v>
                </c:pt>
                <c:pt idx="71">
                  <c:v>45597</c:v>
                </c:pt>
                <c:pt idx="72">
                  <c:v>45627</c:v>
                </c:pt>
                <c:pt idx="73">
                  <c:v>45658</c:v>
                </c:pt>
                <c:pt idx="74">
                  <c:v>45689</c:v>
                </c:pt>
                <c:pt idx="75">
                  <c:v>45717</c:v>
                </c:pt>
                <c:pt idx="76">
                  <c:v>45748</c:v>
                </c:pt>
                <c:pt idx="77">
                  <c:v>45778</c:v>
                </c:pt>
                <c:pt idx="78">
                  <c:v>45809</c:v>
                </c:pt>
                <c:pt idx="79">
                  <c:v>45839</c:v>
                </c:pt>
                <c:pt idx="80">
                  <c:v>45870</c:v>
                </c:pt>
                <c:pt idx="81">
                  <c:v>45901</c:v>
                </c:pt>
                <c:pt idx="82">
                  <c:v>45931</c:v>
                </c:pt>
                <c:pt idx="83">
                  <c:v>45962</c:v>
                </c:pt>
                <c:pt idx="84">
                  <c:v>45992</c:v>
                </c:pt>
                <c:pt idx="85">
                  <c:v>46023</c:v>
                </c:pt>
                <c:pt idx="86">
                  <c:v>46054</c:v>
                </c:pt>
                <c:pt idx="87">
                  <c:v>46082</c:v>
                </c:pt>
                <c:pt idx="88">
                  <c:v>46113</c:v>
                </c:pt>
                <c:pt idx="89">
                  <c:v>46143</c:v>
                </c:pt>
                <c:pt idx="90">
                  <c:v>46174</c:v>
                </c:pt>
                <c:pt idx="91">
                  <c:v>46204</c:v>
                </c:pt>
                <c:pt idx="92">
                  <c:v>46235</c:v>
                </c:pt>
                <c:pt idx="93">
                  <c:v>46266</c:v>
                </c:pt>
                <c:pt idx="94">
                  <c:v>46296</c:v>
                </c:pt>
                <c:pt idx="95">
                  <c:v>46327</c:v>
                </c:pt>
                <c:pt idx="96">
                  <c:v>46357</c:v>
                </c:pt>
                <c:pt idx="97">
                  <c:v>46388</c:v>
                </c:pt>
                <c:pt idx="98">
                  <c:v>46419</c:v>
                </c:pt>
                <c:pt idx="99">
                  <c:v>46447</c:v>
                </c:pt>
                <c:pt idx="100">
                  <c:v>46478</c:v>
                </c:pt>
                <c:pt idx="101">
                  <c:v>46508</c:v>
                </c:pt>
                <c:pt idx="102">
                  <c:v>46539</c:v>
                </c:pt>
                <c:pt idx="103">
                  <c:v>46569</c:v>
                </c:pt>
                <c:pt idx="104">
                  <c:v>46600</c:v>
                </c:pt>
                <c:pt idx="105">
                  <c:v>46631</c:v>
                </c:pt>
                <c:pt idx="106">
                  <c:v>46661</c:v>
                </c:pt>
                <c:pt idx="107">
                  <c:v>46692</c:v>
                </c:pt>
                <c:pt idx="108">
                  <c:v>46722</c:v>
                </c:pt>
                <c:pt idx="109">
                  <c:v>46753</c:v>
                </c:pt>
                <c:pt idx="110">
                  <c:v>46784</c:v>
                </c:pt>
                <c:pt idx="111">
                  <c:v>46813</c:v>
                </c:pt>
                <c:pt idx="112">
                  <c:v>46844</c:v>
                </c:pt>
                <c:pt idx="113">
                  <c:v>46874</c:v>
                </c:pt>
                <c:pt idx="114">
                  <c:v>46905</c:v>
                </c:pt>
                <c:pt idx="115">
                  <c:v>46935</c:v>
                </c:pt>
                <c:pt idx="116">
                  <c:v>46966</c:v>
                </c:pt>
                <c:pt idx="117">
                  <c:v>46997</c:v>
                </c:pt>
                <c:pt idx="118">
                  <c:v>47027</c:v>
                </c:pt>
                <c:pt idx="119">
                  <c:v>47058</c:v>
                </c:pt>
                <c:pt idx="120">
                  <c:v>47088</c:v>
                </c:pt>
                <c:pt idx="121">
                  <c:v>47119</c:v>
                </c:pt>
                <c:pt idx="122">
                  <c:v>47150</c:v>
                </c:pt>
                <c:pt idx="123">
                  <c:v>47178</c:v>
                </c:pt>
                <c:pt idx="124">
                  <c:v>47209</c:v>
                </c:pt>
                <c:pt idx="125">
                  <c:v>47239</c:v>
                </c:pt>
                <c:pt idx="126">
                  <c:v>47270</c:v>
                </c:pt>
                <c:pt idx="127">
                  <c:v>47300</c:v>
                </c:pt>
                <c:pt idx="128">
                  <c:v>47331</c:v>
                </c:pt>
                <c:pt idx="129">
                  <c:v>47362</c:v>
                </c:pt>
                <c:pt idx="130">
                  <c:v>47392</c:v>
                </c:pt>
                <c:pt idx="131">
                  <c:v>47423</c:v>
                </c:pt>
                <c:pt idx="132">
                  <c:v>47453</c:v>
                </c:pt>
                <c:pt idx="133">
                  <c:v>47484</c:v>
                </c:pt>
                <c:pt idx="134">
                  <c:v>47515</c:v>
                </c:pt>
                <c:pt idx="135">
                  <c:v>47543</c:v>
                </c:pt>
                <c:pt idx="136">
                  <c:v>47574</c:v>
                </c:pt>
                <c:pt idx="137">
                  <c:v>47604</c:v>
                </c:pt>
                <c:pt idx="138">
                  <c:v>47635</c:v>
                </c:pt>
                <c:pt idx="139">
                  <c:v>47665</c:v>
                </c:pt>
                <c:pt idx="140">
                  <c:v>47696</c:v>
                </c:pt>
                <c:pt idx="141">
                  <c:v>47727</c:v>
                </c:pt>
                <c:pt idx="142">
                  <c:v>47757</c:v>
                </c:pt>
                <c:pt idx="143">
                  <c:v>47788</c:v>
                </c:pt>
                <c:pt idx="144">
                  <c:v>47818</c:v>
                </c:pt>
              </c:numCache>
            </c:numRef>
          </c:cat>
          <c:val>
            <c:numRef>
              <c:f>Overview!$M$3:$M$147</c:f>
              <c:numCache>
                <c:formatCode>_("$"* #,##0.00_);_("$"* \(#,##0.00\);_("$"* "-"??_);_(@_)</c:formatCode>
                <c:ptCount val="14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-148.80000000000001</c:v>
                </c:pt>
                <c:pt idx="32">
                  <c:v>0</c:v>
                </c:pt>
                <c:pt idx="33">
                  <c:v>0</c:v>
                </c:pt>
                <c:pt idx="34">
                  <c:v>-162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-84</c:v>
                </c:pt>
                <c:pt idx="40">
                  <c:v>-138.75</c:v>
                </c:pt>
                <c:pt idx="41">
                  <c:v>-210.88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-168.85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-90.6</c:v>
                </c:pt>
                <c:pt idx="51">
                  <c:v>0</c:v>
                </c:pt>
                <c:pt idx="52">
                  <c:v>-233.26</c:v>
                </c:pt>
                <c:pt idx="53">
                  <c:v>-199.27</c:v>
                </c:pt>
                <c:pt idx="54">
                  <c:v>0</c:v>
                </c:pt>
                <c:pt idx="55">
                  <c:v>-11.63</c:v>
                </c:pt>
                <c:pt idx="56">
                  <c:v>-115.5</c:v>
                </c:pt>
                <c:pt idx="57">
                  <c:v>-177.59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677440"/>
        <c:axId val="241679360"/>
      </c:lineChart>
      <c:dateAx>
        <c:axId val="241677440"/>
        <c:scaling>
          <c:orientation val="minMax"/>
          <c:max val="45292"/>
        </c:scaling>
        <c:delete val="0"/>
        <c:axPos val="b"/>
        <c:majorGridlines/>
        <c:numFmt formatCode="mmmm\,\ yyyy" sourceLinked="0"/>
        <c:majorTickMark val="out"/>
        <c:minorTickMark val="none"/>
        <c:tickLblPos val="low"/>
        <c:crossAx val="241679360"/>
        <c:crosses val="autoZero"/>
        <c:auto val="0"/>
        <c:lblOffset val="100"/>
        <c:baseTimeUnit val="months"/>
        <c:minorUnit val="1"/>
        <c:minorTimeUnit val="months"/>
      </c:dateAx>
      <c:valAx>
        <c:axId val="241679360"/>
        <c:scaling>
          <c:orientation val="minMax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Amount</a:t>
                </a:r>
              </a:p>
            </c:rich>
          </c:tx>
          <c:overlay val="0"/>
        </c:title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241677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Education Per Month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59"/>
          <c:order val="0"/>
          <c:tx>
            <c:strRef>
              <c:f>Overview!$K$2</c:f>
              <c:strCache>
                <c:ptCount val="1"/>
                <c:pt idx="0">
                  <c:v>Education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cat>
            <c:numRef>
              <c:f>Overview!$A$3:$A$147</c:f>
              <c:numCache>
                <c:formatCode>m/d/yyyy</c:formatCode>
                <c:ptCount val="145"/>
                <c:pt idx="1">
                  <c:v>43466</c:v>
                </c:pt>
                <c:pt idx="2">
                  <c:v>43497</c:v>
                </c:pt>
                <c:pt idx="3">
                  <c:v>43525</c:v>
                </c:pt>
                <c:pt idx="4">
                  <c:v>43556</c:v>
                </c:pt>
                <c:pt idx="5">
                  <c:v>43586</c:v>
                </c:pt>
                <c:pt idx="6">
                  <c:v>43617</c:v>
                </c:pt>
                <c:pt idx="7">
                  <c:v>43647</c:v>
                </c:pt>
                <c:pt idx="8">
                  <c:v>43678</c:v>
                </c:pt>
                <c:pt idx="9">
                  <c:v>43709</c:v>
                </c:pt>
                <c:pt idx="10">
                  <c:v>43739</c:v>
                </c:pt>
                <c:pt idx="11">
                  <c:v>43770</c:v>
                </c:pt>
                <c:pt idx="12">
                  <c:v>43800</c:v>
                </c:pt>
                <c:pt idx="13">
                  <c:v>43831</c:v>
                </c:pt>
                <c:pt idx="14">
                  <c:v>43862</c:v>
                </c:pt>
                <c:pt idx="15">
                  <c:v>43891</c:v>
                </c:pt>
                <c:pt idx="16">
                  <c:v>43922</c:v>
                </c:pt>
                <c:pt idx="17">
                  <c:v>43952</c:v>
                </c:pt>
                <c:pt idx="18">
                  <c:v>43983</c:v>
                </c:pt>
                <c:pt idx="19">
                  <c:v>44013</c:v>
                </c:pt>
                <c:pt idx="20">
                  <c:v>44044</c:v>
                </c:pt>
                <c:pt idx="21">
                  <c:v>44075</c:v>
                </c:pt>
                <c:pt idx="22">
                  <c:v>44105</c:v>
                </c:pt>
                <c:pt idx="23">
                  <c:v>44136</c:v>
                </c:pt>
                <c:pt idx="24">
                  <c:v>44166</c:v>
                </c:pt>
                <c:pt idx="25">
                  <c:v>44197</c:v>
                </c:pt>
                <c:pt idx="26">
                  <c:v>44228</c:v>
                </c:pt>
                <c:pt idx="27">
                  <c:v>44256</c:v>
                </c:pt>
                <c:pt idx="28">
                  <c:v>44287</c:v>
                </c:pt>
                <c:pt idx="29">
                  <c:v>44317</c:v>
                </c:pt>
                <c:pt idx="30">
                  <c:v>44348</c:v>
                </c:pt>
                <c:pt idx="31">
                  <c:v>44378</c:v>
                </c:pt>
                <c:pt idx="32">
                  <c:v>44409</c:v>
                </c:pt>
                <c:pt idx="33">
                  <c:v>44440</c:v>
                </c:pt>
                <c:pt idx="34">
                  <c:v>44470</c:v>
                </c:pt>
                <c:pt idx="35">
                  <c:v>44501</c:v>
                </c:pt>
                <c:pt idx="36">
                  <c:v>44531</c:v>
                </c:pt>
                <c:pt idx="37">
                  <c:v>44562</c:v>
                </c:pt>
                <c:pt idx="38">
                  <c:v>44593</c:v>
                </c:pt>
                <c:pt idx="39">
                  <c:v>44621</c:v>
                </c:pt>
                <c:pt idx="40">
                  <c:v>44652</c:v>
                </c:pt>
                <c:pt idx="41">
                  <c:v>44682</c:v>
                </c:pt>
                <c:pt idx="42">
                  <c:v>44713</c:v>
                </c:pt>
                <c:pt idx="43">
                  <c:v>44743</c:v>
                </c:pt>
                <c:pt idx="44">
                  <c:v>44774</c:v>
                </c:pt>
                <c:pt idx="45">
                  <c:v>44805</c:v>
                </c:pt>
                <c:pt idx="46">
                  <c:v>44835</c:v>
                </c:pt>
                <c:pt idx="47">
                  <c:v>44866</c:v>
                </c:pt>
                <c:pt idx="48">
                  <c:v>44896</c:v>
                </c:pt>
                <c:pt idx="49">
                  <c:v>44927</c:v>
                </c:pt>
                <c:pt idx="50">
                  <c:v>44958</c:v>
                </c:pt>
                <c:pt idx="51">
                  <c:v>44986</c:v>
                </c:pt>
                <c:pt idx="52">
                  <c:v>45017</c:v>
                </c:pt>
                <c:pt idx="53">
                  <c:v>45047</c:v>
                </c:pt>
                <c:pt idx="54">
                  <c:v>45078</c:v>
                </c:pt>
                <c:pt idx="55">
                  <c:v>45108</c:v>
                </c:pt>
                <c:pt idx="56">
                  <c:v>45139</c:v>
                </c:pt>
                <c:pt idx="57">
                  <c:v>45170</c:v>
                </c:pt>
                <c:pt idx="58">
                  <c:v>45200</c:v>
                </c:pt>
                <c:pt idx="59">
                  <c:v>45231</c:v>
                </c:pt>
                <c:pt idx="60">
                  <c:v>45261</c:v>
                </c:pt>
                <c:pt idx="61">
                  <c:v>45292</c:v>
                </c:pt>
                <c:pt idx="62">
                  <c:v>45323</c:v>
                </c:pt>
                <c:pt idx="63">
                  <c:v>45352</c:v>
                </c:pt>
                <c:pt idx="64">
                  <c:v>45383</c:v>
                </c:pt>
                <c:pt idx="65">
                  <c:v>45413</c:v>
                </c:pt>
                <c:pt idx="66">
                  <c:v>45444</c:v>
                </c:pt>
                <c:pt idx="67">
                  <c:v>45474</c:v>
                </c:pt>
                <c:pt idx="68">
                  <c:v>45505</c:v>
                </c:pt>
                <c:pt idx="69">
                  <c:v>45536</c:v>
                </c:pt>
                <c:pt idx="70">
                  <c:v>45566</c:v>
                </c:pt>
                <c:pt idx="71">
                  <c:v>45597</c:v>
                </c:pt>
                <c:pt idx="72">
                  <c:v>45627</c:v>
                </c:pt>
                <c:pt idx="73">
                  <c:v>45658</c:v>
                </c:pt>
                <c:pt idx="74">
                  <c:v>45689</c:v>
                </c:pt>
                <c:pt idx="75">
                  <c:v>45717</c:v>
                </c:pt>
                <c:pt idx="76">
                  <c:v>45748</c:v>
                </c:pt>
                <c:pt idx="77">
                  <c:v>45778</c:v>
                </c:pt>
                <c:pt idx="78">
                  <c:v>45809</c:v>
                </c:pt>
                <c:pt idx="79">
                  <c:v>45839</c:v>
                </c:pt>
                <c:pt idx="80">
                  <c:v>45870</c:v>
                </c:pt>
                <c:pt idx="81">
                  <c:v>45901</c:v>
                </c:pt>
                <c:pt idx="82">
                  <c:v>45931</c:v>
                </c:pt>
                <c:pt idx="83">
                  <c:v>45962</c:v>
                </c:pt>
                <c:pt idx="84">
                  <c:v>45992</c:v>
                </c:pt>
                <c:pt idx="85">
                  <c:v>46023</c:v>
                </c:pt>
                <c:pt idx="86">
                  <c:v>46054</c:v>
                </c:pt>
                <c:pt idx="87">
                  <c:v>46082</c:v>
                </c:pt>
                <c:pt idx="88">
                  <c:v>46113</c:v>
                </c:pt>
                <c:pt idx="89">
                  <c:v>46143</c:v>
                </c:pt>
                <c:pt idx="90">
                  <c:v>46174</c:v>
                </c:pt>
                <c:pt idx="91">
                  <c:v>46204</c:v>
                </c:pt>
                <c:pt idx="92">
                  <c:v>46235</c:v>
                </c:pt>
                <c:pt idx="93">
                  <c:v>46266</c:v>
                </c:pt>
                <c:pt idx="94">
                  <c:v>46296</c:v>
                </c:pt>
                <c:pt idx="95">
                  <c:v>46327</c:v>
                </c:pt>
                <c:pt idx="96">
                  <c:v>46357</c:v>
                </c:pt>
                <c:pt idx="97">
                  <c:v>46388</c:v>
                </c:pt>
                <c:pt idx="98">
                  <c:v>46419</c:v>
                </c:pt>
                <c:pt idx="99">
                  <c:v>46447</c:v>
                </c:pt>
                <c:pt idx="100">
                  <c:v>46478</c:v>
                </c:pt>
                <c:pt idx="101">
                  <c:v>46508</c:v>
                </c:pt>
                <c:pt idx="102">
                  <c:v>46539</c:v>
                </c:pt>
                <c:pt idx="103">
                  <c:v>46569</c:v>
                </c:pt>
                <c:pt idx="104">
                  <c:v>46600</c:v>
                </c:pt>
                <c:pt idx="105">
                  <c:v>46631</c:v>
                </c:pt>
                <c:pt idx="106">
                  <c:v>46661</c:v>
                </c:pt>
                <c:pt idx="107">
                  <c:v>46692</c:v>
                </c:pt>
                <c:pt idx="108">
                  <c:v>46722</c:v>
                </c:pt>
                <c:pt idx="109">
                  <c:v>46753</c:v>
                </c:pt>
                <c:pt idx="110">
                  <c:v>46784</c:v>
                </c:pt>
                <c:pt idx="111">
                  <c:v>46813</c:v>
                </c:pt>
                <c:pt idx="112">
                  <c:v>46844</c:v>
                </c:pt>
                <c:pt idx="113">
                  <c:v>46874</c:v>
                </c:pt>
                <c:pt idx="114">
                  <c:v>46905</c:v>
                </c:pt>
                <c:pt idx="115">
                  <c:v>46935</c:v>
                </c:pt>
                <c:pt idx="116">
                  <c:v>46966</c:v>
                </c:pt>
                <c:pt idx="117">
                  <c:v>46997</c:v>
                </c:pt>
                <c:pt idx="118">
                  <c:v>47027</c:v>
                </c:pt>
                <c:pt idx="119">
                  <c:v>47058</c:v>
                </c:pt>
                <c:pt idx="120">
                  <c:v>47088</c:v>
                </c:pt>
                <c:pt idx="121">
                  <c:v>47119</c:v>
                </c:pt>
                <c:pt idx="122">
                  <c:v>47150</c:v>
                </c:pt>
                <c:pt idx="123">
                  <c:v>47178</c:v>
                </c:pt>
                <c:pt idx="124">
                  <c:v>47209</c:v>
                </c:pt>
                <c:pt idx="125">
                  <c:v>47239</c:v>
                </c:pt>
                <c:pt idx="126">
                  <c:v>47270</c:v>
                </c:pt>
                <c:pt idx="127">
                  <c:v>47300</c:v>
                </c:pt>
                <c:pt idx="128">
                  <c:v>47331</c:v>
                </c:pt>
                <c:pt idx="129">
                  <c:v>47362</c:v>
                </c:pt>
                <c:pt idx="130">
                  <c:v>47392</c:v>
                </c:pt>
                <c:pt idx="131">
                  <c:v>47423</c:v>
                </c:pt>
                <c:pt idx="132">
                  <c:v>47453</c:v>
                </c:pt>
                <c:pt idx="133">
                  <c:v>47484</c:v>
                </c:pt>
                <c:pt idx="134">
                  <c:v>47515</c:v>
                </c:pt>
                <c:pt idx="135">
                  <c:v>47543</c:v>
                </c:pt>
                <c:pt idx="136">
                  <c:v>47574</c:v>
                </c:pt>
                <c:pt idx="137">
                  <c:v>47604</c:v>
                </c:pt>
                <c:pt idx="138">
                  <c:v>47635</c:v>
                </c:pt>
                <c:pt idx="139">
                  <c:v>47665</c:v>
                </c:pt>
                <c:pt idx="140">
                  <c:v>47696</c:v>
                </c:pt>
                <c:pt idx="141">
                  <c:v>47727</c:v>
                </c:pt>
                <c:pt idx="142">
                  <c:v>47757</c:v>
                </c:pt>
                <c:pt idx="143">
                  <c:v>47788</c:v>
                </c:pt>
                <c:pt idx="144">
                  <c:v>47818</c:v>
                </c:pt>
              </c:numCache>
            </c:numRef>
          </c:cat>
          <c:val>
            <c:numRef>
              <c:f>Overview!$K$3:$K$147</c:f>
              <c:numCache>
                <c:formatCode>_("$"* #,##0.00_);_("$"* \(#,##0.00\);_("$"* "-"??_);_(@_)</c:formatCode>
                <c:ptCount val="145"/>
                <c:pt idx="1">
                  <c:v>0</c:v>
                </c:pt>
                <c:pt idx="2">
                  <c:v>-4140.6000000000004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-897.47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695360"/>
        <c:axId val="241718016"/>
      </c:lineChart>
      <c:dateAx>
        <c:axId val="241695360"/>
        <c:scaling>
          <c:orientation val="minMax"/>
          <c:max val="45292"/>
        </c:scaling>
        <c:delete val="0"/>
        <c:axPos val="b"/>
        <c:majorGridlines/>
        <c:numFmt formatCode="mmmm\,\ yyyy" sourceLinked="0"/>
        <c:majorTickMark val="out"/>
        <c:minorTickMark val="none"/>
        <c:tickLblPos val="low"/>
        <c:crossAx val="241718016"/>
        <c:crosses val="autoZero"/>
        <c:auto val="0"/>
        <c:lblOffset val="100"/>
        <c:baseTimeUnit val="months"/>
        <c:minorUnit val="1"/>
        <c:minorTimeUnit val="months"/>
      </c:dateAx>
      <c:valAx>
        <c:axId val="241718016"/>
        <c:scaling>
          <c:orientation val="minMax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Amount</a:t>
                </a:r>
              </a:p>
            </c:rich>
          </c:tx>
          <c:overlay val="0"/>
        </c:title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241695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Sasktel Per Month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59"/>
          <c:order val="0"/>
          <c:tx>
            <c:strRef>
              <c:f>Overview!$S$2</c:f>
              <c:strCache>
                <c:ptCount val="1"/>
                <c:pt idx="0">
                  <c:v>Sasktel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cat>
            <c:numRef>
              <c:f>Overview!$A$3:$A$147</c:f>
              <c:numCache>
                <c:formatCode>m/d/yyyy</c:formatCode>
                <c:ptCount val="145"/>
                <c:pt idx="1">
                  <c:v>43466</c:v>
                </c:pt>
                <c:pt idx="2">
                  <c:v>43497</c:v>
                </c:pt>
                <c:pt idx="3">
                  <c:v>43525</c:v>
                </c:pt>
                <c:pt idx="4">
                  <c:v>43556</c:v>
                </c:pt>
                <c:pt idx="5">
                  <c:v>43586</c:v>
                </c:pt>
                <c:pt idx="6">
                  <c:v>43617</c:v>
                </c:pt>
                <c:pt idx="7">
                  <c:v>43647</c:v>
                </c:pt>
                <c:pt idx="8">
                  <c:v>43678</c:v>
                </c:pt>
                <c:pt idx="9">
                  <c:v>43709</c:v>
                </c:pt>
                <c:pt idx="10">
                  <c:v>43739</c:v>
                </c:pt>
                <c:pt idx="11">
                  <c:v>43770</c:v>
                </c:pt>
                <c:pt idx="12">
                  <c:v>43800</c:v>
                </c:pt>
                <c:pt idx="13">
                  <c:v>43831</c:v>
                </c:pt>
                <c:pt idx="14">
                  <c:v>43862</c:v>
                </c:pt>
                <c:pt idx="15">
                  <c:v>43891</c:v>
                </c:pt>
                <c:pt idx="16">
                  <c:v>43922</c:v>
                </c:pt>
                <c:pt idx="17">
                  <c:v>43952</c:v>
                </c:pt>
                <c:pt idx="18">
                  <c:v>43983</c:v>
                </c:pt>
                <c:pt idx="19">
                  <c:v>44013</c:v>
                </c:pt>
                <c:pt idx="20">
                  <c:v>44044</c:v>
                </c:pt>
                <c:pt idx="21">
                  <c:v>44075</c:v>
                </c:pt>
                <c:pt idx="22">
                  <c:v>44105</c:v>
                </c:pt>
                <c:pt idx="23">
                  <c:v>44136</c:v>
                </c:pt>
                <c:pt idx="24">
                  <c:v>44166</c:v>
                </c:pt>
                <c:pt idx="25">
                  <c:v>44197</c:v>
                </c:pt>
                <c:pt idx="26">
                  <c:v>44228</c:v>
                </c:pt>
                <c:pt idx="27">
                  <c:v>44256</c:v>
                </c:pt>
                <c:pt idx="28">
                  <c:v>44287</c:v>
                </c:pt>
                <c:pt idx="29">
                  <c:v>44317</c:v>
                </c:pt>
                <c:pt idx="30">
                  <c:v>44348</c:v>
                </c:pt>
                <c:pt idx="31">
                  <c:v>44378</c:v>
                </c:pt>
                <c:pt idx="32">
                  <c:v>44409</c:v>
                </c:pt>
                <c:pt idx="33">
                  <c:v>44440</c:v>
                </c:pt>
                <c:pt idx="34">
                  <c:v>44470</c:v>
                </c:pt>
                <c:pt idx="35">
                  <c:v>44501</c:v>
                </c:pt>
                <c:pt idx="36">
                  <c:v>44531</c:v>
                </c:pt>
                <c:pt idx="37">
                  <c:v>44562</c:v>
                </c:pt>
                <c:pt idx="38">
                  <c:v>44593</c:v>
                </c:pt>
                <c:pt idx="39">
                  <c:v>44621</c:v>
                </c:pt>
                <c:pt idx="40">
                  <c:v>44652</c:v>
                </c:pt>
                <c:pt idx="41">
                  <c:v>44682</c:v>
                </c:pt>
                <c:pt idx="42">
                  <c:v>44713</c:v>
                </c:pt>
                <c:pt idx="43">
                  <c:v>44743</c:v>
                </c:pt>
                <c:pt idx="44">
                  <c:v>44774</c:v>
                </c:pt>
                <c:pt idx="45">
                  <c:v>44805</c:v>
                </c:pt>
                <c:pt idx="46">
                  <c:v>44835</c:v>
                </c:pt>
                <c:pt idx="47">
                  <c:v>44866</c:v>
                </c:pt>
                <c:pt idx="48">
                  <c:v>44896</c:v>
                </c:pt>
                <c:pt idx="49">
                  <c:v>44927</c:v>
                </c:pt>
                <c:pt idx="50">
                  <c:v>44958</c:v>
                </c:pt>
                <c:pt idx="51">
                  <c:v>44986</c:v>
                </c:pt>
                <c:pt idx="52">
                  <c:v>45017</c:v>
                </c:pt>
                <c:pt idx="53">
                  <c:v>45047</c:v>
                </c:pt>
                <c:pt idx="54">
                  <c:v>45078</c:v>
                </c:pt>
                <c:pt idx="55">
                  <c:v>45108</c:v>
                </c:pt>
                <c:pt idx="56">
                  <c:v>45139</c:v>
                </c:pt>
                <c:pt idx="57">
                  <c:v>45170</c:v>
                </c:pt>
                <c:pt idx="58">
                  <c:v>45200</c:v>
                </c:pt>
                <c:pt idx="59">
                  <c:v>45231</c:v>
                </c:pt>
                <c:pt idx="60">
                  <c:v>45261</c:v>
                </c:pt>
                <c:pt idx="61">
                  <c:v>45292</c:v>
                </c:pt>
                <c:pt idx="62">
                  <c:v>45323</c:v>
                </c:pt>
                <c:pt idx="63">
                  <c:v>45352</c:v>
                </c:pt>
                <c:pt idx="64">
                  <c:v>45383</c:v>
                </c:pt>
                <c:pt idx="65">
                  <c:v>45413</c:v>
                </c:pt>
                <c:pt idx="66">
                  <c:v>45444</c:v>
                </c:pt>
                <c:pt idx="67">
                  <c:v>45474</c:v>
                </c:pt>
                <c:pt idx="68">
                  <c:v>45505</c:v>
                </c:pt>
                <c:pt idx="69">
                  <c:v>45536</c:v>
                </c:pt>
                <c:pt idx="70">
                  <c:v>45566</c:v>
                </c:pt>
                <c:pt idx="71">
                  <c:v>45597</c:v>
                </c:pt>
                <c:pt idx="72">
                  <c:v>45627</c:v>
                </c:pt>
                <c:pt idx="73">
                  <c:v>45658</c:v>
                </c:pt>
                <c:pt idx="74">
                  <c:v>45689</c:v>
                </c:pt>
                <c:pt idx="75">
                  <c:v>45717</c:v>
                </c:pt>
                <c:pt idx="76">
                  <c:v>45748</c:v>
                </c:pt>
                <c:pt idx="77">
                  <c:v>45778</c:v>
                </c:pt>
                <c:pt idx="78">
                  <c:v>45809</c:v>
                </c:pt>
                <c:pt idx="79">
                  <c:v>45839</c:v>
                </c:pt>
                <c:pt idx="80">
                  <c:v>45870</c:v>
                </c:pt>
                <c:pt idx="81">
                  <c:v>45901</c:v>
                </c:pt>
                <c:pt idx="82">
                  <c:v>45931</c:v>
                </c:pt>
                <c:pt idx="83">
                  <c:v>45962</c:v>
                </c:pt>
                <c:pt idx="84">
                  <c:v>45992</c:v>
                </c:pt>
                <c:pt idx="85">
                  <c:v>46023</c:v>
                </c:pt>
                <c:pt idx="86">
                  <c:v>46054</c:v>
                </c:pt>
                <c:pt idx="87">
                  <c:v>46082</c:v>
                </c:pt>
                <c:pt idx="88">
                  <c:v>46113</c:v>
                </c:pt>
                <c:pt idx="89">
                  <c:v>46143</c:v>
                </c:pt>
                <c:pt idx="90">
                  <c:v>46174</c:v>
                </c:pt>
                <c:pt idx="91">
                  <c:v>46204</c:v>
                </c:pt>
                <c:pt idx="92">
                  <c:v>46235</c:v>
                </c:pt>
                <c:pt idx="93">
                  <c:v>46266</c:v>
                </c:pt>
                <c:pt idx="94">
                  <c:v>46296</c:v>
                </c:pt>
                <c:pt idx="95">
                  <c:v>46327</c:v>
                </c:pt>
                <c:pt idx="96">
                  <c:v>46357</c:v>
                </c:pt>
                <c:pt idx="97">
                  <c:v>46388</c:v>
                </c:pt>
                <c:pt idx="98">
                  <c:v>46419</c:v>
                </c:pt>
                <c:pt idx="99">
                  <c:v>46447</c:v>
                </c:pt>
                <c:pt idx="100">
                  <c:v>46478</c:v>
                </c:pt>
                <c:pt idx="101">
                  <c:v>46508</c:v>
                </c:pt>
                <c:pt idx="102">
                  <c:v>46539</c:v>
                </c:pt>
                <c:pt idx="103">
                  <c:v>46569</c:v>
                </c:pt>
                <c:pt idx="104">
                  <c:v>46600</c:v>
                </c:pt>
                <c:pt idx="105">
                  <c:v>46631</c:v>
                </c:pt>
                <c:pt idx="106">
                  <c:v>46661</c:v>
                </c:pt>
                <c:pt idx="107">
                  <c:v>46692</c:v>
                </c:pt>
                <c:pt idx="108">
                  <c:v>46722</c:v>
                </c:pt>
                <c:pt idx="109">
                  <c:v>46753</c:v>
                </c:pt>
                <c:pt idx="110">
                  <c:v>46784</c:v>
                </c:pt>
                <c:pt idx="111">
                  <c:v>46813</c:v>
                </c:pt>
                <c:pt idx="112">
                  <c:v>46844</c:v>
                </c:pt>
                <c:pt idx="113">
                  <c:v>46874</c:v>
                </c:pt>
                <c:pt idx="114">
                  <c:v>46905</c:v>
                </c:pt>
                <c:pt idx="115">
                  <c:v>46935</c:v>
                </c:pt>
                <c:pt idx="116">
                  <c:v>46966</c:v>
                </c:pt>
                <c:pt idx="117">
                  <c:v>46997</c:v>
                </c:pt>
                <c:pt idx="118">
                  <c:v>47027</c:v>
                </c:pt>
                <c:pt idx="119">
                  <c:v>47058</c:v>
                </c:pt>
                <c:pt idx="120">
                  <c:v>47088</c:v>
                </c:pt>
                <c:pt idx="121">
                  <c:v>47119</c:v>
                </c:pt>
                <c:pt idx="122">
                  <c:v>47150</c:v>
                </c:pt>
                <c:pt idx="123">
                  <c:v>47178</c:v>
                </c:pt>
                <c:pt idx="124">
                  <c:v>47209</c:v>
                </c:pt>
                <c:pt idx="125">
                  <c:v>47239</c:v>
                </c:pt>
                <c:pt idx="126">
                  <c:v>47270</c:v>
                </c:pt>
                <c:pt idx="127">
                  <c:v>47300</c:v>
                </c:pt>
                <c:pt idx="128">
                  <c:v>47331</c:v>
                </c:pt>
                <c:pt idx="129">
                  <c:v>47362</c:v>
                </c:pt>
                <c:pt idx="130">
                  <c:v>47392</c:v>
                </c:pt>
                <c:pt idx="131">
                  <c:v>47423</c:v>
                </c:pt>
                <c:pt idx="132">
                  <c:v>47453</c:v>
                </c:pt>
                <c:pt idx="133">
                  <c:v>47484</c:v>
                </c:pt>
                <c:pt idx="134">
                  <c:v>47515</c:v>
                </c:pt>
                <c:pt idx="135">
                  <c:v>47543</c:v>
                </c:pt>
                <c:pt idx="136">
                  <c:v>47574</c:v>
                </c:pt>
                <c:pt idx="137">
                  <c:v>47604</c:v>
                </c:pt>
                <c:pt idx="138">
                  <c:v>47635</c:v>
                </c:pt>
                <c:pt idx="139">
                  <c:v>47665</c:v>
                </c:pt>
                <c:pt idx="140">
                  <c:v>47696</c:v>
                </c:pt>
                <c:pt idx="141">
                  <c:v>47727</c:v>
                </c:pt>
                <c:pt idx="142">
                  <c:v>47757</c:v>
                </c:pt>
                <c:pt idx="143">
                  <c:v>47788</c:v>
                </c:pt>
                <c:pt idx="144">
                  <c:v>47818</c:v>
                </c:pt>
              </c:numCache>
            </c:numRef>
          </c:cat>
          <c:val>
            <c:numRef>
              <c:f>Overview!$S$3:$S$147</c:f>
              <c:numCache>
                <c:formatCode>_("$"* #,##0.00_);_("$"* \(#,##0.00\);_("$"* "-"??_);_(@_)</c:formatCode>
                <c:ptCount val="14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-65.94</c:v>
                </c:pt>
                <c:pt idx="16">
                  <c:v>-56.78</c:v>
                </c:pt>
                <c:pt idx="17">
                  <c:v>-56.78</c:v>
                </c:pt>
                <c:pt idx="18">
                  <c:v>-56.78</c:v>
                </c:pt>
                <c:pt idx="19">
                  <c:v>-56.78</c:v>
                </c:pt>
                <c:pt idx="20">
                  <c:v>-106.73</c:v>
                </c:pt>
                <c:pt idx="21">
                  <c:v>-56.78</c:v>
                </c:pt>
                <c:pt idx="22">
                  <c:v>-154.49</c:v>
                </c:pt>
                <c:pt idx="23">
                  <c:v>-117.78</c:v>
                </c:pt>
                <c:pt idx="24">
                  <c:v>-162.18</c:v>
                </c:pt>
                <c:pt idx="25">
                  <c:v>-117.78</c:v>
                </c:pt>
                <c:pt idx="26">
                  <c:v>-117.78</c:v>
                </c:pt>
                <c:pt idx="27">
                  <c:v>-117.78</c:v>
                </c:pt>
                <c:pt idx="28">
                  <c:v>-117.78</c:v>
                </c:pt>
                <c:pt idx="29">
                  <c:v>-117.78</c:v>
                </c:pt>
                <c:pt idx="30">
                  <c:v>-118.81</c:v>
                </c:pt>
                <c:pt idx="31">
                  <c:v>-118.81</c:v>
                </c:pt>
                <c:pt idx="32">
                  <c:v>-118.81</c:v>
                </c:pt>
                <c:pt idx="33">
                  <c:v>-124.36</c:v>
                </c:pt>
                <c:pt idx="34">
                  <c:v>-126.39</c:v>
                </c:pt>
                <c:pt idx="35">
                  <c:v>-124.36</c:v>
                </c:pt>
                <c:pt idx="36">
                  <c:v>-124.36</c:v>
                </c:pt>
                <c:pt idx="37">
                  <c:v>-124.36</c:v>
                </c:pt>
                <c:pt idx="38">
                  <c:v>-119.15</c:v>
                </c:pt>
                <c:pt idx="39">
                  <c:v>0</c:v>
                </c:pt>
                <c:pt idx="40">
                  <c:v>-244.63</c:v>
                </c:pt>
                <c:pt idx="41">
                  <c:v>-123.08</c:v>
                </c:pt>
                <c:pt idx="42">
                  <c:v>-138.09</c:v>
                </c:pt>
                <c:pt idx="43">
                  <c:v>-121.53</c:v>
                </c:pt>
                <c:pt idx="44">
                  <c:v>-165.93</c:v>
                </c:pt>
                <c:pt idx="45">
                  <c:v>-127.08</c:v>
                </c:pt>
                <c:pt idx="46">
                  <c:v>-177.03</c:v>
                </c:pt>
                <c:pt idx="47">
                  <c:v>-121.53</c:v>
                </c:pt>
                <c:pt idx="48">
                  <c:v>-121.53</c:v>
                </c:pt>
                <c:pt idx="49">
                  <c:v>-121.53</c:v>
                </c:pt>
                <c:pt idx="50">
                  <c:v>-177.03</c:v>
                </c:pt>
                <c:pt idx="51">
                  <c:v>-121.53</c:v>
                </c:pt>
                <c:pt idx="52">
                  <c:v>-143.73000000000002</c:v>
                </c:pt>
                <c:pt idx="53">
                  <c:v>-121.88</c:v>
                </c:pt>
                <c:pt idx="54">
                  <c:v>-154.95999999999998</c:v>
                </c:pt>
                <c:pt idx="55">
                  <c:v>-66.55</c:v>
                </c:pt>
                <c:pt idx="56">
                  <c:v>-276.67</c:v>
                </c:pt>
                <c:pt idx="57">
                  <c:v>-177.16</c:v>
                </c:pt>
                <c:pt idx="58">
                  <c:v>-202.22</c:v>
                </c:pt>
                <c:pt idx="59">
                  <c:v>-160.51</c:v>
                </c:pt>
                <c:pt idx="60">
                  <c:v>-182.70999999999998</c:v>
                </c:pt>
                <c:pt idx="61">
                  <c:v>-164.51999999999998</c:v>
                </c:pt>
                <c:pt idx="62">
                  <c:v>-160.26</c:v>
                </c:pt>
                <c:pt idx="63">
                  <c:v>-195.7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750400"/>
        <c:axId val="241752320"/>
      </c:lineChart>
      <c:dateAx>
        <c:axId val="241750400"/>
        <c:scaling>
          <c:orientation val="minMax"/>
          <c:max val="45292"/>
        </c:scaling>
        <c:delete val="0"/>
        <c:axPos val="b"/>
        <c:majorGridlines/>
        <c:numFmt formatCode="mmmm\,\ yyyy" sourceLinked="0"/>
        <c:majorTickMark val="out"/>
        <c:minorTickMark val="none"/>
        <c:tickLblPos val="low"/>
        <c:crossAx val="241752320"/>
        <c:crosses val="autoZero"/>
        <c:auto val="0"/>
        <c:lblOffset val="100"/>
        <c:baseTimeUnit val="months"/>
        <c:minorUnit val="1"/>
        <c:minorTimeUnit val="months"/>
      </c:dateAx>
      <c:valAx>
        <c:axId val="241752320"/>
        <c:scaling>
          <c:orientation val="minMax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Amount</a:t>
                </a:r>
              </a:p>
            </c:rich>
          </c:tx>
          <c:overlay val="0"/>
        </c:title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241750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Unknown Per Month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59"/>
          <c:order val="0"/>
          <c:tx>
            <c:strRef>
              <c:f>Overview!$P$2</c:f>
              <c:strCache>
                <c:ptCount val="1"/>
                <c:pt idx="0">
                  <c:v>#N/A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cat>
            <c:numRef>
              <c:f>Overview!$A$3:$A$147</c:f>
              <c:numCache>
                <c:formatCode>m/d/yyyy</c:formatCode>
                <c:ptCount val="145"/>
                <c:pt idx="1">
                  <c:v>43466</c:v>
                </c:pt>
                <c:pt idx="2">
                  <c:v>43497</c:v>
                </c:pt>
                <c:pt idx="3">
                  <c:v>43525</c:v>
                </c:pt>
                <c:pt idx="4">
                  <c:v>43556</c:v>
                </c:pt>
                <c:pt idx="5">
                  <c:v>43586</c:v>
                </c:pt>
                <c:pt idx="6">
                  <c:v>43617</c:v>
                </c:pt>
                <c:pt idx="7">
                  <c:v>43647</c:v>
                </c:pt>
                <c:pt idx="8">
                  <c:v>43678</c:v>
                </c:pt>
                <c:pt idx="9">
                  <c:v>43709</c:v>
                </c:pt>
                <c:pt idx="10">
                  <c:v>43739</c:v>
                </c:pt>
                <c:pt idx="11">
                  <c:v>43770</c:v>
                </c:pt>
                <c:pt idx="12">
                  <c:v>43800</c:v>
                </c:pt>
                <c:pt idx="13">
                  <c:v>43831</c:v>
                </c:pt>
                <c:pt idx="14">
                  <c:v>43862</c:v>
                </c:pt>
                <c:pt idx="15">
                  <c:v>43891</c:v>
                </c:pt>
                <c:pt idx="16">
                  <c:v>43922</c:v>
                </c:pt>
                <c:pt idx="17">
                  <c:v>43952</c:v>
                </c:pt>
                <c:pt idx="18">
                  <c:v>43983</c:v>
                </c:pt>
                <c:pt idx="19">
                  <c:v>44013</c:v>
                </c:pt>
                <c:pt idx="20">
                  <c:v>44044</c:v>
                </c:pt>
                <c:pt idx="21">
                  <c:v>44075</c:v>
                </c:pt>
                <c:pt idx="22">
                  <c:v>44105</c:v>
                </c:pt>
                <c:pt idx="23">
                  <c:v>44136</c:v>
                </c:pt>
                <c:pt idx="24">
                  <c:v>44166</c:v>
                </c:pt>
                <c:pt idx="25">
                  <c:v>44197</c:v>
                </c:pt>
                <c:pt idx="26">
                  <c:v>44228</c:v>
                </c:pt>
                <c:pt idx="27">
                  <c:v>44256</c:v>
                </c:pt>
                <c:pt idx="28">
                  <c:v>44287</c:v>
                </c:pt>
                <c:pt idx="29">
                  <c:v>44317</c:v>
                </c:pt>
                <c:pt idx="30">
                  <c:v>44348</c:v>
                </c:pt>
                <c:pt idx="31">
                  <c:v>44378</c:v>
                </c:pt>
                <c:pt idx="32">
                  <c:v>44409</c:v>
                </c:pt>
                <c:pt idx="33">
                  <c:v>44440</c:v>
                </c:pt>
                <c:pt idx="34">
                  <c:v>44470</c:v>
                </c:pt>
                <c:pt idx="35">
                  <c:v>44501</c:v>
                </c:pt>
                <c:pt idx="36">
                  <c:v>44531</c:v>
                </c:pt>
                <c:pt idx="37">
                  <c:v>44562</c:v>
                </c:pt>
                <c:pt idx="38">
                  <c:v>44593</c:v>
                </c:pt>
                <c:pt idx="39">
                  <c:v>44621</c:v>
                </c:pt>
                <c:pt idx="40">
                  <c:v>44652</c:v>
                </c:pt>
                <c:pt idx="41">
                  <c:v>44682</c:v>
                </c:pt>
                <c:pt idx="42">
                  <c:v>44713</c:v>
                </c:pt>
                <c:pt idx="43">
                  <c:v>44743</c:v>
                </c:pt>
                <c:pt idx="44">
                  <c:v>44774</c:v>
                </c:pt>
                <c:pt idx="45">
                  <c:v>44805</c:v>
                </c:pt>
                <c:pt idx="46">
                  <c:v>44835</c:v>
                </c:pt>
                <c:pt idx="47">
                  <c:v>44866</c:v>
                </c:pt>
                <c:pt idx="48">
                  <c:v>44896</c:v>
                </c:pt>
                <c:pt idx="49">
                  <c:v>44927</c:v>
                </c:pt>
                <c:pt idx="50">
                  <c:v>44958</c:v>
                </c:pt>
                <c:pt idx="51">
                  <c:v>44986</c:v>
                </c:pt>
                <c:pt idx="52">
                  <c:v>45017</c:v>
                </c:pt>
                <c:pt idx="53">
                  <c:v>45047</c:v>
                </c:pt>
                <c:pt idx="54">
                  <c:v>45078</c:v>
                </c:pt>
                <c:pt idx="55">
                  <c:v>45108</c:v>
                </c:pt>
                <c:pt idx="56">
                  <c:v>45139</c:v>
                </c:pt>
                <c:pt idx="57">
                  <c:v>45170</c:v>
                </c:pt>
                <c:pt idx="58">
                  <c:v>45200</c:v>
                </c:pt>
                <c:pt idx="59">
                  <c:v>45231</c:v>
                </c:pt>
                <c:pt idx="60">
                  <c:v>45261</c:v>
                </c:pt>
                <c:pt idx="61">
                  <c:v>45292</c:v>
                </c:pt>
                <c:pt idx="62">
                  <c:v>45323</c:v>
                </c:pt>
                <c:pt idx="63">
                  <c:v>45352</c:v>
                </c:pt>
                <c:pt idx="64">
                  <c:v>45383</c:v>
                </c:pt>
                <c:pt idx="65">
                  <c:v>45413</c:v>
                </c:pt>
                <c:pt idx="66">
                  <c:v>45444</c:v>
                </c:pt>
                <c:pt idx="67">
                  <c:v>45474</c:v>
                </c:pt>
                <c:pt idx="68">
                  <c:v>45505</c:v>
                </c:pt>
                <c:pt idx="69">
                  <c:v>45536</c:v>
                </c:pt>
                <c:pt idx="70">
                  <c:v>45566</c:v>
                </c:pt>
                <c:pt idx="71">
                  <c:v>45597</c:v>
                </c:pt>
                <c:pt idx="72">
                  <c:v>45627</c:v>
                </c:pt>
                <c:pt idx="73">
                  <c:v>45658</c:v>
                </c:pt>
                <c:pt idx="74">
                  <c:v>45689</c:v>
                </c:pt>
                <c:pt idx="75">
                  <c:v>45717</c:v>
                </c:pt>
                <c:pt idx="76">
                  <c:v>45748</c:v>
                </c:pt>
                <c:pt idx="77">
                  <c:v>45778</c:v>
                </c:pt>
                <c:pt idx="78">
                  <c:v>45809</c:v>
                </c:pt>
                <c:pt idx="79">
                  <c:v>45839</c:v>
                </c:pt>
                <c:pt idx="80">
                  <c:v>45870</c:v>
                </c:pt>
                <c:pt idx="81">
                  <c:v>45901</c:v>
                </c:pt>
                <c:pt idx="82">
                  <c:v>45931</c:v>
                </c:pt>
                <c:pt idx="83">
                  <c:v>45962</c:v>
                </c:pt>
                <c:pt idx="84">
                  <c:v>45992</c:v>
                </c:pt>
                <c:pt idx="85">
                  <c:v>46023</c:v>
                </c:pt>
                <c:pt idx="86">
                  <c:v>46054</c:v>
                </c:pt>
                <c:pt idx="87">
                  <c:v>46082</c:v>
                </c:pt>
                <c:pt idx="88">
                  <c:v>46113</c:v>
                </c:pt>
                <c:pt idx="89">
                  <c:v>46143</c:v>
                </c:pt>
                <c:pt idx="90">
                  <c:v>46174</c:v>
                </c:pt>
                <c:pt idx="91">
                  <c:v>46204</c:v>
                </c:pt>
                <c:pt idx="92">
                  <c:v>46235</c:v>
                </c:pt>
                <c:pt idx="93">
                  <c:v>46266</c:v>
                </c:pt>
                <c:pt idx="94">
                  <c:v>46296</c:v>
                </c:pt>
                <c:pt idx="95">
                  <c:v>46327</c:v>
                </c:pt>
                <c:pt idx="96">
                  <c:v>46357</c:v>
                </c:pt>
                <c:pt idx="97">
                  <c:v>46388</c:v>
                </c:pt>
                <c:pt idx="98">
                  <c:v>46419</c:v>
                </c:pt>
                <c:pt idx="99">
                  <c:v>46447</c:v>
                </c:pt>
                <c:pt idx="100">
                  <c:v>46478</c:v>
                </c:pt>
                <c:pt idx="101">
                  <c:v>46508</c:v>
                </c:pt>
                <c:pt idx="102">
                  <c:v>46539</c:v>
                </c:pt>
                <c:pt idx="103">
                  <c:v>46569</c:v>
                </c:pt>
                <c:pt idx="104">
                  <c:v>46600</c:v>
                </c:pt>
                <c:pt idx="105">
                  <c:v>46631</c:v>
                </c:pt>
                <c:pt idx="106">
                  <c:v>46661</c:v>
                </c:pt>
                <c:pt idx="107">
                  <c:v>46692</c:v>
                </c:pt>
                <c:pt idx="108">
                  <c:v>46722</c:v>
                </c:pt>
                <c:pt idx="109">
                  <c:v>46753</c:v>
                </c:pt>
                <c:pt idx="110">
                  <c:v>46784</c:v>
                </c:pt>
                <c:pt idx="111">
                  <c:v>46813</c:v>
                </c:pt>
                <c:pt idx="112">
                  <c:v>46844</c:v>
                </c:pt>
                <c:pt idx="113">
                  <c:v>46874</c:v>
                </c:pt>
                <c:pt idx="114">
                  <c:v>46905</c:v>
                </c:pt>
                <c:pt idx="115">
                  <c:v>46935</c:v>
                </c:pt>
                <c:pt idx="116">
                  <c:v>46966</c:v>
                </c:pt>
                <c:pt idx="117">
                  <c:v>46997</c:v>
                </c:pt>
                <c:pt idx="118">
                  <c:v>47027</c:v>
                </c:pt>
                <c:pt idx="119">
                  <c:v>47058</c:v>
                </c:pt>
                <c:pt idx="120">
                  <c:v>47088</c:v>
                </c:pt>
                <c:pt idx="121">
                  <c:v>47119</c:v>
                </c:pt>
                <c:pt idx="122">
                  <c:v>47150</c:v>
                </c:pt>
                <c:pt idx="123">
                  <c:v>47178</c:v>
                </c:pt>
                <c:pt idx="124">
                  <c:v>47209</c:v>
                </c:pt>
                <c:pt idx="125">
                  <c:v>47239</c:v>
                </c:pt>
                <c:pt idx="126">
                  <c:v>47270</c:v>
                </c:pt>
                <c:pt idx="127">
                  <c:v>47300</c:v>
                </c:pt>
                <c:pt idx="128">
                  <c:v>47331</c:v>
                </c:pt>
                <c:pt idx="129">
                  <c:v>47362</c:v>
                </c:pt>
                <c:pt idx="130">
                  <c:v>47392</c:v>
                </c:pt>
                <c:pt idx="131">
                  <c:v>47423</c:v>
                </c:pt>
                <c:pt idx="132">
                  <c:v>47453</c:v>
                </c:pt>
                <c:pt idx="133">
                  <c:v>47484</c:v>
                </c:pt>
                <c:pt idx="134">
                  <c:v>47515</c:v>
                </c:pt>
                <c:pt idx="135">
                  <c:v>47543</c:v>
                </c:pt>
                <c:pt idx="136">
                  <c:v>47574</c:v>
                </c:pt>
                <c:pt idx="137">
                  <c:v>47604</c:v>
                </c:pt>
                <c:pt idx="138">
                  <c:v>47635</c:v>
                </c:pt>
                <c:pt idx="139">
                  <c:v>47665</c:v>
                </c:pt>
                <c:pt idx="140">
                  <c:v>47696</c:v>
                </c:pt>
                <c:pt idx="141">
                  <c:v>47727</c:v>
                </c:pt>
                <c:pt idx="142">
                  <c:v>47757</c:v>
                </c:pt>
                <c:pt idx="143">
                  <c:v>47788</c:v>
                </c:pt>
                <c:pt idx="144">
                  <c:v>47818</c:v>
                </c:pt>
              </c:numCache>
            </c:numRef>
          </c:cat>
          <c:val>
            <c:numRef>
              <c:f>Overview!$P$3:$P$147</c:f>
              <c:numCache>
                <c:formatCode>_("$"* #,##0.00_);_("$"* \(#,##0.00\);_("$"* "-"??_);_(@_)</c:formatCode>
                <c:ptCount val="14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842048"/>
        <c:axId val="241868800"/>
      </c:lineChart>
      <c:dateAx>
        <c:axId val="241842048"/>
        <c:scaling>
          <c:orientation val="minMax"/>
          <c:max val="45292"/>
        </c:scaling>
        <c:delete val="0"/>
        <c:axPos val="b"/>
        <c:majorGridlines/>
        <c:numFmt formatCode="mmmm\,\ yyyy" sourceLinked="0"/>
        <c:majorTickMark val="out"/>
        <c:minorTickMark val="none"/>
        <c:tickLblPos val="low"/>
        <c:crossAx val="241868800"/>
        <c:crosses val="autoZero"/>
        <c:auto val="0"/>
        <c:lblOffset val="100"/>
        <c:baseTimeUnit val="months"/>
        <c:minorUnit val="1"/>
        <c:minorTimeUnit val="months"/>
      </c:dateAx>
      <c:valAx>
        <c:axId val="241868800"/>
        <c:scaling>
          <c:orientation val="minMax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Amount</a:t>
                </a:r>
              </a:p>
            </c:rich>
          </c:tx>
          <c:overlay val="0"/>
        </c:title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2418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Power Per Month</a:t>
            </a:r>
          </a:p>
        </c:rich>
      </c:tx>
      <c:layout>
        <c:manualLayout>
          <c:xMode val="edge"/>
          <c:yMode val="edge"/>
          <c:x val="0.34760904741822707"/>
          <c:y val="1.9267822736030827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59"/>
          <c:order val="0"/>
          <c:tx>
            <c:strRef>
              <c:f>Overview!$Q$2</c:f>
              <c:strCache>
                <c:ptCount val="1"/>
                <c:pt idx="0">
                  <c:v>Power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cat>
            <c:numRef>
              <c:f>Overview!$A$3:$A$147</c:f>
              <c:numCache>
                <c:formatCode>m/d/yyyy</c:formatCode>
                <c:ptCount val="145"/>
                <c:pt idx="1">
                  <c:v>43466</c:v>
                </c:pt>
                <c:pt idx="2">
                  <c:v>43497</c:v>
                </c:pt>
                <c:pt idx="3">
                  <c:v>43525</c:v>
                </c:pt>
                <c:pt idx="4">
                  <c:v>43556</c:v>
                </c:pt>
                <c:pt idx="5">
                  <c:v>43586</c:v>
                </c:pt>
                <c:pt idx="6">
                  <c:v>43617</c:v>
                </c:pt>
                <c:pt idx="7">
                  <c:v>43647</c:v>
                </c:pt>
                <c:pt idx="8">
                  <c:v>43678</c:v>
                </c:pt>
                <c:pt idx="9">
                  <c:v>43709</c:v>
                </c:pt>
                <c:pt idx="10">
                  <c:v>43739</c:v>
                </c:pt>
                <c:pt idx="11">
                  <c:v>43770</c:v>
                </c:pt>
                <c:pt idx="12">
                  <c:v>43800</c:v>
                </c:pt>
                <c:pt idx="13">
                  <c:v>43831</c:v>
                </c:pt>
                <c:pt idx="14">
                  <c:v>43862</c:v>
                </c:pt>
                <c:pt idx="15">
                  <c:v>43891</c:v>
                </c:pt>
                <c:pt idx="16">
                  <c:v>43922</c:v>
                </c:pt>
                <c:pt idx="17">
                  <c:v>43952</c:v>
                </c:pt>
                <c:pt idx="18">
                  <c:v>43983</c:v>
                </c:pt>
                <c:pt idx="19">
                  <c:v>44013</c:v>
                </c:pt>
                <c:pt idx="20">
                  <c:v>44044</c:v>
                </c:pt>
                <c:pt idx="21">
                  <c:v>44075</c:v>
                </c:pt>
                <c:pt idx="22">
                  <c:v>44105</c:v>
                </c:pt>
                <c:pt idx="23">
                  <c:v>44136</c:v>
                </c:pt>
                <c:pt idx="24">
                  <c:v>44166</c:v>
                </c:pt>
                <c:pt idx="25">
                  <c:v>44197</c:v>
                </c:pt>
                <c:pt idx="26">
                  <c:v>44228</c:v>
                </c:pt>
                <c:pt idx="27">
                  <c:v>44256</c:v>
                </c:pt>
                <c:pt idx="28">
                  <c:v>44287</c:v>
                </c:pt>
                <c:pt idx="29">
                  <c:v>44317</c:v>
                </c:pt>
                <c:pt idx="30">
                  <c:v>44348</c:v>
                </c:pt>
                <c:pt idx="31">
                  <c:v>44378</c:v>
                </c:pt>
                <c:pt idx="32">
                  <c:v>44409</c:v>
                </c:pt>
                <c:pt idx="33">
                  <c:v>44440</c:v>
                </c:pt>
                <c:pt idx="34">
                  <c:v>44470</c:v>
                </c:pt>
                <c:pt idx="35">
                  <c:v>44501</c:v>
                </c:pt>
                <c:pt idx="36">
                  <c:v>44531</c:v>
                </c:pt>
                <c:pt idx="37">
                  <c:v>44562</c:v>
                </c:pt>
                <c:pt idx="38">
                  <c:v>44593</c:v>
                </c:pt>
                <c:pt idx="39">
                  <c:v>44621</c:v>
                </c:pt>
                <c:pt idx="40">
                  <c:v>44652</c:v>
                </c:pt>
                <c:pt idx="41">
                  <c:v>44682</c:v>
                </c:pt>
                <c:pt idx="42">
                  <c:v>44713</c:v>
                </c:pt>
                <c:pt idx="43">
                  <c:v>44743</c:v>
                </c:pt>
                <c:pt idx="44">
                  <c:v>44774</c:v>
                </c:pt>
                <c:pt idx="45">
                  <c:v>44805</c:v>
                </c:pt>
                <c:pt idx="46">
                  <c:v>44835</c:v>
                </c:pt>
                <c:pt idx="47">
                  <c:v>44866</c:v>
                </c:pt>
                <c:pt idx="48">
                  <c:v>44896</c:v>
                </c:pt>
                <c:pt idx="49">
                  <c:v>44927</c:v>
                </c:pt>
                <c:pt idx="50">
                  <c:v>44958</c:v>
                </c:pt>
                <c:pt idx="51">
                  <c:v>44986</c:v>
                </c:pt>
                <c:pt idx="52">
                  <c:v>45017</c:v>
                </c:pt>
                <c:pt idx="53">
                  <c:v>45047</c:v>
                </c:pt>
                <c:pt idx="54">
                  <c:v>45078</c:v>
                </c:pt>
                <c:pt idx="55">
                  <c:v>45108</c:v>
                </c:pt>
                <c:pt idx="56">
                  <c:v>45139</c:v>
                </c:pt>
                <c:pt idx="57">
                  <c:v>45170</c:v>
                </c:pt>
                <c:pt idx="58">
                  <c:v>45200</c:v>
                </c:pt>
                <c:pt idx="59">
                  <c:v>45231</c:v>
                </c:pt>
                <c:pt idx="60">
                  <c:v>45261</c:v>
                </c:pt>
                <c:pt idx="61">
                  <c:v>45292</c:v>
                </c:pt>
                <c:pt idx="62">
                  <c:v>45323</c:v>
                </c:pt>
                <c:pt idx="63">
                  <c:v>45352</c:v>
                </c:pt>
                <c:pt idx="64">
                  <c:v>45383</c:v>
                </c:pt>
                <c:pt idx="65">
                  <c:v>45413</c:v>
                </c:pt>
                <c:pt idx="66">
                  <c:v>45444</c:v>
                </c:pt>
                <c:pt idx="67">
                  <c:v>45474</c:v>
                </c:pt>
                <c:pt idx="68">
                  <c:v>45505</c:v>
                </c:pt>
                <c:pt idx="69">
                  <c:v>45536</c:v>
                </c:pt>
                <c:pt idx="70">
                  <c:v>45566</c:v>
                </c:pt>
                <c:pt idx="71">
                  <c:v>45597</c:v>
                </c:pt>
                <c:pt idx="72">
                  <c:v>45627</c:v>
                </c:pt>
                <c:pt idx="73">
                  <c:v>45658</c:v>
                </c:pt>
                <c:pt idx="74">
                  <c:v>45689</c:v>
                </c:pt>
                <c:pt idx="75">
                  <c:v>45717</c:v>
                </c:pt>
                <c:pt idx="76">
                  <c:v>45748</c:v>
                </c:pt>
                <c:pt idx="77">
                  <c:v>45778</c:v>
                </c:pt>
                <c:pt idx="78">
                  <c:v>45809</c:v>
                </c:pt>
                <c:pt idx="79">
                  <c:v>45839</c:v>
                </c:pt>
                <c:pt idx="80">
                  <c:v>45870</c:v>
                </c:pt>
                <c:pt idx="81">
                  <c:v>45901</c:v>
                </c:pt>
                <c:pt idx="82">
                  <c:v>45931</c:v>
                </c:pt>
                <c:pt idx="83">
                  <c:v>45962</c:v>
                </c:pt>
                <c:pt idx="84">
                  <c:v>45992</c:v>
                </c:pt>
                <c:pt idx="85">
                  <c:v>46023</c:v>
                </c:pt>
                <c:pt idx="86">
                  <c:v>46054</c:v>
                </c:pt>
                <c:pt idx="87">
                  <c:v>46082</c:v>
                </c:pt>
                <c:pt idx="88">
                  <c:v>46113</c:v>
                </c:pt>
                <c:pt idx="89">
                  <c:v>46143</c:v>
                </c:pt>
                <c:pt idx="90">
                  <c:v>46174</c:v>
                </c:pt>
                <c:pt idx="91">
                  <c:v>46204</c:v>
                </c:pt>
                <c:pt idx="92">
                  <c:v>46235</c:v>
                </c:pt>
                <c:pt idx="93">
                  <c:v>46266</c:v>
                </c:pt>
                <c:pt idx="94">
                  <c:v>46296</c:v>
                </c:pt>
                <c:pt idx="95">
                  <c:v>46327</c:v>
                </c:pt>
                <c:pt idx="96">
                  <c:v>46357</c:v>
                </c:pt>
                <c:pt idx="97">
                  <c:v>46388</c:v>
                </c:pt>
                <c:pt idx="98">
                  <c:v>46419</c:v>
                </c:pt>
                <c:pt idx="99">
                  <c:v>46447</c:v>
                </c:pt>
                <c:pt idx="100">
                  <c:v>46478</c:v>
                </c:pt>
                <c:pt idx="101">
                  <c:v>46508</c:v>
                </c:pt>
                <c:pt idx="102">
                  <c:v>46539</c:v>
                </c:pt>
                <c:pt idx="103">
                  <c:v>46569</c:v>
                </c:pt>
                <c:pt idx="104">
                  <c:v>46600</c:v>
                </c:pt>
                <c:pt idx="105">
                  <c:v>46631</c:v>
                </c:pt>
                <c:pt idx="106">
                  <c:v>46661</c:v>
                </c:pt>
                <c:pt idx="107">
                  <c:v>46692</c:v>
                </c:pt>
                <c:pt idx="108">
                  <c:v>46722</c:v>
                </c:pt>
                <c:pt idx="109">
                  <c:v>46753</c:v>
                </c:pt>
                <c:pt idx="110">
                  <c:v>46784</c:v>
                </c:pt>
                <c:pt idx="111">
                  <c:v>46813</c:v>
                </c:pt>
                <c:pt idx="112">
                  <c:v>46844</c:v>
                </c:pt>
                <c:pt idx="113">
                  <c:v>46874</c:v>
                </c:pt>
                <c:pt idx="114">
                  <c:v>46905</c:v>
                </c:pt>
                <c:pt idx="115">
                  <c:v>46935</c:v>
                </c:pt>
                <c:pt idx="116">
                  <c:v>46966</c:v>
                </c:pt>
                <c:pt idx="117">
                  <c:v>46997</c:v>
                </c:pt>
                <c:pt idx="118">
                  <c:v>47027</c:v>
                </c:pt>
                <c:pt idx="119">
                  <c:v>47058</c:v>
                </c:pt>
                <c:pt idx="120">
                  <c:v>47088</c:v>
                </c:pt>
                <c:pt idx="121">
                  <c:v>47119</c:v>
                </c:pt>
                <c:pt idx="122">
                  <c:v>47150</c:v>
                </c:pt>
                <c:pt idx="123">
                  <c:v>47178</c:v>
                </c:pt>
                <c:pt idx="124">
                  <c:v>47209</c:v>
                </c:pt>
                <c:pt idx="125">
                  <c:v>47239</c:v>
                </c:pt>
                <c:pt idx="126">
                  <c:v>47270</c:v>
                </c:pt>
                <c:pt idx="127">
                  <c:v>47300</c:v>
                </c:pt>
                <c:pt idx="128">
                  <c:v>47331</c:v>
                </c:pt>
                <c:pt idx="129">
                  <c:v>47362</c:v>
                </c:pt>
                <c:pt idx="130">
                  <c:v>47392</c:v>
                </c:pt>
                <c:pt idx="131">
                  <c:v>47423</c:v>
                </c:pt>
                <c:pt idx="132">
                  <c:v>47453</c:v>
                </c:pt>
                <c:pt idx="133">
                  <c:v>47484</c:v>
                </c:pt>
                <c:pt idx="134">
                  <c:v>47515</c:v>
                </c:pt>
                <c:pt idx="135">
                  <c:v>47543</c:v>
                </c:pt>
                <c:pt idx="136">
                  <c:v>47574</c:v>
                </c:pt>
                <c:pt idx="137">
                  <c:v>47604</c:v>
                </c:pt>
                <c:pt idx="138">
                  <c:v>47635</c:v>
                </c:pt>
                <c:pt idx="139">
                  <c:v>47665</c:v>
                </c:pt>
                <c:pt idx="140">
                  <c:v>47696</c:v>
                </c:pt>
                <c:pt idx="141">
                  <c:v>47727</c:v>
                </c:pt>
                <c:pt idx="142">
                  <c:v>47757</c:v>
                </c:pt>
                <c:pt idx="143">
                  <c:v>47788</c:v>
                </c:pt>
                <c:pt idx="144">
                  <c:v>47818</c:v>
                </c:pt>
              </c:numCache>
            </c:numRef>
          </c:cat>
          <c:val>
            <c:numRef>
              <c:f>Overview!$Q$3:$Q$147</c:f>
              <c:numCache>
                <c:formatCode>_("$"* #,##0.00_);_("$"* \(#,##0.00\);_("$"* "-"??_);_(@_)</c:formatCode>
                <c:ptCount val="14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-117.26</c:v>
                </c:pt>
                <c:pt idx="22">
                  <c:v>-118.13</c:v>
                </c:pt>
                <c:pt idx="23">
                  <c:v>-40</c:v>
                </c:pt>
                <c:pt idx="24">
                  <c:v>-135.34</c:v>
                </c:pt>
                <c:pt idx="25">
                  <c:v>-192.89999999999998</c:v>
                </c:pt>
                <c:pt idx="26">
                  <c:v>-124.41</c:v>
                </c:pt>
                <c:pt idx="27">
                  <c:v>-131.15</c:v>
                </c:pt>
                <c:pt idx="28">
                  <c:v>0</c:v>
                </c:pt>
                <c:pt idx="29">
                  <c:v>0</c:v>
                </c:pt>
                <c:pt idx="30">
                  <c:v>-137.88999999999999</c:v>
                </c:pt>
                <c:pt idx="31">
                  <c:v>0</c:v>
                </c:pt>
                <c:pt idx="32">
                  <c:v>0</c:v>
                </c:pt>
                <c:pt idx="33">
                  <c:v>-22.74</c:v>
                </c:pt>
                <c:pt idx="34">
                  <c:v>-11.55</c:v>
                </c:pt>
                <c:pt idx="35">
                  <c:v>0</c:v>
                </c:pt>
                <c:pt idx="36">
                  <c:v>-112.49</c:v>
                </c:pt>
                <c:pt idx="37">
                  <c:v>0</c:v>
                </c:pt>
                <c:pt idx="38">
                  <c:v>-8.34</c:v>
                </c:pt>
                <c:pt idx="39">
                  <c:v>0</c:v>
                </c:pt>
                <c:pt idx="40">
                  <c:v>-80.569999999999993</c:v>
                </c:pt>
                <c:pt idx="41">
                  <c:v>-54.48</c:v>
                </c:pt>
                <c:pt idx="42">
                  <c:v>-62.97</c:v>
                </c:pt>
                <c:pt idx="43">
                  <c:v>-36.47</c:v>
                </c:pt>
                <c:pt idx="44">
                  <c:v>-68.27</c:v>
                </c:pt>
                <c:pt idx="45">
                  <c:v>-61.94</c:v>
                </c:pt>
                <c:pt idx="46">
                  <c:v>-64.069999999999993</c:v>
                </c:pt>
                <c:pt idx="47">
                  <c:v>-62.14</c:v>
                </c:pt>
                <c:pt idx="48">
                  <c:v>-57.56</c:v>
                </c:pt>
                <c:pt idx="49">
                  <c:v>-49.91</c:v>
                </c:pt>
                <c:pt idx="50">
                  <c:v>-56.06</c:v>
                </c:pt>
                <c:pt idx="51">
                  <c:v>-57.88</c:v>
                </c:pt>
                <c:pt idx="52">
                  <c:v>-72.3</c:v>
                </c:pt>
                <c:pt idx="53">
                  <c:v>-64.31</c:v>
                </c:pt>
                <c:pt idx="54">
                  <c:v>-68.34</c:v>
                </c:pt>
                <c:pt idx="55">
                  <c:v>-148.47</c:v>
                </c:pt>
                <c:pt idx="56">
                  <c:v>-74.010000000000005</c:v>
                </c:pt>
                <c:pt idx="57">
                  <c:v>-70.34</c:v>
                </c:pt>
                <c:pt idx="58">
                  <c:v>-139.91</c:v>
                </c:pt>
                <c:pt idx="59">
                  <c:v>-69.17</c:v>
                </c:pt>
                <c:pt idx="60">
                  <c:v>-55.56</c:v>
                </c:pt>
                <c:pt idx="61">
                  <c:v>-161.46</c:v>
                </c:pt>
                <c:pt idx="62">
                  <c:v>-74.319999999999993</c:v>
                </c:pt>
                <c:pt idx="63">
                  <c:v>-62.34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876352"/>
        <c:axId val="241890816"/>
      </c:lineChart>
      <c:dateAx>
        <c:axId val="241876352"/>
        <c:scaling>
          <c:orientation val="minMax"/>
          <c:max val="45292"/>
        </c:scaling>
        <c:delete val="0"/>
        <c:axPos val="b"/>
        <c:majorGridlines/>
        <c:numFmt formatCode="mmmm\,\ yyyy" sourceLinked="0"/>
        <c:majorTickMark val="out"/>
        <c:minorTickMark val="none"/>
        <c:tickLblPos val="low"/>
        <c:crossAx val="241890816"/>
        <c:crosses val="autoZero"/>
        <c:auto val="0"/>
        <c:lblOffset val="100"/>
        <c:baseTimeUnit val="months"/>
        <c:minorUnit val="1"/>
        <c:minorTimeUnit val="months"/>
      </c:dateAx>
      <c:valAx>
        <c:axId val="241890816"/>
        <c:scaling>
          <c:orientation val="minMax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Amount</a:t>
                </a:r>
              </a:p>
            </c:rich>
          </c:tx>
          <c:overlay val="0"/>
        </c:title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241876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Rent Per Month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59"/>
          <c:order val="0"/>
          <c:tx>
            <c:strRef>
              <c:f>Overview!$R$2</c:f>
              <c:strCache>
                <c:ptCount val="1"/>
                <c:pt idx="0">
                  <c:v>Rent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cat>
            <c:numRef>
              <c:f>Overview!$A$3:$A$147</c:f>
              <c:numCache>
                <c:formatCode>m/d/yyyy</c:formatCode>
                <c:ptCount val="145"/>
                <c:pt idx="1">
                  <c:v>43466</c:v>
                </c:pt>
                <c:pt idx="2">
                  <c:v>43497</c:v>
                </c:pt>
                <c:pt idx="3">
                  <c:v>43525</c:v>
                </c:pt>
                <c:pt idx="4">
                  <c:v>43556</c:v>
                </c:pt>
                <c:pt idx="5">
                  <c:v>43586</c:v>
                </c:pt>
                <c:pt idx="6">
                  <c:v>43617</c:v>
                </c:pt>
                <c:pt idx="7">
                  <c:v>43647</c:v>
                </c:pt>
                <c:pt idx="8">
                  <c:v>43678</c:v>
                </c:pt>
                <c:pt idx="9">
                  <c:v>43709</c:v>
                </c:pt>
                <c:pt idx="10">
                  <c:v>43739</c:v>
                </c:pt>
                <c:pt idx="11">
                  <c:v>43770</c:v>
                </c:pt>
                <c:pt idx="12">
                  <c:v>43800</c:v>
                </c:pt>
                <c:pt idx="13">
                  <c:v>43831</c:v>
                </c:pt>
                <c:pt idx="14">
                  <c:v>43862</c:v>
                </c:pt>
                <c:pt idx="15">
                  <c:v>43891</c:v>
                </c:pt>
                <c:pt idx="16">
                  <c:v>43922</c:v>
                </c:pt>
                <c:pt idx="17">
                  <c:v>43952</c:v>
                </c:pt>
                <c:pt idx="18">
                  <c:v>43983</c:v>
                </c:pt>
                <c:pt idx="19">
                  <c:v>44013</c:v>
                </c:pt>
                <c:pt idx="20">
                  <c:v>44044</c:v>
                </c:pt>
                <c:pt idx="21">
                  <c:v>44075</c:v>
                </c:pt>
                <c:pt idx="22">
                  <c:v>44105</c:v>
                </c:pt>
                <c:pt idx="23">
                  <c:v>44136</c:v>
                </c:pt>
                <c:pt idx="24">
                  <c:v>44166</c:v>
                </c:pt>
                <c:pt idx="25">
                  <c:v>44197</c:v>
                </c:pt>
                <c:pt idx="26">
                  <c:v>44228</c:v>
                </c:pt>
                <c:pt idx="27">
                  <c:v>44256</c:v>
                </c:pt>
                <c:pt idx="28">
                  <c:v>44287</c:v>
                </c:pt>
                <c:pt idx="29">
                  <c:v>44317</c:v>
                </c:pt>
                <c:pt idx="30">
                  <c:v>44348</c:v>
                </c:pt>
                <c:pt idx="31">
                  <c:v>44378</c:v>
                </c:pt>
                <c:pt idx="32">
                  <c:v>44409</c:v>
                </c:pt>
                <c:pt idx="33">
                  <c:v>44440</c:v>
                </c:pt>
                <c:pt idx="34">
                  <c:v>44470</c:v>
                </c:pt>
                <c:pt idx="35">
                  <c:v>44501</c:v>
                </c:pt>
                <c:pt idx="36">
                  <c:v>44531</c:v>
                </c:pt>
                <c:pt idx="37">
                  <c:v>44562</c:v>
                </c:pt>
                <c:pt idx="38">
                  <c:v>44593</c:v>
                </c:pt>
                <c:pt idx="39">
                  <c:v>44621</c:v>
                </c:pt>
                <c:pt idx="40">
                  <c:v>44652</c:v>
                </c:pt>
                <c:pt idx="41">
                  <c:v>44682</c:v>
                </c:pt>
                <c:pt idx="42">
                  <c:v>44713</c:v>
                </c:pt>
                <c:pt idx="43">
                  <c:v>44743</c:v>
                </c:pt>
                <c:pt idx="44">
                  <c:v>44774</c:v>
                </c:pt>
                <c:pt idx="45">
                  <c:v>44805</c:v>
                </c:pt>
                <c:pt idx="46">
                  <c:v>44835</c:v>
                </c:pt>
                <c:pt idx="47">
                  <c:v>44866</c:v>
                </c:pt>
                <c:pt idx="48">
                  <c:v>44896</c:v>
                </c:pt>
                <c:pt idx="49">
                  <c:v>44927</c:v>
                </c:pt>
                <c:pt idx="50">
                  <c:v>44958</c:v>
                </c:pt>
                <c:pt idx="51">
                  <c:v>44986</c:v>
                </c:pt>
                <c:pt idx="52">
                  <c:v>45017</c:v>
                </c:pt>
                <c:pt idx="53">
                  <c:v>45047</c:v>
                </c:pt>
                <c:pt idx="54">
                  <c:v>45078</c:v>
                </c:pt>
                <c:pt idx="55">
                  <c:v>45108</c:v>
                </c:pt>
                <c:pt idx="56">
                  <c:v>45139</c:v>
                </c:pt>
                <c:pt idx="57">
                  <c:v>45170</c:v>
                </c:pt>
                <c:pt idx="58">
                  <c:v>45200</c:v>
                </c:pt>
                <c:pt idx="59">
                  <c:v>45231</c:v>
                </c:pt>
                <c:pt idx="60">
                  <c:v>45261</c:v>
                </c:pt>
                <c:pt idx="61">
                  <c:v>45292</c:v>
                </c:pt>
                <c:pt idx="62">
                  <c:v>45323</c:v>
                </c:pt>
                <c:pt idx="63">
                  <c:v>45352</c:v>
                </c:pt>
                <c:pt idx="64">
                  <c:v>45383</c:v>
                </c:pt>
                <c:pt idx="65">
                  <c:v>45413</c:v>
                </c:pt>
                <c:pt idx="66">
                  <c:v>45444</c:v>
                </c:pt>
                <c:pt idx="67">
                  <c:v>45474</c:v>
                </c:pt>
                <c:pt idx="68">
                  <c:v>45505</c:v>
                </c:pt>
                <c:pt idx="69">
                  <c:v>45536</c:v>
                </c:pt>
                <c:pt idx="70">
                  <c:v>45566</c:v>
                </c:pt>
                <c:pt idx="71">
                  <c:v>45597</c:v>
                </c:pt>
                <c:pt idx="72">
                  <c:v>45627</c:v>
                </c:pt>
                <c:pt idx="73">
                  <c:v>45658</c:v>
                </c:pt>
                <c:pt idx="74">
                  <c:v>45689</c:v>
                </c:pt>
                <c:pt idx="75">
                  <c:v>45717</c:v>
                </c:pt>
                <c:pt idx="76">
                  <c:v>45748</c:v>
                </c:pt>
                <c:pt idx="77">
                  <c:v>45778</c:v>
                </c:pt>
                <c:pt idx="78">
                  <c:v>45809</c:v>
                </c:pt>
                <c:pt idx="79">
                  <c:v>45839</c:v>
                </c:pt>
                <c:pt idx="80">
                  <c:v>45870</c:v>
                </c:pt>
                <c:pt idx="81">
                  <c:v>45901</c:v>
                </c:pt>
                <c:pt idx="82">
                  <c:v>45931</c:v>
                </c:pt>
                <c:pt idx="83">
                  <c:v>45962</c:v>
                </c:pt>
                <c:pt idx="84">
                  <c:v>45992</c:v>
                </c:pt>
                <c:pt idx="85">
                  <c:v>46023</c:v>
                </c:pt>
                <c:pt idx="86">
                  <c:v>46054</c:v>
                </c:pt>
                <c:pt idx="87">
                  <c:v>46082</c:v>
                </c:pt>
                <c:pt idx="88">
                  <c:v>46113</c:v>
                </c:pt>
                <c:pt idx="89">
                  <c:v>46143</c:v>
                </c:pt>
                <c:pt idx="90">
                  <c:v>46174</c:v>
                </c:pt>
                <c:pt idx="91">
                  <c:v>46204</c:v>
                </c:pt>
                <c:pt idx="92">
                  <c:v>46235</c:v>
                </c:pt>
                <c:pt idx="93">
                  <c:v>46266</c:v>
                </c:pt>
                <c:pt idx="94">
                  <c:v>46296</c:v>
                </c:pt>
                <c:pt idx="95">
                  <c:v>46327</c:v>
                </c:pt>
                <c:pt idx="96">
                  <c:v>46357</c:v>
                </c:pt>
                <c:pt idx="97">
                  <c:v>46388</c:v>
                </c:pt>
                <c:pt idx="98">
                  <c:v>46419</c:v>
                </c:pt>
                <c:pt idx="99">
                  <c:v>46447</c:v>
                </c:pt>
                <c:pt idx="100">
                  <c:v>46478</c:v>
                </c:pt>
                <c:pt idx="101">
                  <c:v>46508</c:v>
                </c:pt>
                <c:pt idx="102">
                  <c:v>46539</c:v>
                </c:pt>
                <c:pt idx="103">
                  <c:v>46569</c:v>
                </c:pt>
                <c:pt idx="104">
                  <c:v>46600</c:v>
                </c:pt>
                <c:pt idx="105">
                  <c:v>46631</c:v>
                </c:pt>
                <c:pt idx="106">
                  <c:v>46661</c:v>
                </c:pt>
                <c:pt idx="107">
                  <c:v>46692</c:v>
                </c:pt>
                <c:pt idx="108">
                  <c:v>46722</c:v>
                </c:pt>
                <c:pt idx="109">
                  <c:v>46753</c:v>
                </c:pt>
                <c:pt idx="110">
                  <c:v>46784</c:v>
                </c:pt>
                <c:pt idx="111">
                  <c:v>46813</c:v>
                </c:pt>
                <c:pt idx="112">
                  <c:v>46844</c:v>
                </c:pt>
                <c:pt idx="113">
                  <c:v>46874</c:v>
                </c:pt>
                <c:pt idx="114">
                  <c:v>46905</c:v>
                </c:pt>
                <c:pt idx="115">
                  <c:v>46935</c:v>
                </c:pt>
                <c:pt idx="116">
                  <c:v>46966</c:v>
                </c:pt>
                <c:pt idx="117">
                  <c:v>46997</c:v>
                </c:pt>
                <c:pt idx="118">
                  <c:v>47027</c:v>
                </c:pt>
                <c:pt idx="119">
                  <c:v>47058</c:v>
                </c:pt>
                <c:pt idx="120">
                  <c:v>47088</c:v>
                </c:pt>
                <c:pt idx="121">
                  <c:v>47119</c:v>
                </c:pt>
                <c:pt idx="122">
                  <c:v>47150</c:v>
                </c:pt>
                <c:pt idx="123">
                  <c:v>47178</c:v>
                </c:pt>
                <c:pt idx="124">
                  <c:v>47209</c:v>
                </c:pt>
                <c:pt idx="125">
                  <c:v>47239</c:v>
                </c:pt>
                <c:pt idx="126">
                  <c:v>47270</c:v>
                </c:pt>
                <c:pt idx="127">
                  <c:v>47300</c:v>
                </c:pt>
                <c:pt idx="128">
                  <c:v>47331</c:v>
                </c:pt>
                <c:pt idx="129">
                  <c:v>47362</c:v>
                </c:pt>
                <c:pt idx="130">
                  <c:v>47392</c:v>
                </c:pt>
                <c:pt idx="131">
                  <c:v>47423</c:v>
                </c:pt>
                <c:pt idx="132">
                  <c:v>47453</c:v>
                </c:pt>
                <c:pt idx="133">
                  <c:v>47484</c:v>
                </c:pt>
                <c:pt idx="134">
                  <c:v>47515</c:v>
                </c:pt>
                <c:pt idx="135">
                  <c:v>47543</c:v>
                </c:pt>
                <c:pt idx="136">
                  <c:v>47574</c:v>
                </c:pt>
                <c:pt idx="137">
                  <c:v>47604</c:v>
                </c:pt>
                <c:pt idx="138">
                  <c:v>47635</c:v>
                </c:pt>
                <c:pt idx="139">
                  <c:v>47665</c:v>
                </c:pt>
                <c:pt idx="140">
                  <c:v>47696</c:v>
                </c:pt>
                <c:pt idx="141">
                  <c:v>47727</c:v>
                </c:pt>
                <c:pt idx="142">
                  <c:v>47757</c:v>
                </c:pt>
                <c:pt idx="143">
                  <c:v>47788</c:v>
                </c:pt>
                <c:pt idx="144">
                  <c:v>47818</c:v>
                </c:pt>
              </c:numCache>
            </c:numRef>
          </c:cat>
          <c:val>
            <c:numRef>
              <c:f>Overview!$R$3:$R$147</c:f>
              <c:numCache>
                <c:formatCode>_("$"* #,##0.00_);_("$"* \(#,##0.00\);_("$"* "-"??_);_(@_)</c:formatCode>
                <c:ptCount val="14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-1200</c:v>
                </c:pt>
                <c:pt idx="22">
                  <c:v>-1200</c:v>
                </c:pt>
                <c:pt idx="23">
                  <c:v>-1200</c:v>
                </c:pt>
                <c:pt idx="24">
                  <c:v>-1200</c:v>
                </c:pt>
                <c:pt idx="25">
                  <c:v>-1255</c:v>
                </c:pt>
                <c:pt idx="26">
                  <c:v>-1200</c:v>
                </c:pt>
                <c:pt idx="27">
                  <c:v>-1200</c:v>
                </c:pt>
                <c:pt idx="28">
                  <c:v>-1200</c:v>
                </c:pt>
                <c:pt idx="29">
                  <c:v>-1200</c:v>
                </c:pt>
                <c:pt idx="30">
                  <c:v>-1200</c:v>
                </c:pt>
                <c:pt idx="31">
                  <c:v>-1200</c:v>
                </c:pt>
                <c:pt idx="32">
                  <c:v>-1200</c:v>
                </c:pt>
                <c:pt idx="33">
                  <c:v>-1235</c:v>
                </c:pt>
                <c:pt idx="34">
                  <c:v>-1235</c:v>
                </c:pt>
                <c:pt idx="35">
                  <c:v>-1235</c:v>
                </c:pt>
                <c:pt idx="36">
                  <c:v>-1235</c:v>
                </c:pt>
                <c:pt idx="37">
                  <c:v>-1235</c:v>
                </c:pt>
                <c:pt idx="38">
                  <c:v>-1235</c:v>
                </c:pt>
                <c:pt idx="39">
                  <c:v>-1235</c:v>
                </c:pt>
                <c:pt idx="40">
                  <c:v>-1235</c:v>
                </c:pt>
                <c:pt idx="41">
                  <c:v>-1235</c:v>
                </c:pt>
                <c:pt idx="42">
                  <c:v>-1235</c:v>
                </c:pt>
                <c:pt idx="43">
                  <c:v>-1235</c:v>
                </c:pt>
                <c:pt idx="44">
                  <c:v>-1235</c:v>
                </c:pt>
                <c:pt idx="45">
                  <c:v>-1325</c:v>
                </c:pt>
                <c:pt idx="46">
                  <c:v>-1325</c:v>
                </c:pt>
                <c:pt idx="47">
                  <c:v>-1325</c:v>
                </c:pt>
                <c:pt idx="48">
                  <c:v>-1325</c:v>
                </c:pt>
                <c:pt idx="49">
                  <c:v>-1325</c:v>
                </c:pt>
                <c:pt idx="50">
                  <c:v>-1325</c:v>
                </c:pt>
                <c:pt idx="51">
                  <c:v>-1325</c:v>
                </c:pt>
                <c:pt idx="52">
                  <c:v>-1325</c:v>
                </c:pt>
                <c:pt idx="53">
                  <c:v>-1325</c:v>
                </c:pt>
                <c:pt idx="54">
                  <c:v>-1325</c:v>
                </c:pt>
                <c:pt idx="55">
                  <c:v>-1325</c:v>
                </c:pt>
                <c:pt idx="56">
                  <c:v>-1325</c:v>
                </c:pt>
                <c:pt idx="57">
                  <c:v>-1425</c:v>
                </c:pt>
                <c:pt idx="58">
                  <c:v>-1425</c:v>
                </c:pt>
                <c:pt idx="59">
                  <c:v>-1425</c:v>
                </c:pt>
                <c:pt idx="60">
                  <c:v>-1425</c:v>
                </c:pt>
                <c:pt idx="61">
                  <c:v>-1425</c:v>
                </c:pt>
                <c:pt idx="62">
                  <c:v>-1425</c:v>
                </c:pt>
                <c:pt idx="63">
                  <c:v>-1425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931392"/>
        <c:axId val="241933312"/>
      </c:lineChart>
      <c:dateAx>
        <c:axId val="241931392"/>
        <c:scaling>
          <c:orientation val="minMax"/>
          <c:max val="45292"/>
        </c:scaling>
        <c:delete val="0"/>
        <c:axPos val="b"/>
        <c:majorGridlines/>
        <c:numFmt formatCode="mmmm\,\ yyyy" sourceLinked="0"/>
        <c:majorTickMark val="out"/>
        <c:minorTickMark val="none"/>
        <c:tickLblPos val="low"/>
        <c:crossAx val="241933312"/>
        <c:crosses val="autoZero"/>
        <c:auto val="0"/>
        <c:lblOffset val="100"/>
        <c:baseTimeUnit val="months"/>
        <c:minorUnit val="1"/>
        <c:minorTimeUnit val="months"/>
      </c:dateAx>
      <c:valAx>
        <c:axId val="241933312"/>
        <c:scaling>
          <c:orientation val="minMax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Amount</a:t>
                </a:r>
              </a:p>
            </c:rich>
          </c:tx>
          <c:overlay val="0"/>
        </c:title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241931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Vacation Per Month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59"/>
          <c:order val="0"/>
          <c:tx>
            <c:strRef>
              <c:f>Overview!$N$2</c:f>
              <c:strCache>
                <c:ptCount val="1"/>
                <c:pt idx="0">
                  <c:v>Vacation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cat>
            <c:numRef>
              <c:f>Overview!$A$3:$A$147</c:f>
              <c:numCache>
                <c:formatCode>m/d/yyyy</c:formatCode>
                <c:ptCount val="145"/>
                <c:pt idx="1">
                  <c:v>43466</c:v>
                </c:pt>
                <c:pt idx="2">
                  <c:v>43497</c:v>
                </c:pt>
                <c:pt idx="3">
                  <c:v>43525</c:v>
                </c:pt>
                <c:pt idx="4">
                  <c:v>43556</c:v>
                </c:pt>
                <c:pt idx="5">
                  <c:v>43586</c:v>
                </c:pt>
                <c:pt idx="6">
                  <c:v>43617</c:v>
                </c:pt>
                <c:pt idx="7">
                  <c:v>43647</c:v>
                </c:pt>
                <c:pt idx="8">
                  <c:v>43678</c:v>
                </c:pt>
                <c:pt idx="9">
                  <c:v>43709</c:v>
                </c:pt>
                <c:pt idx="10">
                  <c:v>43739</c:v>
                </c:pt>
                <c:pt idx="11">
                  <c:v>43770</c:v>
                </c:pt>
                <c:pt idx="12">
                  <c:v>43800</c:v>
                </c:pt>
                <c:pt idx="13">
                  <c:v>43831</c:v>
                </c:pt>
                <c:pt idx="14">
                  <c:v>43862</c:v>
                </c:pt>
                <c:pt idx="15">
                  <c:v>43891</c:v>
                </c:pt>
                <c:pt idx="16">
                  <c:v>43922</c:v>
                </c:pt>
                <c:pt idx="17">
                  <c:v>43952</c:v>
                </c:pt>
                <c:pt idx="18">
                  <c:v>43983</c:v>
                </c:pt>
                <c:pt idx="19">
                  <c:v>44013</c:v>
                </c:pt>
                <c:pt idx="20">
                  <c:v>44044</c:v>
                </c:pt>
                <c:pt idx="21">
                  <c:v>44075</c:v>
                </c:pt>
                <c:pt idx="22">
                  <c:v>44105</c:v>
                </c:pt>
                <c:pt idx="23">
                  <c:v>44136</c:v>
                </c:pt>
                <c:pt idx="24">
                  <c:v>44166</c:v>
                </c:pt>
                <c:pt idx="25">
                  <c:v>44197</c:v>
                </c:pt>
                <c:pt idx="26">
                  <c:v>44228</c:v>
                </c:pt>
                <c:pt idx="27">
                  <c:v>44256</c:v>
                </c:pt>
                <c:pt idx="28">
                  <c:v>44287</c:v>
                </c:pt>
                <c:pt idx="29">
                  <c:v>44317</c:v>
                </c:pt>
                <c:pt idx="30">
                  <c:v>44348</c:v>
                </c:pt>
                <c:pt idx="31">
                  <c:v>44378</c:v>
                </c:pt>
                <c:pt idx="32">
                  <c:v>44409</c:v>
                </c:pt>
                <c:pt idx="33">
                  <c:v>44440</c:v>
                </c:pt>
                <c:pt idx="34">
                  <c:v>44470</c:v>
                </c:pt>
                <c:pt idx="35">
                  <c:v>44501</c:v>
                </c:pt>
                <c:pt idx="36">
                  <c:v>44531</c:v>
                </c:pt>
                <c:pt idx="37">
                  <c:v>44562</c:v>
                </c:pt>
                <c:pt idx="38">
                  <c:v>44593</c:v>
                </c:pt>
                <c:pt idx="39">
                  <c:v>44621</c:v>
                </c:pt>
                <c:pt idx="40">
                  <c:v>44652</c:v>
                </c:pt>
                <c:pt idx="41">
                  <c:v>44682</c:v>
                </c:pt>
                <c:pt idx="42">
                  <c:v>44713</c:v>
                </c:pt>
                <c:pt idx="43">
                  <c:v>44743</c:v>
                </c:pt>
                <c:pt idx="44">
                  <c:v>44774</c:v>
                </c:pt>
                <c:pt idx="45">
                  <c:v>44805</c:v>
                </c:pt>
                <c:pt idx="46">
                  <c:v>44835</c:v>
                </c:pt>
                <c:pt idx="47">
                  <c:v>44866</c:v>
                </c:pt>
                <c:pt idx="48">
                  <c:v>44896</c:v>
                </c:pt>
                <c:pt idx="49">
                  <c:v>44927</c:v>
                </c:pt>
                <c:pt idx="50">
                  <c:v>44958</c:v>
                </c:pt>
                <c:pt idx="51">
                  <c:v>44986</c:v>
                </c:pt>
                <c:pt idx="52">
                  <c:v>45017</c:v>
                </c:pt>
                <c:pt idx="53">
                  <c:v>45047</c:v>
                </c:pt>
                <c:pt idx="54">
                  <c:v>45078</c:v>
                </c:pt>
                <c:pt idx="55">
                  <c:v>45108</c:v>
                </c:pt>
                <c:pt idx="56">
                  <c:v>45139</c:v>
                </c:pt>
                <c:pt idx="57">
                  <c:v>45170</c:v>
                </c:pt>
                <c:pt idx="58">
                  <c:v>45200</c:v>
                </c:pt>
                <c:pt idx="59">
                  <c:v>45231</c:v>
                </c:pt>
                <c:pt idx="60">
                  <c:v>45261</c:v>
                </c:pt>
                <c:pt idx="61">
                  <c:v>45292</c:v>
                </c:pt>
                <c:pt idx="62">
                  <c:v>45323</c:v>
                </c:pt>
                <c:pt idx="63">
                  <c:v>45352</c:v>
                </c:pt>
                <c:pt idx="64">
                  <c:v>45383</c:v>
                </c:pt>
                <c:pt idx="65">
                  <c:v>45413</c:v>
                </c:pt>
                <c:pt idx="66">
                  <c:v>45444</c:v>
                </c:pt>
                <c:pt idx="67">
                  <c:v>45474</c:v>
                </c:pt>
                <c:pt idx="68">
                  <c:v>45505</c:v>
                </c:pt>
                <c:pt idx="69">
                  <c:v>45536</c:v>
                </c:pt>
                <c:pt idx="70">
                  <c:v>45566</c:v>
                </c:pt>
                <c:pt idx="71">
                  <c:v>45597</c:v>
                </c:pt>
                <c:pt idx="72">
                  <c:v>45627</c:v>
                </c:pt>
                <c:pt idx="73">
                  <c:v>45658</c:v>
                </c:pt>
                <c:pt idx="74">
                  <c:v>45689</c:v>
                </c:pt>
                <c:pt idx="75">
                  <c:v>45717</c:v>
                </c:pt>
                <c:pt idx="76">
                  <c:v>45748</c:v>
                </c:pt>
                <c:pt idx="77">
                  <c:v>45778</c:v>
                </c:pt>
                <c:pt idx="78">
                  <c:v>45809</c:v>
                </c:pt>
                <c:pt idx="79">
                  <c:v>45839</c:v>
                </c:pt>
                <c:pt idx="80">
                  <c:v>45870</c:v>
                </c:pt>
                <c:pt idx="81">
                  <c:v>45901</c:v>
                </c:pt>
                <c:pt idx="82">
                  <c:v>45931</c:v>
                </c:pt>
                <c:pt idx="83">
                  <c:v>45962</c:v>
                </c:pt>
                <c:pt idx="84">
                  <c:v>45992</c:v>
                </c:pt>
                <c:pt idx="85">
                  <c:v>46023</c:v>
                </c:pt>
                <c:pt idx="86">
                  <c:v>46054</c:v>
                </c:pt>
                <c:pt idx="87">
                  <c:v>46082</c:v>
                </c:pt>
                <c:pt idx="88">
                  <c:v>46113</c:v>
                </c:pt>
                <c:pt idx="89">
                  <c:v>46143</c:v>
                </c:pt>
                <c:pt idx="90">
                  <c:v>46174</c:v>
                </c:pt>
                <c:pt idx="91">
                  <c:v>46204</c:v>
                </c:pt>
                <c:pt idx="92">
                  <c:v>46235</c:v>
                </c:pt>
                <c:pt idx="93">
                  <c:v>46266</c:v>
                </c:pt>
                <c:pt idx="94">
                  <c:v>46296</c:v>
                </c:pt>
                <c:pt idx="95">
                  <c:v>46327</c:v>
                </c:pt>
                <c:pt idx="96">
                  <c:v>46357</c:v>
                </c:pt>
                <c:pt idx="97">
                  <c:v>46388</c:v>
                </c:pt>
                <c:pt idx="98">
                  <c:v>46419</c:v>
                </c:pt>
                <c:pt idx="99">
                  <c:v>46447</c:v>
                </c:pt>
                <c:pt idx="100">
                  <c:v>46478</c:v>
                </c:pt>
                <c:pt idx="101">
                  <c:v>46508</c:v>
                </c:pt>
                <c:pt idx="102">
                  <c:v>46539</c:v>
                </c:pt>
                <c:pt idx="103">
                  <c:v>46569</c:v>
                </c:pt>
                <c:pt idx="104">
                  <c:v>46600</c:v>
                </c:pt>
                <c:pt idx="105">
                  <c:v>46631</c:v>
                </c:pt>
                <c:pt idx="106">
                  <c:v>46661</c:v>
                </c:pt>
                <c:pt idx="107">
                  <c:v>46692</c:v>
                </c:pt>
                <c:pt idx="108">
                  <c:v>46722</c:v>
                </c:pt>
                <c:pt idx="109">
                  <c:v>46753</c:v>
                </c:pt>
                <c:pt idx="110">
                  <c:v>46784</c:v>
                </c:pt>
                <c:pt idx="111">
                  <c:v>46813</c:v>
                </c:pt>
                <c:pt idx="112">
                  <c:v>46844</c:v>
                </c:pt>
                <c:pt idx="113">
                  <c:v>46874</c:v>
                </c:pt>
                <c:pt idx="114">
                  <c:v>46905</c:v>
                </c:pt>
                <c:pt idx="115">
                  <c:v>46935</c:v>
                </c:pt>
                <c:pt idx="116">
                  <c:v>46966</c:v>
                </c:pt>
                <c:pt idx="117">
                  <c:v>46997</c:v>
                </c:pt>
                <c:pt idx="118">
                  <c:v>47027</c:v>
                </c:pt>
                <c:pt idx="119">
                  <c:v>47058</c:v>
                </c:pt>
                <c:pt idx="120">
                  <c:v>47088</c:v>
                </c:pt>
                <c:pt idx="121">
                  <c:v>47119</c:v>
                </c:pt>
                <c:pt idx="122">
                  <c:v>47150</c:v>
                </c:pt>
                <c:pt idx="123">
                  <c:v>47178</c:v>
                </c:pt>
                <c:pt idx="124">
                  <c:v>47209</c:v>
                </c:pt>
                <c:pt idx="125">
                  <c:v>47239</c:v>
                </c:pt>
                <c:pt idx="126">
                  <c:v>47270</c:v>
                </c:pt>
                <c:pt idx="127">
                  <c:v>47300</c:v>
                </c:pt>
                <c:pt idx="128">
                  <c:v>47331</c:v>
                </c:pt>
                <c:pt idx="129">
                  <c:v>47362</c:v>
                </c:pt>
                <c:pt idx="130">
                  <c:v>47392</c:v>
                </c:pt>
                <c:pt idx="131">
                  <c:v>47423</c:v>
                </c:pt>
                <c:pt idx="132">
                  <c:v>47453</c:v>
                </c:pt>
                <c:pt idx="133">
                  <c:v>47484</c:v>
                </c:pt>
                <c:pt idx="134">
                  <c:v>47515</c:v>
                </c:pt>
                <c:pt idx="135">
                  <c:v>47543</c:v>
                </c:pt>
                <c:pt idx="136">
                  <c:v>47574</c:v>
                </c:pt>
                <c:pt idx="137">
                  <c:v>47604</c:v>
                </c:pt>
                <c:pt idx="138">
                  <c:v>47635</c:v>
                </c:pt>
                <c:pt idx="139">
                  <c:v>47665</c:v>
                </c:pt>
                <c:pt idx="140">
                  <c:v>47696</c:v>
                </c:pt>
                <c:pt idx="141">
                  <c:v>47727</c:v>
                </c:pt>
                <c:pt idx="142">
                  <c:v>47757</c:v>
                </c:pt>
                <c:pt idx="143">
                  <c:v>47788</c:v>
                </c:pt>
                <c:pt idx="144">
                  <c:v>47818</c:v>
                </c:pt>
              </c:numCache>
            </c:numRef>
          </c:cat>
          <c:val>
            <c:numRef>
              <c:f>Overview!$N$3:$N$147</c:f>
              <c:numCache>
                <c:formatCode>_("$"* #,##0.00_);_("$"* \(#,##0.00\);_("$"* "-"??_);_(@_)</c:formatCode>
                <c:ptCount val="14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-1547.6399999999999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-192.31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-3.16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-44.14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958272"/>
        <c:axId val="241402624"/>
      </c:lineChart>
      <c:dateAx>
        <c:axId val="241958272"/>
        <c:scaling>
          <c:orientation val="minMax"/>
          <c:max val="45292"/>
        </c:scaling>
        <c:delete val="0"/>
        <c:axPos val="b"/>
        <c:majorGridlines/>
        <c:numFmt formatCode="mmmm\,\ yyyy" sourceLinked="0"/>
        <c:majorTickMark val="out"/>
        <c:minorTickMark val="none"/>
        <c:tickLblPos val="low"/>
        <c:crossAx val="241402624"/>
        <c:crosses val="autoZero"/>
        <c:auto val="0"/>
        <c:lblOffset val="100"/>
        <c:baseTimeUnit val="months"/>
        <c:minorUnit val="1"/>
        <c:minorTimeUnit val="months"/>
      </c:dateAx>
      <c:valAx>
        <c:axId val="241402624"/>
        <c:scaling>
          <c:orientation val="minMax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Amount</a:t>
                </a:r>
              </a:p>
            </c:rich>
          </c:tx>
          <c:overlay val="0"/>
        </c:title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241958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Stacked Spending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Overview!$C$2</c:f>
              <c:strCache>
                <c:ptCount val="1"/>
                <c:pt idx="0">
                  <c:v>Job</c:v>
                </c:pt>
              </c:strCache>
            </c:strRef>
          </c:tx>
          <c:invertIfNegative val="0"/>
          <c:dPt>
            <c:idx val="3"/>
            <c:invertIfNegative val="0"/>
            <c:bubble3D val="0"/>
            <c:spPr>
              <a:ln w="28575"/>
            </c:spPr>
          </c:dPt>
          <c:cat>
            <c:multiLvlStrRef>
              <c:f>Overview!$A$3:$B$147</c:f>
              <c:multiLvlStrCache>
                <c:ptCount val="145"/>
                <c:lvl>
                  <c:pt idx="1">
                    <c:v>January 2019</c:v>
                  </c:pt>
                  <c:pt idx="2">
                    <c:v>February 2019</c:v>
                  </c:pt>
                  <c:pt idx="3">
                    <c:v>March 2019</c:v>
                  </c:pt>
                  <c:pt idx="4">
                    <c:v>April 2019</c:v>
                  </c:pt>
                  <c:pt idx="5">
                    <c:v>May 2019</c:v>
                  </c:pt>
                  <c:pt idx="6">
                    <c:v>June 2019</c:v>
                  </c:pt>
                  <c:pt idx="7">
                    <c:v>July 2019</c:v>
                  </c:pt>
                  <c:pt idx="8">
                    <c:v>August 2019</c:v>
                  </c:pt>
                  <c:pt idx="9">
                    <c:v>September 2019</c:v>
                  </c:pt>
                  <c:pt idx="10">
                    <c:v>October 2019</c:v>
                  </c:pt>
                  <c:pt idx="11">
                    <c:v>November 2019</c:v>
                  </c:pt>
                  <c:pt idx="12">
                    <c:v>December 2019</c:v>
                  </c:pt>
                  <c:pt idx="13">
                    <c:v>January 2020</c:v>
                  </c:pt>
                  <c:pt idx="14">
                    <c:v>February 2020</c:v>
                  </c:pt>
                  <c:pt idx="15">
                    <c:v>March 2020</c:v>
                  </c:pt>
                  <c:pt idx="16">
                    <c:v>April 2020</c:v>
                  </c:pt>
                  <c:pt idx="17">
                    <c:v>May 2020</c:v>
                  </c:pt>
                  <c:pt idx="18">
                    <c:v>June 2020</c:v>
                  </c:pt>
                  <c:pt idx="19">
                    <c:v>July 2020</c:v>
                  </c:pt>
                  <c:pt idx="20">
                    <c:v>August 2020</c:v>
                  </c:pt>
                  <c:pt idx="21">
                    <c:v>September 2020</c:v>
                  </c:pt>
                  <c:pt idx="22">
                    <c:v>October 2020</c:v>
                  </c:pt>
                  <c:pt idx="23">
                    <c:v>November 2020</c:v>
                  </c:pt>
                  <c:pt idx="24">
                    <c:v>December 2020</c:v>
                  </c:pt>
                  <c:pt idx="25">
                    <c:v>January 2021</c:v>
                  </c:pt>
                  <c:pt idx="26">
                    <c:v>February 2021</c:v>
                  </c:pt>
                  <c:pt idx="27">
                    <c:v>March 2021</c:v>
                  </c:pt>
                  <c:pt idx="28">
                    <c:v>April 2021</c:v>
                  </c:pt>
                  <c:pt idx="29">
                    <c:v>May 2021</c:v>
                  </c:pt>
                  <c:pt idx="30">
                    <c:v>June 2021</c:v>
                  </c:pt>
                  <c:pt idx="31">
                    <c:v>July 2021</c:v>
                  </c:pt>
                  <c:pt idx="32">
                    <c:v>August 2021</c:v>
                  </c:pt>
                  <c:pt idx="33">
                    <c:v>September 2021</c:v>
                  </c:pt>
                  <c:pt idx="34">
                    <c:v>October 2021</c:v>
                  </c:pt>
                  <c:pt idx="35">
                    <c:v>November 2021</c:v>
                  </c:pt>
                  <c:pt idx="36">
                    <c:v>December 2021</c:v>
                  </c:pt>
                  <c:pt idx="37">
                    <c:v>January 2022</c:v>
                  </c:pt>
                  <c:pt idx="38">
                    <c:v>February 2022</c:v>
                  </c:pt>
                  <c:pt idx="39">
                    <c:v>March 2022</c:v>
                  </c:pt>
                  <c:pt idx="40">
                    <c:v>April 2022</c:v>
                  </c:pt>
                  <c:pt idx="41">
                    <c:v>May 2022</c:v>
                  </c:pt>
                  <c:pt idx="42">
                    <c:v>June 2022</c:v>
                  </c:pt>
                  <c:pt idx="43">
                    <c:v>July 2022</c:v>
                  </c:pt>
                  <c:pt idx="44">
                    <c:v>August 2022</c:v>
                  </c:pt>
                  <c:pt idx="45">
                    <c:v>September 2022</c:v>
                  </c:pt>
                  <c:pt idx="46">
                    <c:v>October 2022</c:v>
                  </c:pt>
                  <c:pt idx="47">
                    <c:v>November 2022</c:v>
                  </c:pt>
                  <c:pt idx="48">
                    <c:v>December 2022</c:v>
                  </c:pt>
                  <c:pt idx="49">
                    <c:v>January 2023</c:v>
                  </c:pt>
                  <c:pt idx="50">
                    <c:v>February 2023</c:v>
                  </c:pt>
                  <c:pt idx="51">
                    <c:v>March 2023</c:v>
                  </c:pt>
                  <c:pt idx="52">
                    <c:v>April 2023</c:v>
                  </c:pt>
                  <c:pt idx="53">
                    <c:v>May 2023</c:v>
                  </c:pt>
                  <c:pt idx="54">
                    <c:v>June 2023</c:v>
                  </c:pt>
                  <c:pt idx="55">
                    <c:v>July 2023</c:v>
                  </c:pt>
                  <c:pt idx="56">
                    <c:v>August 2023</c:v>
                  </c:pt>
                  <c:pt idx="57">
                    <c:v>September 2023</c:v>
                  </c:pt>
                  <c:pt idx="58">
                    <c:v>October 2023</c:v>
                  </c:pt>
                  <c:pt idx="59">
                    <c:v>November 2023</c:v>
                  </c:pt>
                  <c:pt idx="60">
                    <c:v>December 2023</c:v>
                  </c:pt>
                  <c:pt idx="61">
                    <c:v>January 2024</c:v>
                  </c:pt>
                  <c:pt idx="62">
                    <c:v>February 2024</c:v>
                  </c:pt>
                  <c:pt idx="63">
                    <c:v>March 2024</c:v>
                  </c:pt>
                  <c:pt idx="64">
                    <c:v>April 2024</c:v>
                  </c:pt>
                  <c:pt idx="65">
                    <c:v>May 2024</c:v>
                  </c:pt>
                  <c:pt idx="66">
                    <c:v>June 2024</c:v>
                  </c:pt>
                  <c:pt idx="67">
                    <c:v>July 2024</c:v>
                  </c:pt>
                  <c:pt idx="68">
                    <c:v>August 2024</c:v>
                  </c:pt>
                  <c:pt idx="69">
                    <c:v>September 2024</c:v>
                  </c:pt>
                  <c:pt idx="70">
                    <c:v>October 2024</c:v>
                  </c:pt>
                  <c:pt idx="71">
                    <c:v>November 2024</c:v>
                  </c:pt>
                  <c:pt idx="72">
                    <c:v>December 2024</c:v>
                  </c:pt>
                  <c:pt idx="73">
                    <c:v>January 2025</c:v>
                  </c:pt>
                  <c:pt idx="74">
                    <c:v>February 2025</c:v>
                  </c:pt>
                  <c:pt idx="75">
                    <c:v>March 2025</c:v>
                  </c:pt>
                  <c:pt idx="76">
                    <c:v>April 2025</c:v>
                  </c:pt>
                  <c:pt idx="77">
                    <c:v>May 2025</c:v>
                  </c:pt>
                  <c:pt idx="78">
                    <c:v>June 2025</c:v>
                  </c:pt>
                  <c:pt idx="79">
                    <c:v>July 2025</c:v>
                  </c:pt>
                  <c:pt idx="80">
                    <c:v>August 2025</c:v>
                  </c:pt>
                  <c:pt idx="81">
                    <c:v>September 2025</c:v>
                  </c:pt>
                  <c:pt idx="82">
                    <c:v>October 2025</c:v>
                  </c:pt>
                  <c:pt idx="83">
                    <c:v>November 2025</c:v>
                  </c:pt>
                  <c:pt idx="84">
                    <c:v>December 2025</c:v>
                  </c:pt>
                  <c:pt idx="85">
                    <c:v>January 2026</c:v>
                  </c:pt>
                  <c:pt idx="86">
                    <c:v>February 2026</c:v>
                  </c:pt>
                  <c:pt idx="87">
                    <c:v>March 2026</c:v>
                  </c:pt>
                  <c:pt idx="88">
                    <c:v>April 2026</c:v>
                  </c:pt>
                  <c:pt idx="89">
                    <c:v>May 2026</c:v>
                  </c:pt>
                  <c:pt idx="90">
                    <c:v>June 2026</c:v>
                  </c:pt>
                  <c:pt idx="91">
                    <c:v>July 2026</c:v>
                  </c:pt>
                  <c:pt idx="92">
                    <c:v>August 2026</c:v>
                  </c:pt>
                  <c:pt idx="93">
                    <c:v>September 2026</c:v>
                  </c:pt>
                  <c:pt idx="94">
                    <c:v>October 2026</c:v>
                  </c:pt>
                  <c:pt idx="95">
                    <c:v>November 2026</c:v>
                  </c:pt>
                  <c:pt idx="96">
                    <c:v>December 2026</c:v>
                  </c:pt>
                  <c:pt idx="97">
                    <c:v>January 2027</c:v>
                  </c:pt>
                  <c:pt idx="98">
                    <c:v>February 2027</c:v>
                  </c:pt>
                  <c:pt idx="99">
                    <c:v>March 2027</c:v>
                  </c:pt>
                  <c:pt idx="100">
                    <c:v>April 2027</c:v>
                  </c:pt>
                  <c:pt idx="101">
                    <c:v>May 2027</c:v>
                  </c:pt>
                  <c:pt idx="102">
                    <c:v>June 2027</c:v>
                  </c:pt>
                  <c:pt idx="103">
                    <c:v>July 2027</c:v>
                  </c:pt>
                  <c:pt idx="104">
                    <c:v>August 2027</c:v>
                  </c:pt>
                  <c:pt idx="105">
                    <c:v>September 2027</c:v>
                  </c:pt>
                  <c:pt idx="106">
                    <c:v>October 2027</c:v>
                  </c:pt>
                  <c:pt idx="107">
                    <c:v>November 2027</c:v>
                  </c:pt>
                  <c:pt idx="108">
                    <c:v>December 2027</c:v>
                  </c:pt>
                  <c:pt idx="109">
                    <c:v>January 2028</c:v>
                  </c:pt>
                  <c:pt idx="110">
                    <c:v>February 2028</c:v>
                  </c:pt>
                  <c:pt idx="111">
                    <c:v>March 2028</c:v>
                  </c:pt>
                  <c:pt idx="112">
                    <c:v>April 2028</c:v>
                  </c:pt>
                  <c:pt idx="113">
                    <c:v>May 2028</c:v>
                  </c:pt>
                  <c:pt idx="114">
                    <c:v>June 2028</c:v>
                  </c:pt>
                  <c:pt idx="115">
                    <c:v>July 2028</c:v>
                  </c:pt>
                  <c:pt idx="116">
                    <c:v>August 2028</c:v>
                  </c:pt>
                  <c:pt idx="117">
                    <c:v>September 2028</c:v>
                  </c:pt>
                  <c:pt idx="118">
                    <c:v>October 2028</c:v>
                  </c:pt>
                  <c:pt idx="119">
                    <c:v>November 2028</c:v>
                  </c:pt>
                  <c:pt idx="120">
                    <c:v>December 2028</c:v>
                  </c:pt>
                  <c:pt idx="121">
                    <c:v>January 2029</c:v>
                  </c:pt>
                  <c:pt idx="122">
                    <c:v>February 2029</c:v>
                  </c:pt>
                  <c:pt idx="123">
                    <c:v>March 2029</c:v>
                  </c:pt>
                  <c:pt idx="124">
                    <c:v>April 2029</c:v>
                  </c:pt>
                  <c:pt idx="125">
                    <c:v>May 2029</c:v>
                  </c:pt>
                  <c:pt idx="126">
                    <c:v>June 2029</c:v>
                  </c:pt>
                  <c:pt idx="127">
                    <c:v>July 2029</c:v>
                  </c:pt>
                  <c:pt idx="128">
                    <c:v>August 2029</c:v>
                  </c:pt>
                  <c:pt idx="129">
                    <c:v>September 2029</c:v>
                  </c:pt>
                  <c:pt idx="130">
                    <c:v>October 2029</c:v>
                  </c:pt>
                  <c:pt idx="131">
                    <c:v>November 2029</c:v>
                  </c:pt>
                  <c:pt idx="132">
                    <c:v>December 2029</c:v>
                  </c:pt>
                  <c:pt idx="133">
                    <c:v>January 2030</c:v>
                  </c:pt>
                  <c:pt idx="134">
                    <c:v>February 2030</c:v>
                  </c:pt>
                  <c:pt idx="135">
                    <c:v>March 2030</c:v>
                  </c:pt>
                  <c:pt idx="136">
                    <c:v>April 2030</c:v>
                  </c:pt>
                  <c:pt idx="137">
                    <c:v>May 2030</c:v>
                  </c:pt>
                  <c:pt idx="138">
                    <c:v>June 2030</c:v>
                  </c:pt>
                  <c:pt idx="139">
                    <c:v>July 2030</c:v>
                  </c:pt>
                  <c:pt idx="140">
                    <c:v>August 2030</c:v>
                  </c:pt>
                  <c:pt idx="141">
                    <c:v>September 2030</c:v>
                  </c:pt>
                  <c:pt idx="142">
                    <c:v>October 2030</c:v>
                  </c:pt>
                  <c:pt idx="143">
                    <c:v>November 2030</c:v>
                  </c:pt>
                  <c:pt idx="144">
                    <c:v>December 2030</c:v>
                  </c:pt>
                </c:lvl>
                <c:lvl>
                  <c:pt idx="1">
                    <c:v>2019-01-01</c:v>
                  </c:pt>
                  <c:pt idx="2">
                    <c:v>2019-02-01</c:v>
                  </c:pt>
                  <c:pt idx="3">
                    <c:v>2019-03-01</c:v>
                  </c:pt>
                  <c:pt idx="4">
                    <c:v>2019-04-01</c:v>
                  </c:pt>
                  <c:pt idx="5">
                    <c:v>2019-05-01</c:v>
                  </c:pt>
                  <c:pt idx="6">
                    <c:v>2019-06-01</c:v>
                  </c:pt>
                  <c:pt idx="7">
                    <c:v>2019-07-01</c:v>
                  </c:pt>
                  <c:pt idx="8">
                    <c:v>2019-08-01</c:v>
                  </c:pt>
                  <c:pt idx="9">
                    <c:v>2019-09-01</c:v>
                  </c:pt>
                  <c:pt idx="10">
                    <c:v>2019-10-01</c:v>
                  </c:pt>
                  <c:pt idx="11">
                    <c:v>2019-11-01</c:v>
                  </c:pt>
                  <c:pt idx="12">
                    <c:v>2019-12-01</c:v>
                  </c:pt>
                  <c:pt idx="13">
                    <c:v>2020-01-01</c:v>
                  </c:pt>
                  <c:pt idx="14">
                    <c:v>2020-02-01</c:v>
                  </c:pt>
                  <c:pt idx="15">
                    <c:v>2020-03-01</c:v>
                  </c:pt>
                  <c:pt idx="16">
                    <c:v>2020-04-01</c:v>
                  </c:pt>
                  <c:pt idx="17">
                    <c:v>2020-05-01</c:v>
                  </c:pt>
                  <c:pt idx="18">
                    <c:v>2020-06-01</c:v>
                  </c:pt>
                  <c:pt idx="19">
                    <c:v>2020-07-01</c:v>
                  </c:pt>
                  <c:pt idx="20">
                    <c:v>2020-08-01</c:v>
                  </c:pt>
                  <c:pt idx="21">
                    <c:v>2020-09-01</c:v>
                  </c:pt>
                  <c:pt idx="22">
                    <c:v>2020-10-01</c:v>
                  </c:pt>
                  <c:pt idx="23">
                    <c:v>2020-11-01</c:v>
                  </c:pt>
                  <c:pt idx="24">
                    <c:v>2020-12-01</c:v>
                  </c:pt>
                  <c:pt idx="25">
                    <c:v>2021-01-01</c:v>
                  </c:pt>
                  <c:pt idx="26">
                    <c:v>2021-02-01</c:v>
                  </c:pt>
                  <c:pt idx="27">
                    <c:v>2021-03-01</c:v>
                  </c:pt>
                  <c:pt idx="28">
                    <c:v>2021-04-01</c:v>
                  </c:pt>
                  <c:pt idx="29">
                    <c:v>2021-05-01</c:v>
                  </c:pt>
                  <c:pt idx="30">
                    <c:v>2021-06-01</c:v>
                  </c:pt>
                  <c:pt idx="31">
                    <c:v>2021-07-01</c:v>
                  </c:pt>
                  <c:pt idx="32">
                    <c:v>2021-08-01</c:v>
                  </c:pt>
                  <c:pt idx="33">
                    <c:v>2021-09-01</c:v>
                  </c:pt>
                  <c:pt idx="34">
                    <c:v>2021-10-01</c:v>
                  </c:pt>
                  <c:pt idx="35">
                    <c:v>2021-11-01</c:v>
                  </c:pt>
                  <c:pt idx="36">
                    <c:v>2021-12-01</c:v>
                  </c:pt>
                  <c:pt idx="37">
                    <c:v>2022-01-01</c:v>
                  </c:pt>
                  <c:pt idx="38">
                    <c:v>2022-02-01</c:v>
                  </c:pt>
                  <c:pt idx="39">
                    <c:v>2022-03-01</c:v>
                  </c:pt>
                  <c:pt idx="40">
                    <c:v>2022-04-01</c:v>
                  </c:pt>
                  <c:pt idx="41">
                    <c:v>2022-05-01</c:v>
                  </c:pt>
                  <c:pt idx="42">
                    <c:v>2022-06-01</c:v>
                  </c:pt>
                  <c:pt idx="43">
                    <c:v>2022-07-01</c:v>
                  </c:pt>
                  <c:pt idx="44">
                    <c:v>2022-08-01</c:v>
                  </c:pt>
                  <c:pt idx="45">
                    <c:v>2022-09-01</c:v>
                  </c:pt>
                  <c:pt idx="46">
                    <c:v>2022-10-01</c:v>
                  </c:pt>
                  <c:pt idx="47">
                    <c:v>2022-11-01</c:v>
                  </c:pt>
                  <c:pt idx="48">
                    <c:v>2022-12-01</c:v>
                  </c:pt>
                  <c:pt idx="49">
                    <c:v>2023-01-01</c:v>
                  </c:pt>
                  <c:pt idx="50">
                    <c:v>2023-02-01</c:v>
                  </c:pt>
                  <c:pt idx="51">
                    <c:v>2023-03-01</c:v>
                  </c:pt>
                  <c:pt idx="52">
                    <c:v>2023-04-01</c:v>
                  </c:pt>
                  <c:pt idx="53">
                    <c:v>2023-05-01</c:v>
                  </c:pt>
                  <c:pt idx="54">
                    <c:v>2023-06-01</c:v>
                  </c:pt>
                  <c:pt idx="55">
                    <c:v>2023-07-01</c:v>
                  </c:pt>
                  <c:pt idx="56">
                    <c:v>2023-08-01</c:v>
                  </c:pt>
                  <c:pt idx="57">
                    <c:v>2023-09-01</c:v>
                  </c:pt>
                  <c:pt idx="58">
                    <c:v>2023-10-01</c:v>
                  </c:pt>
                  <c:pt idx="59">
                    <c:v>2023-11-01</c:v>
                  </c:pt>
                  <c:pt idx="60">
                    <c:v>2023-12-01</c:v>
                  </c:pt>
                  <c:pt idx="61">
                    <c:v>2024-01-01</c:v>
                  </c:pt>
                  <c:pt idx="62">
                    <c:v>2024-02-01</c:v>
                  </c:pt>
                  <c:pt idx="63">
                    <c:v>2024-03-01</c:v>
                  </c:pt>
                  <c:pt idx="64">
                    <c:v>2024-04-01</c:v>
                  </c:pt>
                  <c:pt idx="65">
                    <c:v>2024-05-01</c:v>
                  </c:pt>
                  <c:pt idx="66">
                    <c:v>2024-06-01</c:v>
                  </c:pt>
                  <c:pt idx="67">
                    <c:v>2024-07-01</c:v>
                  </c:pt>
                  <c:pt idx="68">
                    <c:v>2024-08-01</c:v>
                  </c:pt>
                  <c:pt idx="69">
                    <c:v>2024-09-01</c:v>
                  </c:pt>
                  <c:pt idx="70">
                    <c:v>2024-10-01</c:v>
                  </c:pt>
                  <c:pt idx="71">
                    <c:v>2024-11-01</c:v>
                  </c:pt>
                  <c:pt idx="72">
                    <c:v>2024-12-01</c:v>
                  </c:pt>
                  <c:pt idx="73">
                    <c:v>2025-01-01</c:v>
                  </c:pt>
                  <c:pt idx="74">
                    <c:v>2025-02-01</c:v>
                  </c:pt>
                  <c:pt idx="75">
                    <c:v>2025-03-01</c:v>
                  </c:pt>
                  <c:pt idx="76">
                    <c:v>2025-04-01</c:v>
                  </c:pt>
                  <c:pt idx="77">
                    <c:v>2025-05-01</c:v>
                  </c:pt>
                  <c:pt idx="78">
                    <c:v>2025-06-01</c:v>
                  </c:pt>
                  <c:pt idx="79">
                    <c:v>2025-07-01</c:v>
                  </c:pt>
                  <c:pt idx="80">
                    <c:v>2025-08-01</c:v>
                  </c:pt>
                  <c:pt idx="81">
                    <c:v>2025-09-01</c:v>
                  </c:pt>
                  <c:pt idx="82">
                    <c:v>2025-10-01</c:v>
                  </c:pt>
                  <c:pt idx="83">
                    <c:v>2025-11-01</c:v>
                  </c:pt>
                  <c:pt idx="84">
                    <c:v>2025-12-01</c:v>
                  </c:pt>
                  <c:pt idx="85">
                    <c:v>2026-01-01</c:v>
                  </c:pt>
                  <c:pt idx="86">
                    <c:v>2026-02-01</c:v>
                  </c:pt>
                  <c:pt idx="87">
                    <c:v>2026-03-01</c:v>
                  </c:pt>
                  <c:pt idx="88">
                    <c:v>2026-04-01</c:v>
                  </c:pt>
                  <c:pt idx="89">
                    <c:v>2026-05-01</c:v>
                  </c:pt>
                  <c:pt idx="90">
                    <c:v>2026-06-01</c:v>
                  </c:pt>
                  <c:pt idx="91">
                    <c:v>2026-07-01</c:v>
                  </c:pt>
                  <c:pt idx="92">
                    <c:v>2026-08-01</c:v>
                  </c:pt>
                  <c:pt idx="93">
                    <c:v>2026-09-01</c:v>
                  </c:pt>
                  <c:pt idx="94">
                    <c:v>2026-10-01</c:v>
                  </c:pt>
                  <c:pt idx="95">
                    <c:v>2026-11-01</c:v>
                  </c:pt>
                  <c:pt idx="96">
                    <c:v>2026-12-01</c:v>
                  </c:pt>
                  <c:pt idx="97">
                    <c:v>2027-01-01</c:v>
                  </c:pt>
                  <c:pt idx="98">
                    <c:v>2027-02-01</c:v>
                  </c:pt>
                  <c:pt idx="99">
                    <c:v>2027-03-01</c:v>
                  </c:pt>
                  <c:pt idx="100">
                    <c:v>2027-04-01</c:v>
                  </c:pt>
                  <c:pt idx="101">
                    <c:v>2027-05-01</c:v>
                  </c:pt>
                  <c:pt idx="102">
                    <c:v>2027-06-01</c:v>
                  </c:pt>
                  <c:pt idx="103">
                    <c:v>2027-07-01</c:v>
                  </c:pt>
                  <c:pt idx="104">
                    <c:v>2027-08-01</c:v>
                  </c:pt>
                  <c:pt idx="105">
                    <c:v>2027-09-01</c:v>
                  </c:pt>
                  <c:pt idx="106">
                    <c:v>2027-10-01</c:v>
                  </c:pt>
                  <c:pt idx="107">
                    <c:v>2027-11-01</c:v>
                  </c:pt>
                  <c:pt idx="108">
                    <c:v>2027-12-01</c:v>
                  </c:pt>
                  <c:pt idx="109">
                    <c:v>2028-01-01</c:v>
                  </c:pt>
                  <c:pt idx="110">
                    <c:v>2028-02-01</c:v>
                  </c:pt>
                  <c:pt idx="111">
                    <c:v>2028-03-01</c:v>
                  </c:pt>
                  <c:pt idx="112">
                    <c:v>2028-04-01</c:v>
                  </c:pt>
                  <c:pt idx="113">
                    <c:v>2028-05-01</c:v>
                  </c:pt>
                  <c:pt idx="114">
                    <c:v>2028-06-01</c:v>
                  </c:pt>
                  <c:pt idx="115">
                    <c:v>2028-07-01</c:v>
                  </c:pt>
                  <c:pt idx="116">
                    <c:v>2028-08-01</c:v>
                  </c:pt>
                  <c:pt idx="117">
                    <c:v>2028-09-01</c:v>
                  </c:pt>
                  <c:pt idx="118">
                    <c:v>2028-10-01</c:v>
                  </c:pt>
                  <c:pt idx="119">
                    <c:v>2028-11-01</c:v>
                  </c:pt>
                  <c:pt idx="120">
                    <c:v>2028-12-01</c:v>
                  </c:pt>
                  <c:pt idx="121">
                    <c:v>2029-01-01</c:v>
                  </c:pt>
                  <c:pt idx="122">
                    <c:v>2029-02-01</c:v>
                  </c:pt>
                  <c:pt idx="123">
                    <c:v>2029-03-01</c:v>
                  </c:pt>
                  <c:pt idx="124">
                    <c:v>2029-04-01</c:v>
                  </c:pt>
                  <c:pt idx="125">
                    <c:v>2029-05-01</c:v>
                  </c:pt>
                  <c:pt idx="126">
                    <c:v>2029-06-01</c:v>
                  </c:pt>
                  <c:pt idx="127">
                    <c:v>2029-07-01</c:v>
                  </c:pt>
                  <c:pt idx="128">
                    <c:v>2029-08-01</c:v>
                  </c:pt>
                  <c:pt idx="129">
                    <c:v>2029-09-01</c:v>
                  </c:pt>
                  <c:pt idx="130">
                    <c:v>2029-10-01</c:v>
                  </c:pt>
                  <c:pt idx="131">
                    <c:v>2029-11-01</c:v>
                  </c:pt>
                  <c:pt idx="132">
                    <c:v>2029-12-01</c:v>
                  </c:pt>
                  <c:pt idx="133">
                    <c:v>2030-01-01</c:v>
                  </c:pt>
                  <c:pt idx="134">
                    <c:v>2030-02-01</c:v>
                  </c:pt>
                  <c:pt idx="135">
                    <c:v>2030-03-01</c:v>
                  </c:pt>
                  <c:pt idx="136">
                    <c:v>2030-04-01</c:v>
                  </c:pt>
                  <c:pt idx="137">
                    <c:v>2030-05-01</c:v>
                  </c:pt>
                  <c:pt idx="138">
                    <c:v>2030-06-01</c:v>
                  </c:pt>
                  <c:pt idx="139">
                    <c:v>2030-07-01</c:v>
                  </c:pt>
                  <c:pt idx="140">
                    <c:v>2030-08-01</c:v>
                  </c:pt>
                  <c:pt idx="141">
                    <c:v>2030-09-01</c:v>
                  </c:pt>
                  <c:pt idx="142">
                    <c:v>2030-10-01</c:v>
                  </c:pt>
                  <c:pt idx="143">
                    <c:v>2030-11-01</c:v>
                  </c:pt>
                  <c:pt idx="144">
                    <c:v>2030-12-01</c:v>
                  </c:pt>
                </c:lvl>
              </c:multiLvlStrCache>
            </c:multiLvlStrRef>
          </c:cat>
          <c:val>
            <c:numRef>
              <c:f>Overview!$C$3:$C$147</c:f>
              <c:numCache>
                <c:formatCode>_("$"* #,##0.00_);_("$"* \(#,##0.00\);_("$"* "-"??_);_(@_)</c:formatCode>
                <c:ptCount val="145"/>
                <c:pt idx="1">
                  <c:v>0</c:v>
                </c:pt>
                <c:pt idx="2">
                  <c:v>-35.700000000000003</c:v>
                </c:pt>
                <c:pt idx="3">
                  <c:v>0</c:v>
                </c:pt>
                <c:pt idx="4">
                  <c:v>0</c:v>
                </c:pt>
                <c:pt idx="5">
                  <c:v>1704.24</c:v>
                </c:pt>
                <c:pt idx="6">
                  <c:v>3533.96</c:v>
                </c:pt>
                <c:pt idx="7">
                  <c:v>3471.22</c:v>
                </c:pt>
                <c:pt idx="8">
                  <c:v>3471.22</c:v>
                </c:pt>
                <c:pt idx="9">
                  <c:v>3471.22</c:v>
                </c:pt>
                <c:pt idx="10">
                  <c:v>5206.83</c:v>
                </c:pt>
                <c:pt idx="11">
                  <c:v>4652.3900000000003</c:v>
                </c:pt>
                <c:pt idx="12">
                  <c:v>3420.24</c:v>
                </c:pt>
                <c:pt idx="13">
                  <c:v>3316.72</c:v>
                </c:pt>
                <c:pt idx="14">
                  <c:v>3471.22</c:v>
                </c:pt>
                <c:pt idx="15">
                  <c:v>3471.22</c:v>
                </c:pt>
                <c:pt idx="16">
                  <c:v>9539.2899999999991</c:v>
                </c:pt>
                <c:pt idx="17">
                  <c:v>3527.64</c:v>
                </c:pt>
                <c:pt idx="18">
                  <c:v>3527.64</c:v>
                </c:pt>
                <c:pt idx="19">
                  <c:v>4087.5199999999995</c:v>
                </c:pt>
                <c:pt idx="20">
                  <c:v>5288.41</c:v>
                </c:pt>
                <c:pt idx="21">
                  <c:v>4184.96</c:v>
                </c:pt>
                <c:pt idx="22">
                  <c:v>4184.96</c:v>
                </c:pt>
                <c:pt idx="23">
                  <c:v>4184.96</c:v>
                </c:pt>
                <c:pt idx="24">
                  <c:v>4184.96</c:v>
                </c:pt>
                <c:pt idx="25">
                  <c:v>4191.7699999999995</c:v>
                </c:pt>
                <c:pt idx="26">
                  <c:v>4191.7699999999995</c:v>
                </c:pt>
                <c:pt idx="27">
                  <c:v>4191.7699999999995</c:v>
                </c:pt>
                <c:pt idx="28">
                  <c:v>4708.01</c:v>
                </c:pt>
                <c:pt idx="29">
                  <c:v>4191.7699999999995</c:v>
                </c:pt>
                <c:pt idx="30">
                  <c:v>4261.32</c:v>
                </c:pt>
                <c:pt idx="31">
                  <c:v>4366.29</c:v>
                </c:pt>
                <c:pt idx="32">
                  <c:v>4366.29</c:v>
                </c:pt>
                <c:pt idx="33">
                  <c:v>4367.21</c:v>
                </c:pt>
                <c:pt idx="34">
                  <c:v>4477.26</c:v>
                </c:pt>
                <c:pt idx="35">
                  <c:v>4685.58</c:v>
                </c:pt>
                <c:pt idx="36">
                  <c:v>4743.5499999999993</c:v>
                </c:pt>
                <c:pt idx="37">
                  <c:v>7357.02</c:v>
                </c:pt>
                <c:pt idx="38">
                  <c:v>4576.25</c:v>
                </c:pt>
                <c:pt idx="39">
                  <c:v>3803.31</c:v>
                </c:pt>
                <c:pt idx="40">
                  <c:v>3972.2299999999996</c:v>
                </c:pt>
                <c:pt idx="41">
                  <c:v>3977.4399999999996</c:v>
                </c:pt>
                <c:pt idx="42">
                  <c:v>5973.98</c:v>
                </c:pt>
                <c:pt idx="43">
                  <c:v>4029.0699999999997</c:v>
                </c:pt>
                <c:pt idx="44">
                  <c:v>3982.6499999999996</c:v>
                </c:pt>
                <c:pt idx="45">
                  <c:v>3993.33</c:v>
                </c:pt>
                <c:pt idx="46">
                  <c:v>3993.3</c:v>
                </c:pt>
                <c:pt idx="47">
                  <c:v>4069.1800000000003</c:v>
                </c:pt>
                <c:pt idx="48">
                  <c:v>6544.26</c:v>
                </c:pt>
                <c:pt idx="49">
                  <c:v>4296.93</c:v>
                </c:pt>
                <c:pt idx="50">
                  <c:v>4296.95</c:v>
                </c:pt>
                <c:pt idx="51">
                  <c:v>3972.52</c:v>
                </c:pt>
                <c:pt idx="52">
                  <c:v>4039.21</c:v>
                </c:pt>
                <c:pt idx="53">
                  <c:v>3932.85</c:v>
                </c:pt>
                <c:pt idx="54">
                  <c:v>6075.07</c:v>
                </c:pt>
                <c:pt idx="55">
                  <c:v>4053.63</c:v>
                </c:pt>
                <c:pt idx="56">
                  <c:v>4285.9799999999996</c:v>
                </c:pt>
                <c:pt idx="57">
                  <c:v>4225.3</c:v>
                </c:pt>
                <c:pt idx="58">
                  <c:v>4545.34</c:v>
                </c:pt>
                <c:pt idx="59">
                  <c:v>4612.9399999999996</c:v>
                </c:pt>
                <c:pt idx="60">
                  <c:v>7254.72</c:v>
                </c:pt>
                <c:pt idx="61">
                  <c:v>4324.51</c:v>
                </c:pt>
                <c:pt idx="62">
                  <c:v>4340.84</c:v>
                </c:pt>
                <c:pt idx="63">
                  <c:v>4698.8499999999995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</c:ser>
        <c:ser>
          <c:idx val="1"/>
          <c:order val="1"/>
          <c:tx>
            <c:strRef>
              <c:f>Overview!$D$2</c:f>
              <c:strCache>
                <c:ptCount val="1"/>
                <c:pt idx="0">
                  <c:v>Food</c:v>
                </c:pt>
              </c:strCache>
            </c:strRef>
          </c:tx>
          <c:invertIfNegative val="0"/>
          <c:cat>
            <c:multiLvlStrRef>
              <c:f>Overview!$A$3:$B$147</c:f>
              <c:multiLvlStrCache>
                <c:ptCount val="145"/>
                <c:lvl>
                  <c:pt idx="1">
                    <c:v>January 2019</c:v>
                  </c:pt>
                  <c:pt idx="2">
                    <c:v>February 2019</c:v>
                  </c:pt>
                  <c:pt idx="3">
                    <c:v>March 2019</c:v>
                  </c:pt>
                  <c:pt idx="4">
                    <c:v>April 2019</c:v>
                  </c:pt>
                  <c:pt idx="5">
                    <c:v>May 2019</c:v>
                  </c:pt>
                  <c:pt idx="6">
                    <c:v>June 2019</c:v>
                  </c:pt>
                  <c:pt idx="7">
                    <c:v>July 2019</c:v>
                  </c:pt>
                  <c:pt idx="8">
                    <c:v>August 2019</c:v>
                  </c:pt>
                  <c:pt idx="9">
                    <c:v>September 2019</c:v>
                  </c:pt>
                  <c:pt idx="10">
                    <c:v>October 2019</c:v>
                  </c:pt>
                  <c:pt idx="11">
                    <c:v>November 2019</c:v>
                  </c:pt>
                  <c:pt idx="12">
                    <c:v>December 2019</c:v>
                  </c:pt>
                  <c:pt idx="13">
                    <c:v>January 2020</c:v>
                  </c:pt>
                  <c:pt idx="14">
                    <c:v>February 2020</c:v>
                  </c:pt>
                  <c:pt idx="15">
                    <c:v>March 2020</c:v>
                  </c:pt>
                  <c:pt idx="16">
                    <c:v>April 2020</c:v>
                  </c:pt>
                  <c:pt idx="17">
                    <c:v>May 2020</c:v>
                  </c:pt>
                  <c:pt idx="18">
                    <c:v>June 2020</c:v>
                  </c:pt>
                  <c:pt idx="19">
                    <c:v>July 2020</c:v>
                  </c:pt>
                  <c:pt idx="20">
                    <c:v>August 2020</c:v>
                  </c:pt>
                  <c:pt idx="21">
                    <c:v>September 2020</c:v>
                  </c:pt>
                  <c:pt idx="22">
                    <c:v>October 2020</c:v>
                  </c:pt>
                  <c:pt idx="23">
                    <c:v>November 2020</c:v>
                  </c:pt>
                  <c:pt idx="24">
                    <c:v>December 2020</c:v>
                  </c:pt>
                  <c:pt idx="25">
                    <c:v>January 2021</c:v>
                  </c:pt>
                  <c:pt idx="26">
                    <c:v>February 2021</c:v>
                  </c:pt>
                  <c:pt idx="27">
                    <c:v>March 2021</c:v>
                  </c:pt>
                  <c:pt idx="28">
                    <c:v>April 2021</c:v>
                  </c:pt>
                  <c:pt idx="29">
                    <c:v>May 2021</c:v>
                  </c:pt>
                  <c:pt idx="30">
                    <c:v>June 2021</c:v>
                  </c:pt>
                  <c:pt idx="31">
                    <c:v>July 2021</c:v>
                  </c:pt>
                  <c:pt idx="32">
                    <c:v>August 2021</c:v>
                  </c:pt>
                  <c:pt idx="33">
                    <c:v>September 2021</c:v>
                  </c:pt>
                  <c:pt idx="34">
                    <c:v>October 2021</c:v>
                  </c:pt>
                  <c:pt idx="35">
                    <c:v>November 2021</c:v>
                  </c:pt>
                  <c:pt idx="36">
                    <c:v>December 2021</c:v>
                  </c:pt>
                  <c:pt idx="37">
                    <c:v>January 2022</c:v>
                  </c:pt>
                  <c:pt idx="38">
                    <c:v>February 2022</c:v>
                  </c:pt>
                  <c:pt idx="39">
                    <c:v>March 2022</c:v>
                  </c:pt>
                  <c:pt idx="40">
                    <c:v>April 2022</c:v>
                  </c:pt>
                  <c:pt idx="41">
                    <c:v>May 2022</c:v>
                  </c:pt>
                  <c:pt idx="42">
                    <c:v>June 2022</c:v>
                  </c:pt>
                  <c:pt idx="43">
                    <c:v>July 2022</c:v>
                  </c:pt>
                  <c:pt idx="44">
                    <c:v>August 2022</c:v>
                  </c:pt>
                  <c:pt idx="45">
                    <c:v>September 2022</c:v>
                  </c:pt>
                  <c:pt idx="46">
                    <c:v>October 2022</c:v>
                  </c:pt>
                  <c:pt idx="47">
                    <c:v>November 2022</c:v>
                  </c:pt>
                  <c:pt idx="48">
                    <c:v>December 2022</c:v>
                  </c:pt>
                  <c:pt idx="49">
                    <c:v>January 2023</c:v>
                  </c:pt>
                  <c:pt idx="50">
                    <c:v>February 2023</c:v>
                  </c:pt>
                  <c:pt idx="51">
                    <c:v>March 2023</c:v>
                  </c:pt>
                  <c:pt idx="52">
                    <c:v>April 2023</c:v>
                  </c:pt>
                  <c:pt idx="53">
                    <c:v>May 2023</c:v>
                  </c:pt>
                  <c:pt idx="54">
                    <c:v>June 2023</c:v>
                  </c:pt>
                  <c:pt idx="55">
                    <c:v>July 2023</c:v>
                  </c:pt>
                  <c:pt idx="56">
                    <c:v>August 2023</c:v>
                  </c:pt>
                  <c:pt idx="57">
                    <c:v>September 2023</c:v>
                  </c:pt>
                  <c:pt idx="58">
                    <c:v>October 2023</c:v>
                  </c:pt>
                  <c:pt idx="59">
                    <c:v>November 2023</c:v>
                  </c:pt>
                  <c:pt idx="60">
                    <c:v>December 2023</c:v>
                  </c:pt>
                  <c:pt idx="61">
                    <c:v>January 2024</c:v>
                  </c:pt>
                  <c:pt idx="62">
                    <c:v>February 2024</c:v>
                  </c:pt>
                  <c:pt idx="63">
                    <c:v>March 2024</c:v>
                  </c:pt>
                  <c:pt idx="64">
                    <c:v>April 2024</c:v>
                  </c:pt>
                  <c:pt idx="65">
                    <c:v>May 2024</c:v>
                  </c:pt>
                  <c:pt idx="66">
                    <c:v>June 2024</c:v>
                  </c:pt>
                  <c:pt idx="67">
                    <c:v>July 2024</c:v>
                  </c:pt>
                  <c:pt idx="68">
                    <c:v>August 2024</c:v>
                  </c:pt>
                  <c:pt idx="69">
                    <c:v>September 2024</c:v>
                  </c:pt>
                  <c:pt idx="70">
                    <c:v>October 2024</c:v>
                  </c:pt>
                  <c:pt idx="71">
                    <c:v>November 2024</c:v>
                  </c:pt>
                  <c:pt idx="72">
                    <c:v>December 2024</c:v>
                  </c:pt>
                  <c:pt idx="73">
                    <c:v>January 2025</c:v>
                  </c:pt>
                  <c:pt idx="74">
                    <c:v>February 2025</c:v>
                  </c:pt>
                  <c:pt idx="75">
                    <c:v>March 2025</c:v>
                  </c:pt>
                  <c:pt idx="76">
                    <c:v>April 2025</c:v>
                  </c:pt>
                  <c:pt idx="77">
                    <c:v>May 2025</c:v>
                  </c:pt>
                  <c:pt idx="78">
                    <c:v>June 2025</c:v>
                  </c:pt>
                  <c:pt idx="79">
                    <c:v>July 2025</c:v>
                  </c:pt>
                  <c:pt idx="80">
                    <c:v>August 2025</c:v>
                  </c:pt>
                  <c:pt idx="81">
                    <c:v>September 2025</c:v>
                  </c:pt>
                  <c:pt idx="82">
                    <c:v>October 2025</c:v>
                  </c:pt>
                  <c:pt idx="83">
                    <c:v>November 2025</c:v>
                  </c:pt>
                  <c:pt idx="84">
                    <c:v>December 2025</c:v>
                  </c:pt>
                  <c:pt idx="85">
                    <c:v>January 2026</c:v>
                  </c:pt>
                  <c:pt idx="86">
                    <c:v>February 2026</c:v>
                  </c:pt>
                  <c:pt idx="87">
                    <c:v>March 2026</c:v>
                  </c:pt>
                  <c:pt idx="88">
                    <c:v>April 2026</c:v>
                  </c:pt>
                  <c:pt idx="89">
                    <c:v>May 2026</c:v>
                  </c:pt>
                  <c:pt idx="90">
                    <c:v>June 2026</c:v>
                  </c:pt>
                  <c:pt idx="91">
                    <c:v>July 2026</c:v>
                  </c:pt>
                  <c:pt idx="92">
                    <c:v>August 2026</c:v>
                  </c:pt>
                  <c:pt idx="93">
                    <c:v>September 2026</c:v>
                  </c:pt>
                  <c:pt idx="94">
                    <c:v>October 2026</c:v>
                  </c:pt>
                  <c:pt idx="95">
                    <c:v>November 2026</c:v>
                  </c:pt>
                  <c:pt idx="96">
                    <c:v>December 2026</c:v>
                  </c:pt>
                  <c:pt idx="97">
                    <c:v>January 2027</c:v>
                  </c:pt>
                  <c:pt idx="98">
                    <c:v>February 2027</c:v>
                  </c:pt>
                  <c:pt idx="99">
                    <c:v>March 2027</c:v>
                  </c:pt>
                  <c:pt idx="100">
                    <c:v>April 2027</c:v>
                  </c:pt>
                  <c:pt idx="101">
                    <c:v>May 2027</c:v>
                  </c:pt>
                  <c:pt idx="102">
                    <c:v>June 2027</c:v>
                  </c:pt>
                  <c:pt idx="103">
                    <c:v>July 2027</c:v>
                  </c:pt>
                  <c:pt idx="104">
                    <c:v>August 2027</c:v>
                  </c:pt>
                  <c:pt idx="105">
                    <c:v>September 2027</c:v>
                  </c:pt>
                  <c:pt idx="106">
                    <c:v>October 2027</c:v>
                  </c:pt>
                  <c:pt idx="107">
                    <c:v>November 2027</c:v>
                  </c:pt>
                  <c:pt idx="108">
                    <c:v>December 2027</c:v>
                  </c:pt>
                  <c:pt idx="109">
                    <c:v>January 2028</c:v>
                  </c:pt>
                  <c:pt idx="110">
                    <c:v>February 2028</c:v>
                  </c:pt>
                  <c:pt idx="111">
                    <c:v>March 2028</c:v>
                  </c:pt>
                  <c:pt idx="112">
                    <c:v>April 2028</c:v>
                  </c:pt>
                  <c:pt idx="113">
                    <c:v>May 2028</c:v>
                  </c:pt>
                  <c:pt idx="114">
                    <c:v>June 2028</c:v>
                  </c:pt>
                  <c:pt idx="115">
                    <c:v>July 2028</c:v>
                  </c:pt>
                  <c:pt idx="116">
                    <c:v>August 2028</c:v>
                  </c:pt>
                  <c:pt idx="117">
                    <c:v>September 2028</c:v>
                  </c:pt>
                  <c:pt idx="118">
                    <c:v>October 2028</c:v>
                  </c:pt>
                  <c:pt idx="119">
                    <c:v>November 2028</c:v>
                  </c:pt>
                  <c:pt idx="120">
                    <c:v>December 2028</c:v>
                  </c:pt>
                  <c:pt idx="121">
                    <c:v>January 2029</c:v>
                  </c:pt>
                  <c:pt idx="122">
                    <c:v>February 2029</c:v>
                  </c:pt>
                  <c:pt idx="123">
                    <c:v>March 2029</c:v>
                  </c:pt>
                  <c:pt idx="124">
                    <c:v>April 2029</c:v>
                  </c:pt>
                  <c:pt idx="125">
                    <c:v>May 2029</c:v>
                  </c:pt>
                  <c:pt idx="126">
                    <c:v>June 2029</c:v>
                  </c:pt>
                  <c:pt idx="127">
                    <c:v>July 2029</c:v>
                  </c:pt>
                  <c:pt idx="128">
                    <c:v>August 2029</c:v>
                  </c:pt>
                  <c:pt idx="129">
                    <c:v>September 2029</c:v>
                  </c:pt>
                  <c:pt idx="130">
                    <c:v>October 2029</c:v>
                  </c:pt>
                  <c:pt idx="131">
                    <c:v>November 2029</c:v>
                  </c:pt>
                  <c:pt idx="132">
                    <c:v>December 2029</c:v>
                  </c:pt>
                  <c:pt idx="133">
                    <c:v>January 2030</c:v>
                  </c:pt>
                  <c:pt idx="134">
                    <c:v>February 2030</c:v>
                  </c:pt>
                  <c:pt idx="135">
                    <c:v>March 2030</c:v>
                  </c:pt>
                  <c:pt idx="136">
                    <c:v>April 2030</c:v>
                  </c:pt>
                  <c:pt idx="137">
                    <c:v>May 2030</c:v>
                  </c:pt>
                  <c:pt idx="138">
                    <c:v>June 2030</c:v>
                  </c:pt>
                  <c:pt idx="139">
                    <c:v>July 2030</c:v>
                  </c:pt>
                  <c:pt idx="140">
                    <c:v>August 2030</c:v>
                  </c:pt>
                  <c:pt idx="141">
                    <c:v>September 2030</c:v>
                  </c:pt>
                  <c:pt idx="142">
                    <c:v>October 2030</c:v>
                  </c:pt>
                  <c:pt idx="143">
                    <c:v>November 2030</c:v>
                  </c:pt>
                  <c:pt idx="144">
                    <c:v>December 2030</c:v>
                  </c:pt>
                </c:lvl>
                <c:lvl>
                  <c:pt idx="1">
                    <c:v>2019-01-01</c:v>
                  </c:pt>
                  <c:pt idx="2">
                    <c:v>2019-02-01</c:v>
                  </c:pt>
                  <c:pt idx="3">
                    <c:v>2019-03-01</c:v>
                  </c:pt>
                  <c:pt idx="4">
                    <c:v>2019-04-01</c:v>
                  </c:pt>
                  <c:pt idx="5">
                    <c:v>2019-05-01</c:v>
                  </c:pt>
                  <c:pt idx="6">
                    <c:v>2019-06-01</c:v>
                  </c:pt>
                  <c:pt idx="7">
                    <c:v>2019-07-01</c:v>
                  </c:pt>
                  <c:pt idx="8">
                    <c:v>2019-08-01</c:v>
                  </c:pt>
                  <c:pt idx="9">
                    <c:v>2019-09-01</c:v>
                  </c:pt>
                  <c:pt idx="10">
                    <c:v>2019-10-01</c:v>
                  </c:pt>
                  <c:pt idx="11">
                    <c:v>2019-11-01</c:v>
                  </c:pt>
                  <c:pt idx="12">
                    <c:v>2019-12-01</c:v>
                  </c:pt>
                  <c:pt idx="13">
                    <c:v>2020-01-01</c:v>
                  </c:pt>
                  <c:pt idx="14">
                    <c:v>2020-02-01</c:v>
                  </c:pt>
                  <c:pt idx="15">
                    <c:v>2020-03-01</c:v>
                  </c:pt>
                  <c:pt idx="16">
                    <c:v>2020-04-01</c:v>
                  </c:pt>
                  <c:pt idx="17">
                    <c:v>2020-05-01</c:v>
                  </c:pt>
                  <c:pt idx="18">
                    <c:v>2020-06-01</c:v>
                  </c:pt>
                  <c:pt idx="19">
                    <c:v>2020-07-01</c:v>
                  </c:pt>
                  <c:pt idx="20">
                    <c:v>2020-08-01</c:v>
                  </c:pt>
                  <c:pt idx="21">
                    <c:v>2020-09-01</c:v>
                  </c:pt>
                  <c:pt idx="22">
                    <c:v>2020-10-01</c:v>
                  </c:pt>
                  <c:pt idx="23">
                    <c:v>2020-11-01</c:v>
                  </c:pt>
                  <c:pt idx="24">
                    <c:v>2020-12-01</c:v>
                  </c:pt>
                  <c:pt idx="25">
                    <c:v>2021-01-01</c:v>
                  </c:pt>
                  <c:pt idx="26">
                    <c:v>2021-02-01</c:v>
                  </c:pt>
                  <c:pt idx="27">
                    <c:v>2021-03-01</c:v>
                  </c:pt>
                  <c:pt idx="28">
                    <c:v>2021-04-01</c:v>
                  </c:pt>
                  <c:pt idx="29">
                    <c:v>2021-05-01</c:v>
                  </c:pt>
                  <c:pt idx="30">
                    <c:v>2021-06-01</c:v>
                  </c:pt>
                  <c:pt idx="31">
                    <c:v>2021-07-01</c:v>
                  </c:pt>
                  <c:pt idx="32">
                    <c:v>2021-08-01</c:v>
                  </c:pt>
                  <c:pt idx="33">
                    <c:v>2021-09-01</c:v>
                  </c:pt>
                  <c:pt idx="34">
                    <c:v>2021-10-01</c:v>
                  </c:pt>
                  <c:pt idx="35">
                    <c:v>2021-11-01</c:v>
                  </c:pt>
                  <c:pt idx="36">
                    <c:v>2021-12-01</c:v>
                  </c:pt>
                  <c:pt idx="37">
                    <c:v>2022-01-01</c:v>
                  </c:pt>
                  <c:pt idx="38">
                    <c:v>2022-02-01</c:v>
                  </c:pt>
                  <c:pt idx="39">
                    <c:v>2022-03-01</c:v>
                  </c:pt>
                  <c:pt idx="40">
                    <c:v>2022-04-01</c:v>
                  </c:pt>
                  <c:pt idx="41">
                    <c:v>2022-05-01</c:v>
                  </c:pt>
                  <c:pt idx="42">
                    <c:v>2022-06-01</c:v>
                  </c:pt>
                  <c:pt idx="43">
                    <c:v>2022-07-01</c:v>
                  </c:pt>
                  <c:pt idx="44">
                    <c:v>2022-08-01</c:v>
                  </c:pt>
                  <c:pt idx="45">
                    <c:v>2022-09-01</c:v>
                  </c:pt>
                  <c:pt idx="46">
                    <c:v>2022-10-01</c:v>
                  </c:pt>
                  <c:pt idx="47">
                    <c:v>2022-11-01</c:v>
                  </c:pt>
                  <c:pt idx="48">
                    <c:v>2022-12-01</c:v>
                  </c:pt>
                  <c:pt idx="49">
                    <c:v>2023-01-01</c:v>
                  </c:pt>
                  <c:pt idx="50">
                    <c:v>2023-02-01</c:v>
                  </c:pt>
                  <c:pt idx="51">
                    <c:v>2023-03-01</c:v>
                  </c:pt>
                  <c:pt idx="52">
                    <c:v>2023-04-01</c:v>
                  </c:pt>
                  <c:pt idx="53">
                    <c:v>2023-05-01</c:v>
                  </c:pt>
                  <c:pt idx="54">
                    <c:v>2023-06-01</c:v>
                  </c:pt>
                  <c:pt idx="55">
                    <c:v>2023-07-01</c:v>
                  </c:pt>
                  <c:pt idx="56">
                    <c:v>2023-08-01</c:v>
                  </c:pt>
                  <c:pt idx="57">
                    <c:v>2023-09-01</c:v>
                  </c:pt>
                  <c:pt idx="58">
                    <c:v>2023-10-01</c:v>
                  </c:pt>
                  <c:pt idx="59">
                    <c:v>2023-11-01</c:v>
                  </c:pt>
                  <c:pt idx="60">
                    <c:v>2023-12-01</c:v>
                  </c:pt>
                  <c:pt idx="61">
                    <c:v>2024-01-01</c:v>
                  </c:pt>
                  <c:pt idx="62">
                    <c:v>2024-02-01</c:v>
                  </c:pt>
                  <c:pt idx="63">
                    <c:v>2024-03-01</c:v>
                  </c:pt>
                  <c:pt idx="64">
                    <c:v>2024-04-01</c:v>
                  </c:pt>
                  <c:pt idx="65">
                    <c:v>2024-05-01</c:v>
                  </c:pt>
                  <c:pt idx="66">
                    <c:v>2024-06-01</c:v>
                  </c:pt>
                  <c:pt idx="67">
                    <c:v>2024-07-01</c:v>
                  </c:pt>
                  <c:pt idx="68">
                    <c:v>2024-08-01</c:v>
                  </c:pt>
                  <c:pt idx="69">
                    <c:v>2024-09-01</c:v>
                  </c:pt>
                  <c:pt idx="70">
                    <c:v>2024-10-01</c:v>
                  </c:pt>
                  <c:pt idx="71">
                    <c:v>2024-11-01</c:v>
                  </c:pt>
                  <c:pt idx="72">
                    <c:v>2024-12-01</c:v>
                  </c:pt>
                  <c:pt idx="73">
                    <c:v>2025-01-01</c:v>
                  </c:pt>
                  <c:pt idx="74">
                    <c:v>2025-02-01</c:v>
                  </c:pt>
                  <c:pt idx="75">
                    <c:v>2025-03-01</c:v>
                  </c:pt>
                  <c:pt idx="76">
                    <c:v>2025-04-01</c:v>
                  </c:pt>
                  <c:pt idx="77">
                    <c:v>2025-05-01</c:v>
                  </c:pt>
                  <c:pt idx="78">
                    <c:v>2025-06-01</c:v>
                  </c:pt>
                  <c:pt idx="79">
                    <c:v>2025-07-01</c:v>
                  </c:pt>
                  <c:pt idx="80">
                    <c:v>2025-08-01</c:v>
                  </c:pt>
                  <c:pt idx="81">
                    <c:v>2025-09-01</c:v>
                  </c:pt>
                  <c:pt idx="82">
                    <c:v>2025-10-01</c:v>
                  </c:pt>
                  <c:pt idx="83">
                    <c:v>2025-11-01</c:v>
                  </c:pt>
                  <c:pt idx="84">
                    <c:v>2025-12-01</c:v>
                  </c:pt>
                  <c:pt idx="85">
                    <c:v>2026-01-01</c:v>
                  </c:pt>
                  <c:pt idx="86">
                    <c:v>2026-02-01</c:v>
                  </c:pt>
                  <c:pt idx="87">
                    <c:v>2026-03-01</c:v>
                  </c:pt>
                  <c:pt idx="88">
                    <c:v>2026-04-01</c:v>
                  </c:pt>
                  <c:pt idx="89">
                    <c:v>2026-05-01</c:v>
                  </c:pt>
                  <c:pt idx="90">
                    <c:v>2026-06-01</c:v>
                  </c:pt>
                  <c:pt idx="91">
                    <c:v>2026-07-01</c:v>
                  </c:pt>
                  <c:pt idx="92">
                    <c:v>2026-08-01</c:v>
                  </c:pt>
                  <c:pt idx="93">
                    <c:v>2026-09-01</c:v>
                  </c:pt>
                  <c:pt idx="94">
                    <c:v>2026-10-01</c:v>
                  </c:pt>
                  <c:pt idx="95">
                    <c:v>2026-11-01</c:v>
                  </c:pt>
                  <c:pt idx="96">
                    <c:v>2026-12-01</c:v>
                  </c:pt>
                  <c:pt idx="97">
                    <c:v>2027-01-01</c:v>
                  </c:pt>
                  <c:pt idx="98">
                    <c:v>2027-02-01</c:v>
                  </c:pt>
                  <c:pt idx="99">
                    <c:v>2027-03-01</c:v>
                  </c:pt>
                  <c:pt idx="100">
                    <c:v>2027-04-01</c:v>
                  </c:pt>
                  <c:pt idx="101">
                    <c:v>2027-05-01</c:v>
                  </c:pt>
                  <c:pt idx="102">
                    <c:v>2027-06-01</c:v>
                  </c:pt>
                  <c:pt idx="103">
                    <c:v>2027-07-01</c:v>
                  </c:pt>
                  <c:pt idx="104">
                    <c:v>2027-08-01</c:v>
                  </c:pt>
                  <c:pt idx="105">
                    <c:v>2027-09-01</c:v>
                  </c:pt>
                  <c:pt idx="106">
                    <c:v>2027-10-01</c:v>
                  </c:pt>
                  <c:pt idx="107">
                    <c:v>2027-11-01</c:v>
                  </c:pt>
                  <c:pt idx="108">
                    <c:v>2027-12-01</c:v>
                  </c:pt>
                  <c:pt idx="109">
                    <c:v>2028-01-01</c:v>
                  </c:pt>
                  <c:pt idx="110">
                    <c:v>2028-02-01</c:v>
                  </c:pt>
                  <c:pt idx="111">
                    <c:v>2028-03-01</c:v>
                  </c:pt>
                  <c:pt idx="112">
                    <c:v>2028-04-01</c:v>
                  </c:pt>
                  <c:pt idx="113">
                    <c:v>2028-05-01</c:v>
                  </c:pt>
                  <c:pt idx="114">
                    <c:v>2028-06-01</c:v>
                  </c:pt>
                  <c:pt idx="115">
                    <c:v>2028-07-01</c:v>
                  </c:pt>
                  <c:pt idx="116">
                    <c:v>2028-08-01</c:v>
                  </c:pt>
                  <c:pt idx="117">
                    <c:v>2028-09-01</c:v>
                  </c:pt>
                  <c:pt idx="118">
                    <c:v>2028-10-01</c:v>
                  </c:pt>
                  <c:pt idx="119">
                    <c:v>2028-11-01</c:v>
                  </c:pt>
                  <c:pt idx="120">
                    <c:v>2028-12-01</c:v>
                  </c:pt>
                  <c:pt idx="121">
                    <c:v>2029-01-01</c:v>
                  </c:pt>
                  <c:pt idx="122">
                    <c:v>2029-02-01</c:v>
                  </c:pt>
                  <c:pt idx="123">
                    <c:v>2029-03-01</c:v>
                  </c:pt>
                  <c:pt idx="124">
                    <c:v>2029-04-01</c:v>
                  </c:pt>
                  <c:pt idx="125">
                    <c:v>2029-05-01</c:v>
                  </c:pt>
                  <c:pt idx="126">
                    <c:v>2029-06-01</c:v>
                  </c:pt>
                  <c:pt idx="127">
                    <c:v>2029-07-01</c:v>
                  </c:pt>
                  <c:pt idx="128">
                    <c:v>2029-08-01</c:v>
                  </c:pt>
                  <c:pt idx="129">
                    <c:v>2029-09-01</c:v>
                  </c:pt>
                  <c:pt idx="130">
                    <c:v>2029-10-01</c:v>
                  </c:pt>
                  <c:pt idx="131">
                    <c:v>2029-11-01</c:v>
                  </c:pt>
                  <c:pt idx="132">
                    <c:v>2029-12-01</c:v>
                  </c:pt>
                  <c:pt idx="133">
                    <c:v>2030-01-01</c:v>
                  </c:pt>
                  <c:pt idx="134">
                    <c:v>2030-02-01</c:v>
                  </c:pt>
                  <c:pt idx="135">
                    <c:v>2030-03-01</c:v>
                  </c:pt>
                  <c:pt idx="136">
                    <c:v>2030-04-01</c:v>
                  </c:pt>
                  <c:pt idx="137">
                    <c:v>2030-05-01</c:v>
                  </c:pt>
                  <c:pt idx="138">
                    <c:v>2030-06-01</c:v>
                  </c:pt>
                  <c:pt idx="139">
                    <c:v>2030-07-01</c:v>
                  </c:pt>
                  <c:pt idx="140">
                    <c:v>2030-08-01</c:v>
                  </c:pt>
                  <c:pt idx="141">
                    <c:v>2030-09-01</c:v>
                  </c:pt>
                  <c:pt idx="142">
                    <c:v>2030-10-01</c:v>
                  </c:pt>
                  <c:pt idx="143">
                    <c:v>2030-11-01</c:v>
                  </c:pt>
                  <c:pt idx="144">
                    <c:v>2030-12-01</c:v>
                  </c:pt>
                </c:lvl>
              </c:multiLvlStrCache>
            </c:multiLvlStrRef>
          </c:cat>
          <c:val>
            <c:numRef>
              <c:f>Overview!$D$3:$D$147</c:f>
              <c:numCache>
                <c:formatCode>_("$"* #,##0.00_);_("$"* \(#,##0.00\);_("$"* "-"??_);_(@_)</c:formatCode>
                <c:ptCount val="145"/>
                <c:pt idx="1">
                  <c:v>-123.97999999999999</c:v>
                </c:pt>
                <c:pt idx="2">
                  <c:v>-230.95999999999998</c:v>
                </c:pt>
                <c:pt idx="3">
                  <c:v>-281.78000000000003</c:v>
                </c:pt>
                <c:pt idx="4">
                  <c:v>-332.09</c:v>
                </c:pt>
                <c:pt idx="5">
                  <c:v>-386.34000000000003</c:v>
                </c:pt>
                <c:pt idx="6">
                  <c:v>-342.06</c:v>
                </c:pt>
                <c:pt idx="7">
                  <c:v>-594.07000000000005</c:v>
                </c:pt>
                <c:pt idx="8">
                  <c:v>-534.89000000000033</c:v>
                </c:pt>
                <c:pt idx="9">
                  <c:v>-456.72000000000008</c:v>
                </c:pt>
                <c:pt idx="10">
                  <c:v>-428.81999999999994</c:v>
                </c:pt>
                <c:pt idx="11">
                  <c:v>-409.80000000000013</c:v>
                </c:pt>
                <c:pt idx="12">
                  <c:v>-439.61</c:v>
                </c:pt>
                <c:pt idx="13">
                  <c:v>-392.15000000000009</c:v>
                </c:pt>
                <c:pt idx="14">
                  <c:v>-413.49</c:v>
                </c:pt>
                <c:pt idx="15">
                  <c:v>-374.51</c:v>
                </c:pt>
                <c:pt idx="16">
                  <c:v>-296.35000000000002</c:v>
                </c:pt>
                <c:pt idx="17">
                  <c:v>-671.73</c:v>
                </c:pt>
                <c:pt idx="18">
                  <c:v>-855.1099999999999</c:v>
                </c:pt>
                <c:pt idx="19">
                  <c:v>-1296.9500000000003</c:v>
                </c:pt>
                <c:pt idx="20">
                  <c:v>-1159.8500000000001</c:v>
                </c:pt>
                <c:pt idx="21">
                  <c:v>-398.75999999999993</c:v>
                </c:pt>
                <c:pt idx="22">
                  <c:v>-608.26</c:v>
                </c:pt>
                <c:pt idx="23">
                  <c:v>-399.38999999999993</c:v>
                </c:pt>
                <c:pt idx="24">
                  <c:v>-592.25999999999988</c:v>
                </c:pt>
                <c:pt idx="25">
                  <c:v>-983.58000000000015</c:v>
                </c:pt>
                <c:pt idx="26">
                  <c:v>-494.28000000000003</c:v>
                </c:pt>
                <c:pt idx="27">
                  <c:v>-559.31999999999982</c:v>
                </c:pt>
                <c:pt idx="28">
                  <c:v>-666.47000000000014</c:v>
                </c:pt>
                <c:pt idx="29">
                  <c:v>-1054.1099999999999</c:v>
                </c:pt>
                <c:pt idx="30">
                  <c:v>-833.3</c:v>
                </c:pt>
                <c:pt idx="31">
                  <c:v>-744.39999999999986</c:v>
                </c:pt>
                <c:pt idx="32">
                  <c:v>-1224.3999999999999</c:v>
                </c:pt>
                <c:pt idx="33">
                  <c:v>-1017.3900000000001</c:v>
                </c:pt>
                <c:pt idx="34">
                  <c:v>-819.47</c:v>
                </c:pt>
                <c:pt idx="35">
                  <c:v>-979.48000000000013</c:v>
                </c:pt>
                <c:pt idx="36">
                  <c:v>-1184.2899999999991</c:v>
                </c:pt>
                <c:pt idx="37">
                  <c:v>-1267.0099999999998</c:v>
                </c:pt>
                <c:pt idx="38">
                  <c:v>-1113.01</c:v>
                </c:pt>
                <c:pt idx="39">
                  <c:v>-704.78</c:v>
                </c:pt>
                <c:pt idx="40">
                  <c:v>-652.78</c:v>
                </c:pt>
                <c:pt idx="41">
                  <c:v>-796.75</c:v>
                </c:pt>
                <c:pt idx="42">
                  <c:v>-984.36</c:v>
                </c:pt>
                <c:pt idx="43">
                  <c:v>-1085.7899999999995</c:v>
                </c:pt>
                <c:pt idx="44">
                  <c:v>-979.52000000000032</c:v>
                </c:pt>
                <c:pt idx="45">
                  <c:v>-995.21999999999991</c:v>
                </c:pt>
                <c:pt idx="46">
                  <c:v>-944.42999999999984</c:v>
                </c:pt>
                <c:pt idx="47">
                  <c:v>-780.34</c:v>
                </c:pt>
                <c:pt idx="48">
                  <c:v>-682.61000000000024</c:v>
                </c:pt>
                <c:pt idx="49">
                  <c:v>-571.81999999999994</c:v>
                </c:pt>
                <c:pt idx="50">
                  <c:v>-1410.7199999999993</c:v>
                </c:pt>
                <c:pt idx="51">
                  <c:v>-1829.7000000000005</c:v>
                </c:pt>
                <c:pt idx="52">
                  <c:v>-1249.4799999999993</c:v>
                </c:pt>
                <c:pt idx="53">
                  <c:v>-1854.7299999999989</c:v>
                </c:pt>
                <c:pt idx="54">
                  <c:v>-1518.6</c:v>
                </c:pt>
                <c:pt idx="55">
                  <c:v>-1145.8400000000001</c:v>
                </c:pt>
                <c:pt idx="56">
                  <c:v>-1941.86</c:v>
                </c:pt>
                <c:pt idx="57">
                  <c:v>-1020.21</c:v>
                </c:pt>
                <c:pt idx="58">
                  <c:v>-1252.03</c:v>
                </c:pt>
                <c:pt idx="59">
                  <c:v>-1189.47</c:v>
                </c:pt>
                <c:pt idx="60">
                  <c:v>-1272.6600000000003</c:v>
                </c:pt>
                <c:pt idx="61">
                  <c:v>-822.77</c:v>
                </c:pt>
                <c:pt idx="62">
                  <c:v>-398.68999999999994</c:v>
                </c:pt>
                <c:pt idx="63">
                  <c:v>-1888.28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</c:ser>
        <c:ser>
          <c:idx val="2"/>
          <c:order val="2"/>
          <c:tx>
            <c:strRef>
              <c:f>Overview!$E$2</c:f>
              <c:strCache>
                <c:ptCount val="1"/>
                <c:pt idx="0">
                  <c:v>Bills</c:v>
                </c:pt>
              </c:strCache>
            </c:strRef>
          </c:tx>
          <c:invertIfNegative val="0"/>
          <c:cat>
            <c:multiLvlStrRef>
              <c:f>Overview!$A$3:$B$147</c:f>
              <c:multiLvlStrCache>
                <c:ptCount val="145"/>
                <c:lvl>
                  <c:pt idx="1">
                    <c:v>January 2019</c:v>
                  </c:pt>
                  <c:pt idx="2">
                    <c:v>February 2019</c:v>
                  </c:pt>
                  <c:pt idx="3">
                    <c:v>March 2019</c:v>
                  </c:pt>
                  <c:pt idx="4">
                    <c:v>April 2019</c:v>
                  </c:pt>
                  <c:pt idx="5">
                    <c:v>May 2019</c:v>
                  </c:pt>
                  <c:pt idx="6">
                    <c:v>June 2019</c:v>
                  </c:pt>
                  <c:pt idx="7">
                    <c:v>July 2019</c:v>
                  </c:pt>
                  <c:pt idx="8">
                    <c:v>August 2019</c:v>
                  </c:pt>
                  <c:pt idx="9">
                    <c:v>September 2019</c:v>
                  </c:pt>
                  <c:pt idx="10">
                    <c:v>October 2019</c:v>
                  </c:pt>
                  <c:pt idx="11">
                    <c:v>November 2019</c:v>
                  </c:pt>
                  <c:pt idx="12">
                    <c:v>December 2019</c:v>
                  </c:pt>
                  <c:pt idx="13">
                    <c:v>January 2020</c:v>
                  </c:pt>
                  <c:pt idx="14">
                    <c:v>February 2020</c:v>
                  </c:pt>
                  <c:pt idx="15">
                    <c:v>March 2020</c:v>
                  </c:pt>
                  <c:pt idx="16">
                    <c:v>April 2020</c:v>
                  </c:pt>
                  <c:pt idx="17">
                    <c:v>May 2020</c:v>
                  </c:pt>
                  <c:pt idx="18">
                    <c:v>June 2020</c:v>
                  </c:pt>
                  <c:pt idx="19">
                    <c:v>July 2020</c:v>
                  </c:pt>
                  <c:pt idx="20">
                    <c:v>August 2020</c:v>
                  </c:pt>
                  <c:pt idx="21">
                    <c:v>September 2020</c:v>
                  </c:pt>
                  <c:pt idx="22">
                    <c:v>October 2020</c:v>
                  </c:pt>
                  <c:pt idx="23">
                    <c:v>November 2020</c:v>
                  </c:pt>
                  <c:pt idx="24">
                    <c:v>December 2020</c:v>
                  </c:pt>
                  <c:pt idx="25">
                    <c:v>January 2021</c:v>
                  </c:pt>
                  <c:pt idx="26">
                    <c:v>February 2021</c:v>
                  </c:pt>
                  <c:pt idx="27">
                    <c:v>March 2021</c:v>
                  </c:pt>
                  <c:pt idx="28">
                    <c:v>April 2021</c:v>
                  </c:pt>
                  <c:pt idx="29">
                    <c:v>May 2021</c:v>
                  </c:pt>
                  <c:pt idx="30">
                    <c:v>June 2021</c:v>
                  </c:pt>
                  <c:pt idx="31">
                    <c:v>July 2021</c:v>
                  </c:pt>
                  <c:pt idx="32">
                    <c:v>August 2021</c:v>
                  </c:pt>
                  <c:pt idx="33">
                    <c:v>September 2021</c:v>
                  </c:pt>
                  <c:pt idx="34">
                    <c:v>October 2021</c:v>
                  </c:pt>
                  <c:pt idx="35">
                    <c:v>November 2021</c:v>
                  </c:pt>
                  <c:pt idx="36">
                    <c:v>December 2021</c:v>
                  </c:pt>
                  <c:pt idx="37">
                    <c:v>January 2022</c:v>
                  </c:pt>
                  <c:pt idx="38">
                    <c:v>February 2022</c:v>
                  </c:pt>
                  <c:pt idx="39">
                    <c:v>March 2022</c:v>
                  </c:pt>
                  <c:pt idx="40">
                    <c:v>April 2022</c:v>
                  </c:pt>
                  <c:pt idx="41">
                    <c:v>May 2022</c:v>
                  </c:pt>
                  <c:pt idx="42">
                    <c:v>June 2022</c:v>
                  </c:pt>
                  <c:pt idx="43">
                    <c:v>July 2022</c:v>
                  </c:pt>
                  <c:pt idx="44">
                    <c:v>August 2022</c:v>
                  </c:pt>
                  <c:pt idx="45">
                    <c:v>September 2022</c:v>
                  </c:pt>
                  <c:pt idx="46">
                    <c:v>October 2022</c:v>
                  </c:pt>
                  <c:pt idx="47">
                    <c:v>November 2022</c:v>
                  </c:pt>
                  <c:pt idx="48">
                    <c:v>December 2022</c:v>
                  </c:pt>
                  <c:pt idx="49">
                    <c:v>January 2023</c:v>
                  </c:pt>
                  <c:pt idx="50">
                    <c:v>February 2023</c:v>
                  </c:pt>
                  <c:pt idx="51">
                    <c:v>March 2023</c:v>
                  </c:pt>
                  <c:pt idx="52">
                    <c:v>April 2023</c:v>
                  </c:pt>
                  <c:pt idx="53">
                    <c:v>May 2023</c:v>
                  </c:pt>
                  <c:pt idx="54">
                    <c:v>June 2023</c:v>
                  </c:pt>
                  <c:pt idx="55">
                    <c:v>July 2023</c:v>
                  </c:pt>
                  <c:pt idx="56">
                    <c:v>August 2023</c:v>
                  </c:pt>
                  <c:pt idx="57">
                    <c:v>September 2023</c:v>
                  </c:pt>
                  <c:pt idx="58">
                    <c:v>October 2023</c:v>
                  </c:pt>
                  <c:pt idx="59">
                    <c:v>November 2023</c:v>
                  </c:pt>
                  <c:pt idx="60">
                    <c:v>December 2023</c:v>
                  </c:pt>
                  <c:pt idx="61">
                    <c:v>January 2024</c:v>
                  </c:pt>
                  <c:pt idx="62">
                    <c:v>February 2024</c:v>
                  </c:pt>
                  <c:pt idx="63">
                    <c:v>March 2024</c:v>
                  </c:pt>
                  <c:pt idx="64">
                    <c:v>April 2024</c:v>
                  </c:pt>
                  <c:pt idx="65">
                    <c:v>May 2024</c:v>
                  </c:pt>
                  <c:pt idx="66">
                    <c:v>June 2024</c:v>
                  </c:pt>
                  <c:pt idx="67">
                    <c:v>July 2024</c:v>
                  </c:pt>
                  <c:pt idx="68">
                    <c:v>August 2024</c:v>
                  </c:pt>
                  <c:pt idx="69">
                    <c:v>September 2024</c:v>
                  </c:pt>
                  <c:pt idx="70">
                    <c:v>October 2024</c:v>
                  </c:pt>
                  <c:pt idx="71">
                    <c:v>November 2024</c:v>
                  </c:pt>
                  <c:pt idx="72">
                    <c:v>December 2024</c:v>
                  </c:pt>
                  <c:pt idx="73">
                    <c:v>January 2025</c:v>
                  </c:pt>
                  <c:pt idx="74">
                    <c:v>February 2025</c:v>
                  </c:pt>
                  <c:pt idx="75">
                    <c:v>March 2025</c:v>
                  </c:pt>
                  <c:pt idx="76">
                    <c:v>April 2025</c:v>
                  </c:pt>
                  <c:pt idx="77">
                    <c:v>May 2025</c:v>
                  </c:pt>
                  <c:pt idx="78">
                    <c:v>June 2025</c:v>
                  </c:pt>
                  <c:pt idx="79">
                    <c:v>July 2025</c:v>
                  </c:pt>
                  <c:pt idx="80">
                    <c:v>August 2025</c:v>
                  </c:pt>
                  <c:pt idx="81">
                    <c:v>September 2025</c:v>
                  </c:pt>
                  <c:pt idx="82">
                    <c:v>October 2025</c:v>
                  </c:pt>
                  <c:pt idx="83">
                    <c:v>November 2025</c:v>
                  </c:pt>
                  <c:pt idx="84">
                    <c:v>December 2025</c:v>
                  </c:pt>
                  <c:pt idx="85">
                    <c:v>January 2026</c:v>
                  </c:pt>
                  <c:pt idx="86">
                    <c:v>February 2026</c:v>
                  </c:pt>
                  <c:pt idx="87">
                    <c:v>March 2026</c:v>
                  </c:pt>
                  <c:pt idx="88">
                    <c:v>April 2026</c:v>
                  </c:pt>
                  <c:pt idx="89">
                    <c:v>May 2026</c:v>
                  </c:pt>
                  <c:pt idx="90">
                    <c:v>June 2026</c:v>
                  </c:pt>
                  <c:pt idx="91">
                    <c:v>July 2026</c:v>
                  </c:pt>
                  <c:pt idx="92">
                    <c:v>August 2026</c:v>
                  </c:pt>
                  <c:pt idx="93">
                    <c:v>September 2026</c:v>
                  </c:pt>
                  <c:pt idx="94">
                    <c:v>October 2026</c:v>
                  </c:pt>
                  <c:pt idx="95">
                    <c:v>November 2026</c:v>
                  </c:pt>
                  <c:pt idx="96">
                    <c:v>December 2026</c:v>
                  </c:pt>
                  <c:pt idx="97">
                    <c:v>January 2027</c:v>
                  </c:pt>
                  <c:pt idx="98">
                    <c:v>February 2027</c:v>
                  </c:pt>
                  <c:pt idx="99">
                    <c:v>March 2027</c:v>
                  </c:pt>
                  <c:pt idx="100">
                    <c:v>April 2027</c:v>
                  </c:pt>
                  <c:pt idx="101">
                    <c:v>May 2027</c:v>
                  </c:pt>
                  <c:pt idx="102">
                    <c:v>June 2027</c:v>
                  </c:pt>
                  <c:pt idx="103">
                    <c:v>July 2027</c:v>
                  </c:pt>
                  <c:pt idx="104">
                    <c:v>August 2027</c:v>
                  </c:pt>
                  <c:pt idx="105">
                    <c:v>September 2027</c:v>
                  </c:pt>
                  <c:pt idx="106">
                    <c:v>October 2027</c:v>
                  </c:pt>
                  <c:pt idx="107">
                    <c:v>November 2027</c:v>
                  </c:pt>
                  <c:pt idx="108">
                    <c:v>December 2027</c:v>
                  </c:pt>
                  <c:pt idx="109">
                    <c:v>January 2028</c:v>
                  </c:pt>
                  <c:pt idx="110">
                    <c:v>February 2028</c:v>
                  </c:pt>
                  <c:pt idx="111">
                    <c:v>March 2028</c:v>
                  </c:pt>
                  <c:pt idx="112">
                    <c:v>April 2028</c:v>
                  </c:pt>
                  <c:pt idx="113">
                    <c:v>May 2028</c:v>
                  </c:pt>
                  <c:pt idx="114">
                    <c:v>June 2028</c:v>
                  </c:pt>
                  <c:pt idx="115">
                    <c:v>July 2028</c:v>
                  </c:pt>
                  <c:pt idx="116">
                    <c:v>August 2028</c:v>
                  </c:pt>
                  <c:pt idx="117">
                    <c:v>September 2028</c:v>
                  </c:pt>
                  <c:pt idx="118">
                    <c:v>October 2028</c:v>
                  </c:pt>
                  <c:pt idx="119">
                    <c:v>November 2028</c:v>
                  </c:pt>
                  <c:pt idx="120">
                    <c:v>December 2028</c:v>
                  </c:pt>
                  <c:pt idx="121">
                    <c:v>January 2029</c:v>
                  </c:pt>
                  <c:pt idx="122">
                    <c:v>February 2029</c:v>
                  </c:pt>
                  <c:pt idx="123">
                    <c:v>March 2029</c:v>
                  </c:pt>
                  <c:pt idx="124">
                    <c:v>April 2029</c:v>
                  </c:pt>
                  <c:pt idx="125">
                    <c:v>May 2029</c:v>
                  </c:pt>
                  <c:pt idx="126">
                    <c:v>June 2029</c:v>
                  </c:pt>
                  <c:pt idx="127">
                    <c:v>July 2029</c:v>
                  </c:pt>
                  <c:pt idx="128">
                    <c:v>August 2029</c:v>
                  </c:pt>
                  <c:pt idx="129">
                    <c:v>September 2029</c:v>
                  </c:pt>
                  <c:pt idx="130">
                    <c:v>October 2029</c:v>
                  </c:pt>
                  <c:pt idx="131">
                    <c:v>November 2029</c:v>
                  </c:pt>
                  <c:pt idx="132">
                    <c:v>December 2029</c:v>
                  </c:pt>
                  <c:pt idx="133">
                    <c:v>January 2030</c:v>
                  </c:pt>
                  <c:pt idx="134">
                    <c:v>February 2030</c:v>
                  </c:pt>
                  <c:pt idx="135">
                    <c:v>March 2030</c:v>
                  </c:pt>
                  <c:pt idx="136">
                    <c:v>April 2030</c:v>
                  </c:pt>
                  <c:pt idx="137">
                    <c:v>May 2030</c:v>
                  </c:pt>
                  <c:pt idx="138">
                    <c:v>June 2030</c:v>
                  </c:pt>
                  <c:pt idx="139">
                    <c:v>July 2030</c:v>
                  </c:pt>
                  <c:pt idx="140">
                    <c:v>August 2030</c:v>
                  </c:pt>
                  <c:pt idx="141">
                    <c:v>September 2030</c:v>
                  </c:pt>
                  <c:pt idx="142">
                    <c:v>October 2030</c:v>
                  </c:pt>
                  <c:pt idx="143">
                    <c:v>November 2030</c:v>
                  </c:pt>
                  <c:pt idx="144">
                    <c:v>December 2030</c:v>
                  </c:pt>
                </c:lvl>
                <c:lvl>
                  <c:pt idx="1">
                    <c:v>2019-01-01</c:v>
                  </c:pt>
                  <c:pt idx="2">
                    <c:v>2019-02-01</c:v>
                  </c:pt>
                  <c:pt idx="3">
                    <c:v>2019-03-01</c:v>
                  </c:pt>
                  <c:pt idx="4">
                    <c:v>2019-04-01</c:v>
                  </c:pt>
                  <c:pt idx="5">
                    <c:v>2019-05-01</c:v>
                  </c:pt>
                  <c:pt idx="6">
                    <c:v>2019-06-01</c:v>
                  </c:pt>
                  <c:pt idx="7">
                    <c:v>2019-07-01</c:v>
                  </c:pt>
                  <c:pt idx="8">
                    <c:v>2019-08-01</c:v>
                  </c:pt>
                  <c:pt idx="9">
                    <c:v>2019-09-01</c:v>
                  </c:pt>
                  <c:pt idx="10">
                    <c:v>2019-10-01</c:v>
                  </c:pt>
                  <c:pt idx="11">
                    <c:v>2019-11-01</c:v>
                  </c:pt>
                  <c:pt idx="12">
                    <c:v>2019-12-01</c:v>
                  </c:pt>
                  <c:pt idx="13">
                    <c:v>2020-01-01</c:v>
                  </c:pt>
                  <c:pt idx="14">
                    <c:v>2020-02-01</c:v>
                  </c:pt>
                  <c:pt idx="15">
                    <c:v>2020-03-01</c:v>
                  </c:pt>
                  <c:pt idx="16">
                    <c:v>2020-04-01</c:v>
                  </c:pt>
                  <c:pt idx="17">
                    <c:v>2020-05-01</c:v>
                  </c:pt>
                  <c:pt idx="18">
                    <c:v>2020-06-01</c:v>
                  </c:pt>
                  <c:pt idx="19">
                    <c:v>2020-07-01</c:v>
                  </c:pt>
                  <c:pt idx="20">
                    <c:v>2020-08-01</c:v>
                  </c:pt>
                  <c:pt idx="21">
                    <c:v>2020-09-01</c:v>
                  </c:pt>
                  <c:pt idx="22">
                    <c:v>2020-10-01</c:v>
                  </c:pt>
                  <c:pt idx="23">
                    <c:v>2020-11-01</c:v>
                  </c:pt>
                  <c:pt idx="24">
                    <c:v>2020-12-01</c:v>
                  </c:pt>
                  <c:pt idx="25">
                    <c:v>2021-01-01</c:v>
                  </c:pt>
                  <c:pt idx="26">
                    <c:v>2021-02-01</c:v>
                  </c:pt>
                  <c:pt idx="27">
                    <c:v>2021-03-01</c:v>
                  </c:pt>
                  <c:pt idx="28">
                    <c:v>2021-04-01</c:v>
                  </c:pt>
                  <c:pt idx="29">
                    <c:v>2021-05-01</c:v>
                  </c:pt>
                  <c:pt idx="30">
                    <c:v>2021-06-01</c:v>
                  </c:pt>
                  <c:pt idx="31">
                    <c:v>2021-07-01</c:v>
                  </c:pt>
                  <c:pt idx="32">
                    <c:v>2021-08-01</c:v>
                  </c:pt>
                  <c:pt idx="33">
                    <c:v>2021-09-01</c:v>
                  </c:pt>
                  <c:pt idx="34">
                    <c:v>2021-10-01</c:v>
                  </c:pt>
                  <c:pt idx="35">
                    <c:v>2021-11-01</c:v>
                  </c:pt>
                  <c:pt idx="36">
                    <c:v>2021-12-01</c:v>
                  </c:pt>
                  <c:pt idx="37">
                    <c:v>2022-01-01</c:v>
                  </c:pt>
                  <c:pt idx="38">
                    <c:v>2022-02-01</c:v>
                  </c:pt>
                  <c:pt idx="39">
                    <c:v>2022-03-01</c:v>
                  </c:pt>
                  <c:pt idx="40">
                    <c:v>2022-04-01</c:v>
                  </c:pt>
                  <c:pt idx="41">
                    <c:v>2022-05-01</c:v>
                  </c:pt>
                  <c:pt idx="42">
                    <c:v>2022-06-01</c:v>
                  </c:pt>
                  <c:pt idx="43">
                    <c:v>2022-07-01</c:v>
                  </c:pt>
                  <c:pt idx="44">
                    <c:v>2022-08-01</c:v>
                  </c:pt>
                  <c:pt idx="45">
                    <c:v>2022-09-01</c:v>
                  </c:pt>
                  <c:pt idx="46">
                    <c:v>2022-10-01</c:v>
                  </c:pt>
                  <c:pt idx="47">
                    <c:v>2022-11-01</c:v>
                  </c:pt>
                  <c:pt idx="48">
                    <c:v>2022-12-01</c:v>
                  </c:pt>
                  <c:pt idx="49">
                    <c:v>2023-01-01</c:v>
                  </c:pt>
                  <c:pt idx="50">
                    <c:v>2023-02-01</c:v>
                  </c:pt>
                  <c:pt idx="51">
                    <c:v>2023-03-01</c:v>
                  </c:pt>
                  <c:pt idx="52">
                    <c:v>2023-04-01</c:v>
                  </c:pt>
                  <c:pt idx="53">
                    <c:v>2023-05-01</c:v>
                  </c:pt>
                  <c:pt idx="54">
                    <c:v>2023-06-01</c:v>
                  </c:pt>
                  <c:pt idx="55">
                    <c:v>2023-07-01</c:v>
                  </c:pt>
                  <c:pt idx="56">
                    <c:v>2023-08-01</c:v>
                  </c:pt>
                  <c:pt idx="57">
                    <c:v>2023-09-01</c:v>
                  </c:pt>
                  <c:pt idx="58">
                    <c:v>2023-10-01</c:v>
                  </c:pt>
                  <c:pt idx="59">
                    <c:v>2023-11-01</c:v>
                  </c:pt>
                  <c:pt idx="60">
                    <c:v>2023-12-01</c:v>
                  </c:pt>
                  <c:pt idx="61">
                    <c:v>2024-01-01</c:v>
                  </c:pt>
                  <c:pt idx="62">
                    <c:v>2024-02-01</c:v>
                  </c:pt>
                  <c:pt idx="63">
                    <c:v>2024-03-01</c:v>
                  </c:pt>
                  <c:pt idx="64">
                    <c:v>2024-04-01</c:v>
                  </c:pt>
                  <c:pt idx="65">
                    <c:v>2024-05-01</c:v>
                  </c:pt>
                  <c:pt idx="66">
                    <c:v>2024-06-01</c:v>
                  </c:pt>
                  <c:pt idx="67">
                    <c:v>2024-07-01</c:v>
                  </c:pt>
                  <c:pt idx="68">
                    <c:v>2024-08-01</c:v>
                  </c:pt>
                  <c:pt idx="69">
                    <c:v>2024-09-01</c:v>
                  </c:pt>
                  <c:pt idx="70">
                    <c:v>2024-10-01</c:v>
                  </c:pt>
                  <c:pt idx="71">
                    <c:v>2024-11-01</c:v>
                  </c:pt>
                  <c:pt idx="72">
                    <c:v>2024-12-01</c:v>
                  </c:pt>
                  <c:pt idx="73">
                    <c:v>2025-01-01</c:v>
                  </c:pt>
                  <c:pt idx="74">
                    <c:v>2025-02-01</c:v>
                  </c:pt>
                  <c:pt idx="75">
                    <c:v>2025-03-01</c:v>
                  </c:pt>
                  <c:pt idx="76">
                    <c:v>2025-04-01</c:v>
                  </c:pt>
                  <c:pt idx="77">
                    <c:v>2025-05-01</c:v>
                  </c:pt>
                  <c:pt idx="78">
                    <c:v>2025-06-01</c:v>
                  </c:pt>
                  <c:pt idx="79">
                    <c:v>2025-07-01</c:v>
                  </c:pt>
                  <c:pt idx="80">
                    <c:v>2025-08-01</c:v>
                  </c:pt>
                  <c:pt idx="81">
                    <c:v>2025-09-01</c:v>
                  </c:pt>
                  <c:pt idx="82">
                    <c:v>2025-10-01</c:v>
                  </c:pt>
                  <c:pt idx="83">
                    <c:v>2025-11-01</c:v>
                  </c:pt>
                  <c:pt idx="84">
                    <c:v>2025-12-01</c:v>
                  </c:pt>
                  <c:pt idx="85">
                    <c:v>2026-01-01</c:v>
                  </c:pt>
                  <c:pt idx="86">
                    <c:v>2026-02-01</c:v>
                  </c:pt>
                  <c:pt idx="87">
                    <c:v>2026-03-01</c:v>
                  </c:pt>
                  <c:pt idx="88">
                    <c:v>2026-04-01</c:v>
                  </c:pt>
                  <c:pt idx="89">
                    <c:v>2026-05-01</c:v>
                  </c:pt>
                  <c:pt idx="90">
                    <c:v>2026-06-01</c:v>
                  </c:pt>
                  <c:pt idx="91">
                    <c:v>2026-07-01</c:v>
                  </c:pt>
                  <c:pt idx="92">
                    <c:v>2026-08-01</c:v>
                  </c:pt>
                  <c:pt idx="93">
                    <c:v>2026-09-01</c:v>
                  </c:pt>
                  <c:pt idx="94">
                    <c:v>2026-10-01</c:v>
                  </c:pt>
                  <c:pt idx="95">
                    <c:v>2026-11-01</c:v>
                  </c:pt>
                  <c:pt idx="96">
                    <c:v>2026-12-01</c:v>
                  </c:pt>
                  <c:pt idx="97">
                    <c:v>2027-01-01</c:v>
                  </c:pt>
                  <c:pt idx="98">
                    <c:v>2027-02-01</c:v>
                  </c:pt>
                  <c:pt idx="99">
                    <c:v>2027-03-01</c:v>
                  </c:pt>
                  <c:pt idx="100">
                    <c:v>2027-04-01</c:v>
                  </c:pt>
                  <c:pt idx="101">
                    <c:v>2027-05-01</c:v>
                  </c:pt>
                  <c:pt idx="102">
                    <c:v>2027-06-01</c:v>
                  </c:pt>
                  <c:pt idx="103">
                    <c:v>2027-07-01</c:v>
                  </c:pt>
                  <c:pt idx="104">
                    <c:v>2027-08-01</c:v>
                  </c:pt>
                  <c:pt idx="105">
                    <c:v>2027-09-01</c:v>
                  </c:pt>
                  <c:pt idx="106">
                    <c:v>2027-10-01</c:v>
                  </c:pt>
                  <c:pt idx="107">
                    <c:v>2027-11-01</c:v>
                  </c:pt>
                  <c:pt idx="108">
                    <c:v>2027-12-01</c:v>
                  </c:pt>
                  <c:pt idx="109">
                    <c:v>2028-01-01</c:v>
                  </c:pt>
                  <c:pt idx="110">
                    <c:v>2028-02-01</c:v>
                  </c:pt>
                  <c:pt idx="111">
                    <c:v>2028-03-01</c:v>
                  </c:pt>
                  <c:pt idx="112">
                    <c:v>2028-04-01</c:v>
                  </c:pt>
                  <c:pt idx="113">
                    <c:v>2028-05-01</c:v>
                  </c:pt>
                  <c:pt idx="114">
                    <c:v>2028-06-01</c:v>
                  </c:pt>
                  <c:pt idx="115">
                    <c:v>2028-07-01</c:v>
                  </c:pt>
                  <c:pt idx="116">
                    <c:v>2028-08-01</c:v>
                  </c:pt>
                  <c:pt idx="117">
                    <c:v>2028-09-01</c:v>
                  </c:pt>
                  <c:pt idx="118">
                    <c:v>2028-10-01</c:v>
                  </c:pt>
                  <c:pt idx="119">
                    <c:v>2028-11-01</c:v>
                  </c:pt>
                  <c:pt idx="120">
                    <c:v>2028-12-01</c:v>
                  </c:pt>
                  <c:pt idx="121">
                    <c:v>2029-01-01</c:v>
                  </c:pt>
                  <c:pt idx="122">
                    <c:v>2029-02-01</c:v>
                  </c:pt>
                  <c:pt idx="123">
                    <c:v>2029-03-01</c:v>
                  </c:pt>
                  <c:pt idx="124">
                    <c:v>2029-04-01</c:v>
                  </c:pt>
                  <c:pt idx="125">
                    <c:v>2029-05-01</c:v>
                  </c:pt>
                  <c:pt idx="126">
                    <c:v>2029-06-01</c:v>
                  </c:pt>
                  <c:pt idx="127">
                    <c:v>2029-07-01</c:v>
                  </c:pt>
                  <c:pt idx="128">
                    <c:v>2029-08-01</c:v>
                  </c:pt>
                  <c:pt idx="129">
                    <c:v>2029-09-01</c:v>
                  </c:pt>
                  <c:pt idx="130">
                    <c:v>2029-10-01</c:v>
                  </c:pt>
                  <c:pt idx="131">
                    <c:v>2029-11-01</c:v>
                  </c:pt>
                  <c:pt idx="132">
                    <c:v>2029-12-01</c:v>
                  </c:pt>
                  <c:pt idx="133">
                    <c:v>2030-01-01</c:v>
                  </c:pt>
                  <c:pt idx="134">
                    <c:v>2030-02-01</c:v>
                  </c:pt>
                  <c:pt idx="135">
                    <c:v>2030-03-01</c:v>
                  </c:pt>
                  <c:pt idx="136">
                    <c:v>2030-04-01</c:v>
                  </c:pt>
                  <c:pt idx="137">
                    <c:v>2030-05-01</c:v>
                  </c:pt>
                  <c:pt idx="138">
                    <c:v>2030-06-01</c:v>
                  </c:pt>
                  <c:pt idx="139">
                    <c:v>2030-07-01</c:v>
                  </c:pt>
                  <c:pt idx="140">
                    <c:v>2030-08-01</c:v>
                  </c:pt>
                  <c:pt idx="141">
                    <c:v>2030-09-01</c:v>
                  </c:pt>
                  <c:pt idx="142">
                    <c:v>2030-10-01</c:v>
                  </c:pt>
                  <c:pt idx="143">
                    <c:v>2030-11-01</c:v>
                  </c:pt>
                  <c:pt idx="144">
                    <c:v>2030-12-01</c:v>
                  </c:pt>
                </c:lvl>
              </c:multiLvlStrCache>
            </c:multiLvlStrRef>
          </c:cat>
          <c:val>
            <c:numRef>
              <c:f>Overview!$E$3:$E$147</c:f>
              <c:numCache>
                <c:formatCode>_("$"* #,##0.00_);_("$"* \(#,##0.00\);_("$"* "-"??_);_(@_)</c:formatCode>
                <c:ptCount val="14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-1.5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-121.6</c:v>
                </c:pt>
                <c:pt idx="11">
                  <c:v>0</c:v>
                </c:pt>
                <c:pt idx="12">
                  <c:v>405.5</c:v>
                </c:pt>
                <c:pt idx="13">
                  <c:v>-105</c:v>
                </c:pt>
                <c:pt idx="14">
                  <c:v>-105</c:v>
                </c:pt>
                <c:pt idx="15">
                  <c:v>-2.4700000000000002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-105</c:v>
                </c:pt>
                <c:pt idx="20">
                  <c:v>0</c:v>
                </c:pt>
                <c:pt idx="21">
                  <c:v>0</c:v>
                </c:pt>
                <c:pt idx="22">
                  <c:v>-30</c:v>
                </c:pt>
                <c:pt idx="23">
                  <c:v>0</c:v>
                </c:pt>
                <c:pt idx="24">
                  <c:v>-223.22</c:v>
                </c:pt>
                <c:pt idx="25">
                  <c:v>-20</c:v>
                </c:pt>
                <c:pt idx="26">
                  <c:v>-32</c:v>
                </c:pt>
                <c:pt idx="27">
                  <c:v>0</c:v>
                </c:pt>
                <c:pt idx="28">
                  <c:v>-336.24</c:v>
                </c:pt>
                <c:pt idx="29">
                  <c:v>3660.72</c:v>
                </c:pt>
                <c:pt idx="30">
                  <c:v>-195</c:v>
                </c:pt>
                <c:pt idx="31">
                  <c:v>117.3</c:v>
                </c:pt>
                <c:pt idx="32">
                  <c:v>266.19</c:v>
                </c:pt>
                <c:pt idx="33">
                  <c:v>-14.06</c:v>
                </c:pt>
                <c:pt idx="34">
                  <c:v>-21.610000000000014</c:v>
                </c:pt>
                <c:pt idx="35">
                  <c:v>-211.82</c:v>
                </c:pt>
                <c:pt idx="36">
                  <c:v>-13.87</c:v>
                </c:pt>
                <c:pt idx="37">
                  <c:v>-14.19</c:v>
                </c:pt>
                <c:pt idx="38">
                  <c:v>148.34</c:v>
                </c:pt>
                <c:pt idx="39">
                  <c:v>-2079.8000000000002</c:v>
                </c:pt>
                <c:pt idx="40">
                  <c:v>-100</c:v>
                </c:pt>
                <c:pt idx="41">
                  <c:v>0</c:v>
                </c:pt>
                <c:pt idx="42">
                  <c:v>44.5</c:v>
                </c:pt>
                <c:pt idx="43">
                  <c:v>0</c:v>
                </c:pt>
                <c:pt idx="44">
                  <c:v>18.920000000000002</c:v>
                </c:pt>
                <c:pt idx="45">
                  <c:v>-25</c:v>
                </c:pt>
                <c:pt idx="46">
                  <c:v>-95</c:v>
                </c:pt>
                <c:pt idx="47">
                  <c:v>-204</c:v>
                </c:pt>
                <c:pt idx="48">
                  <c:v>-130</c:v>
                </c:pt>
                <c:pt idx="49">
                  <c:v>48.45</c:v>
                </c:pt>
                <c:pt idx="50">
                  <c:v>-35.5</c:v>
                </c:pt>
                <c:pt idx="51">
                  <c:v>10.260000000000005</c:v>
                </c:pt>
                <c:pt idx="52">
                  <c:v>0</c:v>
                </c:pt>
                <c:pt idx="53">
                  <c:v>-135</c:v>
                </c:pt>
                <c:pt idx="54">
                  <c:v>-992.87</c:v>
                </c:pt>
                <c:pt idx="55">
                  <c:v>500</c:v>
                </c:pt>
                <c:pt idx="56">
                  <c:v>-178</c:v>
                </c:pt>
                <c:pt idx="57">
                  <c:v>0</c:v>
                </c:pt>
                <c:pt idx="58">
                  <c:v>-378.73</c:v>
                </c:pt>
                <c:pt idx="59">
                  <c:v>0</c:v>
                </c:pt>
                <c:pt idx="60">
                  <c:v>0</c:v>
                </c:pt>
                <c:pt idx="61">
                  <c:v>-37.72</c:v>
                </c:pt>
                <c:pt idx="62">
                  <c:v>0</c:v>
                </c:pt>
                <c:pt idx="63">
                  <c:v>-33.380000000000003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</c:ser>
        <c:ser>
          <c:idx val="3"/>
          <c:order val="3"/>
          <c:tx>
            <c:strRef>
              <c:f>Overview!$F$2</c:f>
              <c:strCache>
                <c:ptCount val="1"/>
                <c:pt idx="0">
                  <c:v>Entertainment</c:v>
                </c:pt>
              </c:strCache>
            </c:strRef>
          </c:tx>
          <c:invertIfNegative val="0"/>
          <c:cat>
            <c:multiLvlStrRef>
              <c:f>Overview!$A$3:$B$147</c:f>
              <c:multiLvlStrCache>
                <c:ptCount val="145"/>
                <c:lvl>
                  <c:pt idx="1">
                    <c:v>January 2019</c:v>
                  </c:pt>
                  <c:pt idx="2">
                    <c:v>February 2019</c:v>
                  </c:pt>
                  <c:pt idx="3">
                    <c:v>March 2019</c:v>
                  </c:pt>
                  <c:pt idx="4">
                    <c:v>April 2019</c:v>
                  </c:pt>
                  <c:pt idx="5">
                    <c:v>May 2019</c:v>
                  </c:pt>
                  <c:pt idx="6">
                    <c:v>June 2019</c:v>
                  </c:pt>
                  <c:pt idx="7">
                    <c:v>July 2019</c:v>
                  </c:pt>
                  <c:pt idx="8">
                    <c:v>August 2019</c:v>
                  </c:pt>
                  <c:pt idx="9">
                    <c:v>September 2019</c:v>
                  </c:pt>
                  <c:pt idx="10">
                    <c:v>October 2019</c:v>
                  </c:pt>
                  <c:pt idx="11">
                    <c:v>November 2019</c:v>
                  </c:pt>
                  <c:pt idx="12">
                    <c:v>December 2019</c:v>
                  </c:pt>
                  <c:pt idx="13">
                    <c:v>January 2020</c:v>
                  </c:pt>
                  <c:pt idx="14">
                    <c:v>February 2020</c:v>
                  </c:pt>
                  <c:pt idx="15">
                    <c:v>March 2020</c:v>
                  </c:pt>
                  <c:pt idx="16">
                    <c:v>April 2020</c:v>
                  </c:pt>
                  <c:pt idx="17">
                    <c:v>May 2020</c:v>
                  </c:pt>
                  <c:pt idx="18">
                    <c:v>June 2020</c:v>
                  </c:pt>
                  <c:pt idx="19">
                    <c:v>July 2020</c:v>
                  </c:pt>
                  <c:pt idx="20">
                    <c:v>August 2020</c:v>
                  </c:pt>
                  <c:pt idx="21">
                    <c:v>September 2020</c:v>
                  </c:pt>
                  <c:pt idx="22">
                    <c:v>October 2020</c:v>
                  </c:pt>
                  <c:pt idx="23">
                    <c:v>November 2020</c:v>
                  </c:pt>
                  <c:pt idx="24">
                    <c:v>December 2020</c:v>
                  </c:pt>
                  <c:pt idx="25">
                    <c:v>January 2021</c:v>
                  </c:pt>
                  <c:pt idx="26">
                    <c:v>February 2021</c:v>
                  </c:pt>
                  <c:pt idx="27">
                    <c:v>March 2021</c:v>
                  </c:pt>
                  <c:pt idx="28">
                    <c:v>April 2021</c:v>
                  </c:pt>
                  <c:pt idx="29">
                    <c:v>May 2021</c:v>
                  </c:pt>
                  <c:pt idx="30">
                    <c:v>June 2021</c:v>
                  </c:pt>
                  <c:pt idx="31">
                    <c:v>July 2021</c:v>
                  </c:pt>
                  <c:pt idx="32">
                    <c:v>August 2021</c:v>
                  </c:pt>
                  <c:pt idx="33">
                    <c:v>September 2021</c:v>
                  </c:pt>
                  <c:pt idx="34">
                    <c:v>October 2021</c:v>
                  </c:pt>
                  <c:pt idx="35">
                    <c:v>November 2021</c:v>
                  </c:pt>
                  <c:pt idx="36">
                    <c:v>December 2021</c:v>
                  </c:pt>
                  <c:pt idx="37">
                    <c:v>January 2022</c:v>
                  </c:pt>
                  <c:pt idx="38">
                    <c:v>February 2022</c:v>
                  </c:pt>
                  <c:pt idx="39">
                    <c:v>March 2022</c:v>
                  </c:pt>
                  <c:pt idx="40">
                    <c:v>April 2022</c:v>
                  </c:pt>
                  <c:pt idx="41">
                    <c:v>May 2022</c:v>
                  </c:pt>
                  <c:pt idx="42">
                    <c:v>June 2022</c:v>
                  </c:pt>
                  <c:pt idx="43">
                    <c:v>July 2022</c:v>
                  </c:pt>
                  <c:pt idx="44">
                    <c:v>August 2022</c:v>
                  </c:pt>
                  <c:pt idx="45">
                    <c:v>September 2022</c:v>
                  </c:pt>
                  <c:pt idx="46">
                    <c:v>October 2022</c:v>
                  </c:pt>
                  <c:pt idx="47">
                    <c:v>November 2022</c:v>
                  </c:pt>
                  <c:pt idx="48">
                    <c:v>December 2022</c:v>
                  </c:pt>
                  <c:pt idx="49">
                    <c:v>January 2023</c:v>
                  </c:pt>
                  <c:pt idx="50">
                    <c:v>February 2023</c:v>
                  </c:pt>
                  <c:pt idx="51">
                    <c:v>March 2023</c:v>
                  </c:pt>
                  <c:pt idx="52">
                    <c:v>April 2023</c:v>
                  </c:pt>
                  <c:pt idx="53">
                    <c:v>May 2023</c:v>
                  </c:pt>
                  <c:pt idx="54">
                    <c:v>June 2023</c:v>
                  </c:pt>
                  <c:pt idx="55">
                    <c:v>July 2023</c:v>
                  </c:pt>
                  <c:pt idx="56">
                    <c:v>August 2023</c:v>
                  </c:pt>
                  <c:pt idx="57">
                    <c:v>September 2023</c:v>
                  </c:pt>
                  <c:pt idx="58">
                    <c:v>October 2023</c:v>
                  </c:pt>
                  <c:pt idx="59">
                    <c:v>November 2023</c:v>
                  </c:pt>
                  <c:pt idx="60">
                    <c:v>December 2023</c:v>
                  </c:pt>
                  <c:pt idx="61">
                    <c:v>January 2024</c:v>
                  </c:pt>
                  <c:pt idx="62">
                    <c:v>February 2024</c:v>
                  </c:pt>
                  <c:pt idx="63">
                    <c:v>March 2024</c:v>
                  </c:pt>
                  <c:pt idx="64">
                    <c:v>April 2024</c:v>
                  </c:pt>
                  <c:pt idx="65">
                    <c:v>May 2024</c:v>
                  </c:pt>
                  <c:pt idx="66">
                    <c:v>June 2024</c:v>
                  </c:pt>
                  <c:pt idx="67">
                    <c:v>July 2024</c:v>
                  </c:pt>
                  <c:pt idx="68">
                    <c:v>August 2024</c:v>
                  </c:pt>
                  <c:pt idx="69">
                    <c:v>September 2024</c:v>
                  </c:pt>
                  <c:pt idx="70">
                    <c:v>October 2024</c:v>
                  </c:pt>
                  <c:pt idx="71">
                    <c:v>November 2024</c:v>
                  </c:pt>
                  <c:pt idx="72">
                    <c:v>December 2024</c:v>
                  </c:pt>
                  <c:pt idx="73">
                    <c:v>January 2025</c:v>
                  </c:pt>
                  <c:pt idx="74">
                    <c:v>February 2025</c:v>
                  </c:pt>
                  <c:pt idx="75">
                    <c:v>March 2025</c:v>
                  </c:pt>
                  <c:pt idx="76">
                    <c:v>April 2025</c:v>
                  </c:pt>
                  <c:pt idx="77">
                    <c:v>May 2025</c:v>
                  </c:pt>
                  <c:pt idx="78">
                    <c:v>June 2025</c:v>
                  </c:pt>
                  <c:pt idx="79">
                    <c:v>July 2025</c:v>
                  </c:pt>
                  <c:pt idx="80">
                    <c:v>August 2025</c:v>
                  </c:pt>
                  <c:pt idx="81">
                    <c:v>September 2025</c:v>
                  </c:pt>
                  <c:pt idx="82">
                    <c:v>October 2025</c:v>
                  </c:pt>
                  <c:pt idx="83">
                    <c:v>November 2025</c:v>
                  </c:pt>
                  <c:pt idx="84">
                    <c:v>December 2025</c:v>
                  </c:pt>
                  <c:pt idx="85">
                    <c:v>January 2026</c:v>
                  </c:pt>
                  <c:pt idx="86">
                    <c:v>February 2026</c:v>
                  </c:pt>
                  <c:pt idx="87">
                    <c:v>March 2026</c:v>
                  </c:pt>
                  <c:pt idx="88">
                    <c:v>April 2026</c:v>
                  </c:pt>
                  <c:pt idx="89">
                    <c:v>May 2026</c:v>
                  </c:pt>
                  <c:pt idx="90">
                    <c:v>June 2026</c:v>
                  </c:pt>
                  <c:pt idx="91">
                    <c:v>July 2026</c:v>
                  </c:pt>
                  <c:pt idx="92">
                    <c:v>August 2026</c:v>
                  </c:pt>
                  <c:pt idx="93">
                    <c:v>September 2026</c:v>
                  </c:pt>
                  <c:pt idx="94">
                    <c:v>October 2026</c:v>
                  </c:pt>
                  <c:pt idx="95">
                    <c:v>November 2026</c:v>
                  </c:pt>
                  <c:pt idx="96">
                    <c:v>December 2026</c:v>
                  </c:pt>
                  <c:pt idx="97">
                    <c:v>January 2027</c:v>
                  </c:pt>
                  <c:pt idx="98">
                    <c:v>February 2027</c:v>
                  </c:pt>
                  <c:pt idx="99">
                    <c:v>March 2027</c:v>
                  </c:pt>
                  <c:pt idx="100">
                    <c:v>April 2027</c:v>
                  </c:pt>
                  <c:pt idx="101">
                    <c:v>May 2027</c:v>
                  </c:pt>
                  <c:pt idx="102">
                    <c:v>June 2027</c:v>
                  </c:pt>
                  <c:pt idx="103">
                    <c:v>July 2027</c:v>
                  </c:pt>
                  <c:pt idx="104">
                    <c:v>August 2027</c:v>
                  </c:pt>
                  <c:pt idx="105">
                    <c:v>September 2027</c:v>
                  </c:pt>
                  <c:pt idx="106">
                    <c:v>October 2027</c:v>
                  </c:pt>
                  <c:pt idx="107">
                    <c:v>November 2027</c:v>
                  </c:pt>
                  <c:pt idx="108">
                    <c:v>December 2027</c:v>
                  </c:pt>
                  <c:pt idx="109">
                    <c:v>January 2028</c:v>
                  </c:pt>
                  <c:pt idx="110">
                    <c:v>February 2028</c:v>
                  </c:pt>
                  <c:pt idx="111">
                    <c:v>March 2028</c:v>
                  </c:pt>
                  <c:pt idx="112">
                    <c:v>April 2028</c:v>
                  </c:pt>
                  <c:pt idx="113">
                    <c:v>May 2028</c:v>
                  </c:pt>
                  <c:pt idx="114">
                    <c:v>June 2028</c:v>
                  </c:pt>
                  <c:pt idx="115">
                    <c:v>July 2028</c:v>
                  </c:pt>
                  <c:pt idx="116">
                    <c:v>August 2028</c:v>
                  </c:pt>
                  <c:pt idx="117">
                    <c:v>September 2028</c:v>
                  </c:pt>
                  <c:pt idx="118">
                    <c:v>October 2028</c:v>
                  </c:pt>
                  <c:pt idx="119">
                    <c:v>November 2028</c:v>
                  </c:pt>
                  <c:pt idx="120">
                    <c:v>December 2028</c:v>
                  </c:pt>
                  <c:pt idx="121">
                    <c:v>January 2029</c:v>
                  </c:pt>
                  <c:pt idx="122">
                    <c:v>February 2029</c:v>
                  </c:pt>
                  <c:pt idx="123">
                    <c:v>March 2029</c:v>
                  </c:pt>
                  <c:pt idx="124">
                    <c:v>April 2029</c:v>
                  </c:pt>
                  <c:pt idx="125">
                    <c:v>May 2029</c:v>
                  </c:pt>
                  <c:pt idx="126">
                    <c:v>June 2029</c:v>
                  </c:pt>
                  <c:pt idx="127">
                    <c:v>July 2029</c:v>
                  </c:pt>
                  <c:pt idx="128">
                    <c:v>August 2029</c:v>
                  </c:pt>
                  <c:pt idx="129">
                    <c:v>September 2029</c:v>
                  </c:pt>
                  <c:pt idx="130">
                    <c:v>October 2029</c:v>
                  </c:pt>
                  <c:pt idx="131">
                    <c:v>November 2029</c:v>
                  </c:pt>
                  <c:pt idx="132">
                    <c:v>December 2029</c:v>
                  </c:pt>
                  <c:pt idx="133">
                    <c:v>January 2030</c:v>
                  </c:pt>
                  <c:pt idx="134">
                    <c:v>February 2030</c:v>
                  </c:pt>
                  <c:pt idx="135">
                    <c:v>March 2030</c:v>
                  </c:pt>
                  <c:pt idx="136">
                    <c:v>April 2030</c:v>
                  </c:pt>
                  <c:pt idx="137">
                    <c:v>May 2030</c:v>
                  </c:pt>
                  <c:pt idx="138">
                    <c:v>June 2030</c:v>
                  </c:pt>
                  <c:pt idx="139">
                    <c:v>July 2030</c:v>
                  </c:pt>
                  <c:pt idx="140">
                    <c:v>August 2030</c:v>
                  </c:pt>
                  <c:pt idx="141">
                    <c:v>September 2030</c:v>
                  </c:pt>
                  <c:pt idx="142">
                    <c:v>October 2030</c:v>
                  </c:pt>
                  <c:pt idx="143">
                    <c:v>November 2030</c:v>
                  </c:pt>
                  <c:pt idx="144">
                    <c:v>December 2030</c:v>
                  </c:pt>
                </c:lvl>
                <c:lvl>
                  <c:pt idx="1">
                    <c:v>2019-01-01</c:v>
                  </c:pt>
                  <c:pt idx="2">
                    <c:v>2019-02-01</c:v>
                  </c:pt>
                  <c:pt idx="3">
                    <c:v>2019-03-01</c:v>
                  </c:pt>
                  <c:pt idx="4">
                    <c:v>2019-04-01</c:v>
                  </c:pt>
                  <c:pt idx="5">
                    <c:v>2019-05-01</c:v>
                  </c:pt>
                  <c:pt idx="6">
                    <c:v>2019-06-01</c:v>
                  </c:pt>
                  <c:pt idx="7">
                    <c:v>2019-07-01</c:v>
                  </c:pt>
                  <c:pt idx="8">
                    <c:v>2019-08-01</c:v>
                  </c:pt>
                  <c:pt idx="9">
                    <c:v>2019-09-01</c:v>
                  </c:pt>
                  <c:pt idx="10">
                    <c:v>2019-10-01</c:v>
                  </c:pt>
                  <c:pt idx="11">
                    <c:v>2019-11-01</c:v>
                  </c:pt>
                  <c:pt idx="12">
                    <c:v>2019-12-01</c:v>
                  </c:pt>
                  <c:pt idx="13">
                    <c:v>2020-01-01</c:v>
                  </c:pt>
                  <c:pt idx="14">
                    <c:v>2020-02-01</c:v>
                  </c:pt>
                  <c:pt idx="15">
                    <c:v>2020-03-01</c:v>
                  </c:pt>
                  <c:pt idx="16">
                    <c:v>2020-04-01</c:v>
                  </c:pt>
                  <c:pt idx="17">
                    <c:v>2020-05-01</c:v>
                  </c:pt>
                  <c:pt idx="18">
                    <c:v>2020-06-01</c:v>
                  </c:pt>
                  <c:pt idx="19">
                    <c:v>2020-07-01</c:v>
                  </c:pt>
                  <c:pt idx="20">
                    <c:v>2020-08-01</c:v>
                  </c:pt>
                  <c:pt idx="21">
                    <c:v>2020-09-01</c:v>
                  </c:pt>
                  <c:pt idx="22">
                    <c:v>2020-10-01</c:v>
                  </c:pt>
                  <c:pt idx="23">
                    <c:v>2020-11-01</c:v>
                  </c:pt>
                  <c:pt idx="24">
                    <c:v>2020-12-01</c:v>
                  </c:pt>
                  <c:pt idx="25">
                    <c:v>2021-01-01</c:v>
                  </c:pt>
                  <c:pt idx="26">
                    <c:v>2021-02-01</c:v>
                  </c:pt>
                  <c:pt idx="27">
                    <c:v>2021-03-01</c:v>
                  </c:pt>
                  <c:pt idx="28">
                    <c:v>2021-04-01</c:v>
                  </c:pt>
                  <c:pt idx="29">
                    <c:v>2021-05-01</c:v>
                  </c:pt>
                  <c:pt idx="30">
                    <c:v>2021-06-01</c:v>
                  </c:pt>
                  <c:pt idx="31">
                    <c:v>2021-07-01</c:v>
                  </c:pt>
                  <c:pt idx="32">
                    <c:v>2021-08-01</c:v>
                  </c:pt>
                  <c:pt idx="33">
                    <c:v>2021-09-01</c:v>
                  </c:pt>
                  <c:pt idx="34">
                    <c:v>2021-10-01</c:v>
                  </c:pt>
                  <c:pt idx="35">
                    <c:v>2021-11-01</c:v>
                  </c:pt>
                  <c:pt idx="36">
                    <c:v>2021-12-01</c:v>
                  </c:pt>
                  <c:pt idx="37">
                    <c:v>2022-01-01</c:v>
                  </c:pt>
                  <c:pt idx="38">
                    <c:v>2022-02-01</c:v>
                  </c:pt>
                  <c:pt idx="39">
                    <c:v>2022-03-01</c:v>
                  </c:pt>
                  <c:pt idx="40">
                    <c:v>2022-04-01</c:v>
                  </c:pt>
                  <c:pt idx="41">
                    <c:v>2022-05-01</c:v>
                  </c:pt>
                  <c:pt idx="42">
                    <c:v>2022-06-01</c:v>
                  </c:pt>
                  <c:pt idx="43">
                    <c:v>2022-07-01</c:v>
                  </c:pt>
                  <c:pt idx="44">
                    <c:v>2022-08-01</c:v>
                  </c:pt>
                  <c:pt idx="45">
                    <c:v>2022-09-01</c:v>
                  </c:pt>
                  <c:pt idx="46">
                    <c:v>2022-10-01</c:v>
                  </c:pt>
                  <c:pt idx="47">
                    <c:v>2022-11-01</c:v>
                  </c:pt>
                  <c:pt idx="48">
                    <c:v>2022-12-01</c:v>
                  </c:pt>
                  <c:pt idx="49">
                    <c:v>2023-01-01</c:v>
                  </c:pt>
                  <c:pt idx="50">
                    <c:v>2023-02-01</c:v>
                  </c:pt>
                  <c:pt idx="51">
                    <c:v>2023-03-01</c:v>
                  </c:pt>
                  <c:pt idx="52">
                    <c:v>2023-04-01</c:v>
                  </c:pt>
                  <c:pt idx="53">
                    <c:v>2023-05-01</c:v>
                  </c:pt>
                  <c:pt idx="54">
                    <c:v>2023-06-01</c:v>
                  </c:pt>
                  <c:pt idx="55">
                    <c:v>2023-07-01</c:v>
                  </c:pt>
                  <c:pt idx="56">
                    <c:v>2023-08-01</c:v>
                  </c:pt>
                  <c:pt idx="57">
                    <c:v>2023-09-01</c:v>
                  </c:pt>
                  <c:pt idx="58">
                    <c:v>2023-10-01</c:v>
                  </c:pt>
                  <c:pt idx="59">
                    <c:v>2023-11-01</c:v>
                  </c:pt>
                  <c:pt idx="60">
                    <c:v>2023-12-01</c:v>
                  </c:pt>
                  <c:pt idx="61">
                    <c:v>2024-01-01</c:v>
                  </c:pt>
                  <c:pt idx="62">
                    <c:v>2024-02-01</c:v>
                  </c:pt>
                  <c:pt idx="63">
                    <c:v>2024-03-01</c:v>
                  </c:pt>
                  <c:pt idx="64">
                    <c:v>2024-04-01</c:v>
                  </c:pt>
                  <c:pt idx="65">
                    <c:v>2024-05-01</c:v>
                  </c:pt>
                  <c:pt idx="66">
                    <c:v>2024-06-01</c:v>
                  </c:pt>
                  <c:pt idx="67">
                    <c:v>2024-07-01</c:v>
                  </c:pt>
                  <c:pt idx="68">
                    <c:v>2024-08-01</c:v>
                  </c:pt>
                  <c:pt idx="69">
                    <c:v>2024-09-01</c:v>
                  </c:pt>
                  <c:pt idx="70">
                    <c:v>2024-10-01</c:v>
                  </c:pt>
                  <c:pt idx="71">
                    <c:v>2024-11-01</c:v>
                  </c:pt>
                  <c:pt idx="72">
                    <c:v>2024-12-01</c:v>
                  </c:pt>
                  <c:pt idx="73">
                    <c:v>2025-01-01</c:v>
                  </c:pt>
                  <c:pt idx="74">
                    <c:v>2025-02-01</c:v>
                  </c:pt>
                  <c:pt idx="75">
                    <c:v>2025-03-01</c:v>
                  </c:pt>
                  <c:pt idx="76">
                    <c:v>2025-04-01</c:v>
                  </c:pt>
                  <c:pt idx="77">
                    <c:v>2025-05-01</c:v>
                  </c:pt>
                  <c:pt idx="78">
                    <c:v>2025-06-01</c:v>
                  </c:pt>
                  <c:pt idx="79">
                    <c:v>2025-07-01</c:v>
                  </c:pt>
                  <c:pt idx="80">
                    <c:v>2025-08-01</c:v>
                  </c:pt>
                  <c:pt idx="81">
                    <c:v>2025-09-01</c:v>
                  </c:pt>
                  <c:pt idx="82">
                    <c:v>2025-10-01</c:v>
                  </c:pt>
                  <c:pt idx="83">
                    <c:v>2025-11-01</c:v>
                  </c:pt>
                  <c:pt idx="84">
                    <c:v>2025-12-01</c:v>
                  </c:pt>
                  <c:pt idx="85">
                    <c:v>2026-01-01</c:v>
                  </c:pt>
                  <c:pt idx="86">
                    <c:v>2026-02-01</c:v>
                  </c:pt>
                  <c:pt idx="87">
                    <c:v>2026-03-01</c:v>
                  </c:pt>
                  <c:pt idx="88">
                    <c:v>2026-04-01</c:v>
                  </c:pt>
                  <c:pt idx="89">
                    <c:v>2026-05-01</c:v>
                  </c:pt>
                  <c:pt idx="90">
                    <c:v>2026-06-01</c:v>
                  </c:pt>
                  <c:pt idx="91">
                    <c:v>2026-07-01</c:v>
                  </c:pt>
                  <c:pt idx="92">
                    <c:v>2026-08-01</c:v>
                  </c:pt>
                  <c:pt idx="93">
                    <c:v>2026-09-01</c:v>
                  </c:pt>
                  <c:pt idx="94">
                    <c:v>2026-10-01</c:v>
                  </c:pt>
                  <c:pt idx="95">
                    <c:v>2026-11-01</c:v>
                  </c:pt>
                  <c:pt idx="96">
                    <c:v>2026-12-01</c:v>
                  </c:pt>
                  <c:pt idx="97">
                    <c:v>2027-01-01</c:v>
                  </c:pt>
                  <c:pt idx="98">
                    <c:v>2027-02-01</c:v>
                  </c:pt>
                  <c:pt idx="99">
                    <c:v>2027-03-01</c:v>
                  </c:pt>
                  <c:pt idx="100">
                    <c:v>2027-04-01</c:v>
                  </c:pt>
                  <c:pt idx="101">
                    <c:v>2027-05-01</c:v>
                  </c:pt>
                  <c:pt idx="102">
                    <c:v>2027-06-01</c:v>
                  </c:pt>
                  <c:pt idx="103">
                    <c:v>2027-07-01</c:v>
                  </c:pt>
                  <c:pt idx="104">
                    <c:v>2027-08-01</c:v>
                  </c:pt>
                  <c:pt idx="105">
                    <c:v>2027-09-01</c:v>
                  </c:pt>
                  <c:pt idx="106">
                    <c:v>2027-10-01</c:v>
                  </c:pt>
                  <c:pt idx="107">
                    <c:v>2027-11-01</c:v>
                  </c:pt>
                  <c:pt idx="108">
                    <c:v>2027-12-01</c:v>
                  </c:pt>
                  <c:pt idx="109">
                    <c:v>2028-01-01</c:v>
                  </c:pt>
                  <c:pt idx="110">
                    <c:v>2028-02-01</c:v>
                  </c:pt>
                  <c:pt idx="111">
                    <c:v>2028-03-01</c:v>
                  </c:pt>
                  <c:pt idx="112">
                    <c:v>2028-04-01</c:v>
                  </c:pt>
                  <c:pt idx="113">
                    <c:v>2028-05-01</c:v>
                  </c:pt>
                  <c:pt idx="114">
                    <c:v>2028-06-01</c:v>
                  </c:pt>
                  <c:pt idx="115">
                    <c:v>2028-07-01</c:v>
                  </c:pt>
                  <c:pt idx="116">
                    <c:v>2028-08-01</c:v>
                  </c:pt>
                  <c:pt idx="117">
                    <c:v>2028-09-01</c:v>
                  </c:pt>
                  <c:pt idx="118">
                    <c:v>2028-10-01</c:v>
                  </c:pt>
                  <c:pt idx="119">
                    <c:v>2028-11-01</c:v>
                  </c:pt>
                  <c:pt idx="120">
                    <c:v>2028-12-01</c:v>
                  </c:pt>
                  <c:pt idx="121">
                    <c:v>2029-01-01</c:v>
                  </c:pt>
                  <c:pt idx="122">
                    <c:v>2029-02-01</c:v>
                  </c:pt>
                  <c:pt idx="123">
                    <c:v>2029-03-01</c:v>
                  </c:pt>
                  <c:pt idx="124">
                    <c:v>2029-04-01</c:v>
                  </c:pt>
                  <c:pt idx="125">
                    <c:v>2029-05-01</c:v>
                  </c:pt>
                  <c:pt idx="126">
                    <c:v>2029-06-01</c:v>
                  </c:pt>
                  <c:pt idx="127">
                    <c:v>2029-07-01</c:v>
                  </c:pt>
                  <c:pt idx="128">
                    <c:v>2029-08-01</c:v>
                  </c:pt>
                  <c:pt idx="129">
                    <c:v>2029-09-01</c:v>
                  </c:pt>
                  <c:pt idx="130">
                    <c:v>2029-10-01</c:v>
                  </c:pt>
                  <c:pt idx="131">
                    <c:v>2029-11-01</c:v>
                  </c:pt>
                  <c:pt idx="132">
                    <c:v>2029-12-01</c:v>
                  </c:pt>
                  <c:pt idx="133">
                    <c:v>2030-01-01</c:v>
                  </c:pt>
                  <c:pt idx="134">
                    <c:v>2030-02-01</c:v>
                  </c:pt>
                  <c:pt idx="135">
                    <c:v>2030-03-01</c:v>
                  </c:pt>
                  <c:pt idx="136">
                    <c:v>2030-04-01</c:v>
                  </c:pt>
                  <c:pt idx="137">
                    <c:v>2030-05-01</c:v>
                  </c:pt>
                  <c:pt idx="138">
                    <c:v>2030-06-01</c:v>
                  </c:pt>
                  <c:pt idx="139">
                    <c:v>2030-07-01</c:v>
                  </c:pt>
                  <c:pt idx="140">
                    <c:v>2030-08-01</c:v>
                  </c:pt>
                  <c:pt idx="141">
                    <c:v>2030-09-01</c:v>
                  </c:pt>
                  <c:pt idx="142">
                    <c:v>2030-10-01</c:v>
                  </c:pt>
                  <c:pt idx="143">
                    <c:v>2030-11-01</c:v>
                  </c:pt>
                  <c:pt idx="144">
                    <c:v>2030-12-01</c:v>
                  </c:pt>
                </c:lvl>
              </c:multiLvlStrCache>
            </c:multiLvlStrRef>
          </c:cat>
          <c:val>
            <c:numRef>
              <c:f>Overview!$F$3:$F$147</c:f>
              <c:numCache>
                <c:formatCode>_("$"* #,##0.00_);_("$"* \(#,##0.00\);_("$"* "-"??_);_(@_)</c:formatCode>
                <c:ptCount val="145"/>
                <c:pt idx="1">
                  <c:v>-16.37</c:v>
                </c:pt>
                <c:pt idx="2">
                  <c:v>-99.070000000000007</c:v>
                </c:pt>
                <c:pt idx="3">
                  <c:v>-41.980000000000004</c:v>
                </c:pt>
                <c:pt idx="4">
                  <c:v>-10.99</c:v>
                </c:pt>
                <c:pt idx="5">
                  <c:v>-39.93</c:v>
                </c:pt>
                <c:pt idx="6">
                  <c:v>-131.57</c:v>
                </c:pt>
                <c:pt idx="7">
                  <c:v>-142.19</c:v>
                </c:pt>
                <c:pt idx="8">
                  <c:v>-96.81</c:v>
                </c:pt>
                <c:pt idx="9">
                  <c:v>-249.34000000000003</c:v>
                </c:pt>
                <c:pt idx="10">
                  <c:v>-339.16999999999996</c:v>
                </c:pt>
                <c:pt idx="11">
                  <c:v>-113.15</c:v>
                </c:pt>
                <c:pt idx="12">
                  <c:v>-336.02</c:v>
                </c:pt>
                <c:pt idx="13">
                  <c:v>-128.94</c:v>
                </c:pt>
                <c:pt idx="14">
                  <c:v>-201.02</c:v>
                </c:pt>
                <c:pt idx="15">
                  <c:v>-157.17000000000002</c:v>
                </c:pt>
                <c:pt idx="16">
                  <c:v>-29.86</c:v>
                </c:pt>
                <c:pt idx="17">
                  <c:v>-104.07</c:v>
                </c:pt>
                <c:pt idx="18">
                  <c:v>-285.43</c:v>
                </c:pt>
                <c:pt idx="19">
                  <c:v>-51.620000000000005</c:v>
                </c:pt>
                <c:pt idx="20">
                  <c:v>-129.08000000000001</c:v>
                </c:pt>
                <c:pt idx="21">
                  <c:v>-181.8</c:v>
                </c:pt>
                <c:pt idx="22">
                  <c:v>-63.61</c:v>
                </c:pt>
                <c:pt idx="23">
                  <c:v>-107.75</c:v>
                </c:pt>
                <c:pt idx="24">
                  <c:v>-47.870000000000005</c:v>
                </c:pt>
                <c:pt idx="25">
                  <c:v>-61.81</c:v>
                </c:pt>
                <c:pt idx="26">
                  <c:v>-239.85999999999999</c:v>
                </c:pt>
                <c:pt idx="27">
                  <c:v>-104.55999999999999</c:v>
                </c:pt>
                <c:pt idx="28">
                  <c:v>-268.33</c:v>
                </c:pt>
                <c:pt idx="29">
                  <c:v>-45.03</c:v>
                </c:pt>
                <c:pt idx="30">
                  <c:v>-82.700000000000017</c:v>
                </c:pt>
                <c:pt idx="31">
                  <c:v>-335.72</c:v>
                </c:pt>
                <c:pt idx="32">
                  <c:v>-140.91</c:v>
                </c:pt>
                <c:pt idx="33">
                  <c:v>-70.77000000000001</c:v>
                </c:pt>
                <c:pt idx="34">
                  <c:v>-53.250000000000021</c:v>
                </c:pt>
                <c:pt idx="35">
                  <c:v>-181.05</c:v>
                </c:pt>
                <c:pt idx="36">
                  <c:v>-86.690000000000012</c:v>
                </c:pt>
                <c:pt idx="37">
                  <c:v>-181.58</c:v>
                </c:pt>
                <c:pt idx="38">
                  <c:v>-146.42999999999998</c:v>
                </c:pt>
                <c:pt idx="39">
                  <c:v>-128.18</c:v>
                </c:pt>
                <c:pt idx="40">
                  <c:v>-345.59</c:v>
                </c:pt>
                <c:pt idx="41">
                  <c:v>-371.31999999999994</c:v>
                </c:pt>
                <c:pt idx="42">
                  <c:v>-288.56</c:v>
                </c:pt>
                <c:pt idx="43">
                  <c:v>-132.13999999999999</c:v>
                </c:pt>
                <c:pt idx="44">
                  <c:v>-168.77</c:v>
                </c:pt>
                <c:pt idx="45">
                  <c:v>-86.65</c:v>
                </c:pt>
                <c:pt idx="46">
                  <c:v>-174.67000000000002</c:v>
                </c:pt>
                <c:pt idx="47">
                  <c:v>-742.09</c:v>
                </c:pt>
                <c:pt idx="48">
                  <c:v>-147.6</c:v>
                </c:pt>
                <c:pt idx="49">
                  <c:v>-15.58</c:v>
                </c:pt>
                <c:pt idx="50">
                  <c:v>-268.89</c:v>
                </c:pt>
                <c:pt idx="51">
                  <c:v>-1054.94</c:v>
                </c:pt>
                <c:pt idx="52">
                  <c:v>-77.819999999999993</c:v>
                </c:pt>
                <c:pt idx="53">
                  <c:v>-278.35000000000002</c:v>
                </c:pt>
                <c:pt idx="54">
                  <c:v>-45.4</c:v>
                </c:pt>
                <c:pt idx="55">
                  <c:v>-198.67000000000004</c:v>
                </c:pt>
                <c:pt idx="56">
                  <c:v>-474.78</c:v>
                </c:pt>
                <c:pt idx="57">
                  <c:v>-154.67999999999998</c:v>
                </c:pt>
                <c:pt idx="58">
                  <c:v>-315.44</c:v>
                </c:pt>
                <c:pt idx="59">
                  <c:v>-41.02</c:v>
                </c:pt>
                <c:pt idx="60">
                  <c:v>-9.15</c:v>
                </c:pt>
                <c:pt idx="61">
                  <c:v>-185.72</c:v>
                </c:pt>
                <c:pt idx="62">
                  <c:v>0</c:v>
                </c:pt>
                <c:pt idx="63">
                  <c:v>-607.96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</c:ser>
        <c:ser>
          <c:idx val="4"/>
          <c:order val="4"/>
          <c:tx>
            <c:strRef>
              <c:f>Overview!$G$2</c:f>
              <c:strCache>
                <c:ptCount val="1"/>
                <c:pt idx="0">
                  <c:v>Home</c:v>
                </c:pt>
              </c:strCache>
            </c:strRef>
          </c:tx>
          <c:invertIfNegative val="0"/>
          <c:cat>
            <c:multiLvlStrRef>
              <c:f>Overview!$A$3:$B$147</c:f>
              <c:multiLvlStrCache>
                <c:ptCount val="145"/>
                <c:lvl>
                  <c:pt idx="1">
                    <c:v>January 2019</c:v>
                  </c:pt>
                  <c:pt idx="2">
                    <c:v>February 2019</c:v>
                  </c:pt>
                  <c:pt idx="3">
                    <c:v>March 2019</c:v>
                  </c:pt>
                  <c:pt idx="4">
                    <c:v>April 2019</c:v>
                  </c:pt>
                  <c:pt idx="5">
                    <c:v>May 2019</c:v>
                  </c:pt>
                  <c:pt idx="6">
                    <c:v>June 2019</c:v>
                  </c:pt>
                  <c:pt idx="7">
                    <c:v>July 2019</c:v>
                  </c:pt>
                  <c:pt idx="8">
                    <c:v>August 2019</c:v>
                  </c:pt>
                  <c:pt idx="9">
                    <c:v>September 2019</c:v>
                  </c:pt>
                  <c:pt idx="10">
                    <c:v>October 2019</c:v>
                  </c:pt>
                  <c:pt idx="11">
                    <c:v>November 2019</c:v>
                  </c:pt>
                  <c:pt idx="12">
                    <c:v>December 2019</c:v>
                  </c:pt>
                  <c:pt idx="13">
                    <c:v>January 2020</c:v>
                  </c:pt>
                  <c:pt idx="14">
                    <c:v>February 2020</c:v>
                  </c:pt>
                  <c:pt idx="15">
                    <c:v>March 2020</c:v>
                  </c:pt>
                  <c:pt idx="16">
                    <c:v>April 2020</c:v>
                  </c:pt>
                  <c:pt idx="17">
                    <c:v>May 2020</c:v>
                  </c:pt>
                  <c:pt idx="18">
                    <c:v>June 2020</c:v>
                  </c:pt>
                  <c:pt idx="19">
                    <c:v>July 2020</c:v>
                  </c:pt>
                  <c:pt idx="20">
                    <c:v>August 2020</c:v>
                  </c:pt>
                  <c:pt idx="21">
                    <c:v>September 2020</c:v>
                  </c:pt>
                  <c:pt idx="22">
                    <c:v>October 2020</c:v>
                  </c:pt>
                  <c:pt idx="23">
                    <c:v>November 2020</c:v>
                  </c:pt>
                  <c:pt idx="24">
                    <c:v>December 2020</c:v>
                  </c:pt>
                  <c:pt idx="25">
                    <c:v>January 2021</c:v>
                  </c:pt>
                  <c:pt idx="26">
                    <c:v>February 2021</c:v>
                  </c:pt>
                  <c:pt idx="27">
                    <c:v>March 2021</c:v>
                  </c:pt>
                  <c:pt idx="28">
                    <c:v>April 2021</c:v>
                  </c:pt>
                  <c:pt idx="29">
                    <c:v>May 2021</c:v>
                  </c:pt>
                  <c:pt idx="30">
                    <c:v>June 2021</c:v>
                  </c:pt>
                  <c:pt idx="31">
                    <c:v>July 2021</c:v>
                  </c:pt>
                  <c:pt idx="32">
                    <c:v>August 2021</c:v>
                  </c:pt>
                  <c:pt idx="33">
                    <c:v>September 2021</c:v>
                  </c:pt>
                  <c:pt idx="34">
                    <c:v>October 2021</c:v>
                  </c:pt>
                  <c:pt idx="35">
                    <c:v>November 2021</c:v>
                  </c:pt>
                  <c:pt idx="36">
                    <c:v>December 2021</c:v>
                  </c:pt>
                  <c:pt idx="37">
                    <c:v>January 2022</c:v>
                  </c:pt>
                  <c:pt idx="38">
                    <c:v>February 2022</c:v>
                  </c:pt>
                  <c:pt idx="39">
                    <c:v>March 2022</c:v>
                  </c:pt>
                  <c:pt idx="40">
                    <c:v>April 2022</c:v>
                  </c:pt>
                  <c:pt idx="41">
                    <c:v>May 2022</c:v>
                  </c:pt>
                  <c:pt idx="42">
                    <c:v>June 2022</c:v>
                  </c:pt>
                  <c:pt idx="43">
                    <c:v>July 2022</c:v>
                  </c:pt>
                  <c:pt idx="44">
                    <c:v>August 2022</c:v>
                  </c:pt>
                  <c:pt idx="45">
                    <c:v>September 2022</c:v>
                  </c:pt>
                  <c:pt idx="46">
                    <c:v>October 2022</c:v>
                  </c:pt>
                  <c:pt idx="47">
                    <c:v>November 2022</c:v>
                  </c:pt>
                  <c:pt idx="48">
                    <c:v>December 2022</c:v>
                  </c:pt>
                  <c:pt idx="49">
                    <c:v>January 2023</c:v>
                  </c:pt>
                  <c:pt idx="50">
                    <c:v>February 2023</c:v>
                  </c:pt>
                  <c:pt idx="51">
                    <c:v>March 2023</c:v>
                  </c:pt>
                  <c:pt idx="52">
                    <c:v>April 2023</c:v>
                  </c:pt>
                  <c:pt idx="53">
                    <c:v>May 2023</c:v>
                  </c:pt>
                  <c:pt idx="54">
                    <c:v>June 2023</c:v>
                  </c:pt>
                  <c:pt idx="55">
                    <c:v>July 2023</c:v>
                  </c:pt>
                  <c:pt idx="56">
                    <c:v>August 2023</c:v>
                  </c:pt>
                  <c:pt idx="57">
                    <c:v>September 2023</c:v>
                  </c:pt>
                  <c:pt idx="58">
                    <c:v>October 2023</c:v>
                  </c:pt>
                  <c:pt idx="59">
                    <c:v>November 2023</c:v>
                  </c:pt>
                  <c:pt idx="60">
                    <c:v>December 2023</c:v>
                  </c:pt>
                  <c:pt idx="61">
                    <c:v>January 2024</c:v>
                  </c:pt>
                  <c:pt idx="62">
                    <c:v>February 2024</c:v>
                  </c:pt>
                  <c:pt idx="63">
                    <c:v>March 2024</c:v>
                  </c:pt>
                  <c:pt idx="64">
                    <c:v>April 2024</c:v>
                  </c:pt>
                  <c:pt idx="65">
                    <c:v>May 2024</c:v>
                  </c:pt>
                  <c:pt idx="66">
                    <c:v>June 2024</c:v>
                  </c:pt>
                  <c:pt idx="67">
                    <c:v>July 2024</c:v>
                  </c:pt>
                  <c:pt idx="68">
                    <c:v>August 2024</c:v>
                  </c:pt>
                  <c:pt idx="69">
                    <c:v>September 2024</c:v>
                  </c:pt>
                  <c:pt idx="70">
                    <c:v>October 2024</c:v>
                  </c:pt>
                  <c:pt idx="71">
                    <c:v>November 2024</c:v>
                  </c:pt>
                  <c:pt idx="72">
                    <c:v>December 2024</c:v>
                  </c:pt>
                  <c:pt idx="73">
                    <c:v>January 2025</c:v>
                  </c:pt>
                  <c:pt idx="74">
                    <c:v>February 2025</c:v>
                  </c:pt>
                  <c:pt idx="75">
                    <c:v>March 2025</c:v>
                  </c:pt>
                  <c:pt idx="76">
                    <c:v>April 2025</c:v>
                  </c:pt>
                  <c:pt idx="77">
                    <c:v>May 2025</c:v>
                  </c:pt>
                  <c:pt idx="78">
                    <c:v>June 2025</c:v>
                  </c:pt>
                  <c:pt idx="79">
                    <c:v>July 2025</c:v>
                  </c:pt>
                  <c:pt idx="80">
                    <c:v>August 2025</c:v>
                  </c:pt>
                  <c:pt idx="81">
                    <c:v>September 2025</c:v>
                  </c:pt>
                  <c:pt idx="82">
                    <c:v>October 2025</c:v>
                  </c:pt>
                  <c:pt idx="83">
                    <c:v>November 2025</c:v>
                  </c:pt>
                  <c:pt idx="84">
                    <c:v>December 2025</c:v>
                  </c:pt>
                  <c:pt idx="85">
                    <c:v>January 2026</c:v>
                  </c:pt>
                  <c:pt idx="86">
                    <c:v>February 2026</c:v>
                  </c:pt>
                  <c:pt idx="87">
                    <c:v>March 2026</c:v>
                  </c:pt>
                  <c:pt idx="88">
                    <c:v>April 2026</c:v>
                  </c:pt>
                  <c:pt idx="89">
                    <c:v>May 2026</c:v>
                  </c:pt>
                  <c:pt idx="90">
                    <c:v>June 2026</c:v>
                  </c:pt>
                  <c:pt idx="91">
                    <c:v>July 2026</c:v>
                  </c:pt>
                  <c:pt idx="92">
                    <c:v>August 2026</c:v>
                  </c:pt>
                  <c:pt idx="93">
                    <c:v>September 2026</c:v>
                  </c:pt>
                  <c:pt idx="94">
                    <c:v>October 2026</c:v>
                  </c:pt>
                  <c:pt idx="95">
                    <c:v>November 2026</c:v>
                  </c:pt>
                  <c:pt idx="96">
                    <c:v>December 2026</c:v>
                  </c:pt>
                  <c:pt idx="97">
                    <c:v>January 2027</c:v>
                  </c:pt>
                  <c:pt idx="98">
                    <c:v>February 2027</c:v>
                  </c:pt>
                  <c:pt idx="99">
                    <c:v>March 2027</c:v>
                  </c:pt>
                  <c:pt idx="100">
                    <c:v>April 2027</c:v>
                  </c:pt>
                  <c:pt idx="101">
                    <c:v>May 2027</c:v>
                  </c:pt>
                  <c:pt idx="102">
                    <c:v>June 2027</c:v>
                  </c:pt>
                  <c:pt idx="103">
                    <c:v>July 2027</c:v>
                  </c:pt>
                  <c:pt idx="104">
                    <c:v>August 2027</c:v>
                  </c:pt>
                  <c:pt idx="105">
                    <c:v>September 2027</c:v>
                  </c:pt>
                  <c:pt idx="106">
                    <c:v>October 2027</c:v>
                  </c:pt>
                  <c:pt idx="107">
                    <c:v>November 2027</c:v>
                  </c:pt>
                  <c:pt idx="108">
                    <c:v>December 2027</c:v>
                  </c:pt>
                  <c:pt idx="109">
                    <c:v>January 2028</c:v>
                  </c:pt>
                  <c:pt idx="110">
                    <c:v>February 2028</c:v>
                  </c:pt>
                  <c:pt idx="111">
                    <c:v>March 2028</c:v>
                  </c:pt>
                  <c:pt idx="112">
                    <c:v>April 2028</c:v>
                  </c:pt>
                  <c:pt idx="113">
                    <c:v>May 2028</c:v>
                  </c:pt>
                  <c:pt idx="114">
                    <c:v>June 2028</c:v>
                  </c:pt>
                  <c:pt idx="115">
                    <c:v>July 2028</c:v>
                  </c:pt>
                  <c:pt idx="116">
                    <c:v>August 2028</c:v>
                  </c:pt>
                  <c:pt idx="117">
                    <c:v>September 2028</c:v>
                  </c:pt>
                  <c:pt idx="118">
                    <c:v>October 2028</c:v>
                  </c:pt>
                  <c:pt idx="119">
                    <c:v>November 2028</c:v>
                  </c:pt>
                  <c:pt idx="120">
                    <c:v>December 2028</c:v>
                  </c:pt>
                  <c:pt idx="121">
                    <c:v>January 2029</c:v>
                  </c:pt>
                  <c:pt idx="122">
                    <c:v>February 2029</c:v>
                  </c:pt>
                  <c:pt idx="123">
                    <c:v>March 2029</c:v>
                  </c:pt>
                  <c:pt idx="124">
                    <c:v>April 2029</c:v>
                  </c:pt>
                  <c:pt idx="125">
                    <c:v>May 2029</c:v>
                  </c:pt>
                  <c:pt idx="126">
                    <c:v>June 2029</c:v>
                  </c:pt>
                  <c:pt idx="127">
                    <c:v>July 2029</c:v>
                  </c:pt>
                  <c:pt idx="128">
                    <c:v>August 2029</c:v>
                  </c:pt>
                  <c:pt idx="129">
                    <c:v>September 2029</c:v>
                  </c:pt>
                  <c:pt idx="130">
                    <c:v>October 2029</c:v>
                  </c:pt>
                  <c:pt idx="131">
                    <c:v>November 2029</c:v>
                  </c:pt>
                  <c:pt idx="132">
                    <c:v>December 2029</c:v>
                  </c:pt>
                  <c:pt idx="133">
                    <c:v>January 2030</c:v>
                  </c:pt>
                  <c:pt idx="134">
                    <c:v>February 2030</c:v>
                  </c:pt>
                  <c:pt idx="135">
                    <c:v>March 2030</c:v>
                  </c:pt>
                  <c:pt idx="136">
                    <c:v>April 2030</c:v>
                  </c:pt>
                  <c:pt idx="137">
                    <c:v>May 2030</c:v>
                  </c:pt>
                  <c:pt idx="138">
                    <c:v>June 2030</c:v>
                  </c:pt>
                  <c:pt idx="139">
                    <c:v>July 2030</c:v>
                  </c:pt>
                  <c:pt idx="140">
                    <c:v>August 2030</c:v>
                  </c:pt>
                  <c:pt idx="141">
                    <c:v>September 2030</c:v>
                  </c:pt>
                  <c:pt idx="142">
                    <c:v>October 2030</c:v>
                  </c:pt>
                  <c:pt idx="143">
                    <c:v>November 2030</c:v>
                  </c:pt>
                  <c:pt idx="144">
                    <c:v>December 2030</c:v>
                  </c:pt>
                </c:lvl>
                <c:lvl>
                  <c:pt idx="1">
                    <c:v>2019-01-01</c:v>
                  </c:pt>
                  <c:pt idx="2">
                    <c:v>2019-02-01</c:v>
                  </c:pt>
                  <c:pt idx="3">
                    <c:v>2019-03-01</c:v>
                  </c:pt>
                  <c:pt idx="4">
                    <c:v>2019-04-01</c:v>
                  </c:pt>
                  <c:pt idx="5">
                    <c:v>2019-05-01</c:v>
                  </c:pt>
                  <c:pt idx="6">
                    <c:v>2019-06-01</c:v>
                  </c:pt>
                  <c:pt idx="7">
                    <c:v>2019-07-01</c:v>
                  </c:pt>
                  <c:pt idx="8">
                    <c:v>2019-08-01</c:v>
                  </c:pt>
                  <c:pt idx="9">
                    <c:v>2019-09-01</c:v>
                  </c:pt>
                  <c:pt idx="10">
                    <c:v>2019-10-01</c:v>
                  </c:pt>
                  <c:pt idx="11">
                    <c:v>2019-11-01</c:v>
                  </c:pt>
                  <c:pt idx="12">
                    <c:v>2019-12-01</c:v>
                  </c:pt>
                  <c:pt idx="13">
                    <c:v>2020-01-01</c:v>
                  </c:pt>
                  <c:pt idx="14">
                    <c:v>2020-02-01</c:v>
                  </c:pt>
                  <c:pt idx="15">
                    <c:v>2020-03-01</c:v>
                  </c:pt>
                  <c:pt idx="16">
                    <c:v>2020-04-01</c:v>
                  </c:pt>
                  <c:pt idx="17">
                    <c:v>2020-05-01</c:v>
                  </c:pt>
                  <c:pt idx="18">
                    <c:v>2020-06-01</c:v>
                  </c:pt>
                  <c:pt idx="19">
                    <c:v>2020-07-01</c:v>
                  </c:pt>
                  <c:pt idx="20">
                    <c:v>2020-08-01</c:v>
                  </c:pt>
                  <c:pt idx="21">
                    <c:v>2020-09-01</c:v>
                  </c:pt>
                  <c:pt idx="22">
                    <c:v>2020-10-01</c:v>
                  </c:pt>
                  <c:pt idx="23">
                    <c:v>2020-11-01</c:v>
                  </c:pt>
                  <c:pt idx="24">
                    <c:v>2020-12-01</c:v>
                  </c:pt>
                  <c:pt idx="25">
                    <c:v>2021-01-01</c:v>
                  </c:pt>
                  <c:pt idx="26">
                    <c:v>2021-02-01</c:v>
                  </c:pt>
                  <c:pt idx="27">
                    <c:v>2021-03-01</c:v>
                  </c:pt>
                  <c:pt idx="28">
                    <c:v>2021-04-01</c:v>
                  </c:pt>
                  <c:pt idx="29">
                    <c:v>2021-05-01</c:v>
                  </c:pt>
                  <c:pt idx="30">
                    <c:v>2021-06-01</c:v>
                  </c:pt>
                  <c:pt idx="31">
                    <c:v>2021-07-01</c:v>
                  </c:pt>
                  <c:pt idx="32">
                    <c:v>2021-08-01</c:v>
                  </c:pt>
                  <c:pt idx="33">
                    <c:v>2021-09-01</c:v>
                  </c:pt>
                  <c:pt idx="34">
                    <c:v>2021-10-01</c:v>
                  </c:pt>
                  <c:pt idx="35">
                    <c:v>2021-11-01</c:v>
                  </c:pt>
                  <c:pt idx="36">
                    <c:v>2021-12-01</c:v>
                  </c:pt>
                  <c:pt idx="37">
                    <c:v>2022-01-01</c:v>
                  </c:pt>
                  <c:pt idx="38">
                    <c:v>2022-02-01</c:v>
                  </c:pt>
                  <c:pt idx="39">
                    <c:v>2022-03-01</c:v>
                  </c:pt>
                  <c:pt idx="40">
                    <c:v>2022-04-01</c:v>
                  </c:pt>
                  <c:pt idx="41">
                    <c:v>2022-05-01</c:v>
                  </c:pt>
                  <c:pt idx="42">
                    <c:v>2022-06-01</c:v>
                  </c:pt>
                  <c:pt idx="43">
                    <c:v>2022-07-01</c:v>
                  </c:pt>
                  <c:pt idx="44">
                    <c:v>2022-08-01</c:v>
                  </c:pt>
                  <c:pt idx="45">
                    <c:v>2022-09-01</c:v>
                  </c:pt>
                  <c:pt idx="46">
                    <c:v>2022-10-01</c:v>
                  </c:pt>
                  <c:pt idx="47">
                    <c:v>2022-11-01</c:v>
                  </c:pt>
                  <c:pt idx="48">
                    <c:v>2022-12-01</c:v>
                  </c:pt>
                  <c:pt idx="49">
                    <c:v>2023-01-01</c:v>
                  </c:pt>
                  <c:pt idx="50">
                    <c:v>2023-02-01</c:v>
                  </c:pt>
                  <c:pt idx="51">
                    <c:v>2023-03-01</c:v>
                  </c:pt>
                  <c:pt idx="52">
                    <c:v>2023-04-01</c:v>
                  </c:pt>
                  <c:pt idx="53">
                    <c:v>2023-05-01</c:v>
                  </c:pt>
                  <c:pt idx="54">
                    <c:v>2023-06-01</c:v>
                  </c:pt>
                  <c:pt idx="55">
                    <c:v>2023-07-01</c:v>
                  </c:pt>
                  <c:pt idx="56">
                    <c:v>2023-08-01</c:v>
                  </c:pt>
                  <c:pt idx="57">
                    <c:v>2023-09-01</c:v>
                  </c:pt>
                  <c:pt idx="58">
                    <c:v>2023-10-01</c:v>
                  </c:pt>
                  <c:pt idx="59">
                    <c:v>2023-11-01</c:v>
                  </c:pt>
                  <c:pt idx="60">
                    <c:v>2023-12-01</c:v>
                  </c:pt>
                  <c:pt idx="61">
                    <c:v>2024-01-01</c:v>
                  </c:pt>
                  <c:pt idx="62">
                    <c:v>2024-02-01</c:v>
                  </c:pt>
                  <c:pt idx="63">
                    <c:v>2024-03-01</c:v>
                  </c:pt>
                  <c:pt idx="64">
                    <c:v>2024-04-01</c:v>
                  </c:pt>
                  <c:pt idx="65">
                    <c:v>2024-05-01</c:v>
                  </c:pt>
                  <c:pt idx="66">
                    <c:v>2024-06-01</c:v>
                  </c:pt>
                  <c:pt idx="67">
                    <c:v>2024-07-01</c:v>
                  </c:pt>
                  <c:pt idx="68">
                    <c:v>2024-08-01</c:v>
                  </c:pt>
                  <c:pt idx="69">
                    <c:v>2024-09-01</c:v>
                  </c:pt>
                  <c:pt idx="70">
                    <c:v>2024-10-01</c:v>
                  </c:pt>
                  <c:pt idx="71">
                    <c:v>2024-11-01</c:v>
                  </c:pt>
                  <c:pt idx="72">
                    <c:v>2024-12-01</c:v>
                  </c:pt>
                  <c:pt idx="73">
                    <c:v>2025-01-01</c:v>
                  </c:pt>
                  <c:pt idx="74">
                    <c:v>2025-02-01</c:v>
                  </c:pt>
                  <c:pt idx="75">
                    <c:v>2025-03-01</c:v>
                  </c:pt>
                  <c:pt idx="76">
                    <c:v>2025-04-01</c:v>
                  </c:pt>
                  <c:pt idx="77">
                    <c:v>2025-05-01</c:v>
                  </c:pt>
                  <c:pt idx="78">
                    <c:v>2025-06-01</c:v>
                  </c:pt>
                  <c:pt idx="79">
                    <c:v>2025-07-01</c:v>
                  </c:pt>
                  <c:pt idx="80">
                    <c:v>2025-08-01</c:v>
                  </c:pt>
                  <c:pt idx="81">
                    <c:v>2025-09-01</c:v>
                  </c:pt>
                  <c:pt idx="82">
                    <c:v>2025-10-01</c:v>
                  </c:pt>
                  <c:pt idx="83">
                    <c:v>2025-11-01</c:v>
                  </c:pt>
                  <c:pt idx="84">
                    <c:v>2025-12-01</c:v>
                  </c:pt>
                  <c:pt idx="85">
                    <c:v>2026-01-01</c:v>
                  </c:pt>
                  <c:pt idx="86">
                    <c:v>2026-02-01</c:v>
                  </c:pt>
                  <c:pt idx="87">
                    <c:v>2026-03-01</c:v>
                  </c:pt>
                  <c:pt idx="88">
                    <c:v>2026-04-01</c:v>
                  </c:pt>
                  <c:pt idx="89">
                    <c:v>2026-05-01</c:v>
                  </c:pt>
                  <c:pt idx="90">
                    <c:v>2026-06-01</c:v>
                  </c:pt>
                  <c:pt idx="91">
                    <c:v>2026-07-01</c:v>
                  </c:pt>
                  <c:pt idx="92">
                    <c:v>2026-08-01</c:v>
                  </c:pt>
                  <c:pt idx="93">
                    <c:v>2026-09-01</c:v>
                  </c:pt>
                  <c:pt idx="94">
                    <c:v>2026-10-01</c:v>
                  </c:pt>
                  <c:pt idx="95">
                    <c:v>2026-11-01</c:v>
                  </c:pt>
                  <c:pt idx="96">
                    <c:v>2026-12-01</c:v>
                  </c:pt>
                  <c:pt idx="97">
                    <c:v>2027-01-01</c:v>
                  </c:pt>
                  <c:pt idx="98">
                    <c:v>2027-02-01</c:v>
                  </c:pt>
                  <c:pt idx="99">
                    <c:v>2027-03-01</c:v>
                  </c:pt>
                  <c:pt idx="100">
                    <c:v>2027-04-01</c:v>
                  </c:pt>
                  <c:pt idx="101">
                    <c:v>2027-05-01</c:v>
                  </c:pt>
                  <c:pt idx="102">
                    <c:v>2027-06-01</c:v>
                  </c:pt>
                  <c:pt idx="103">
                    <c:v>2027-07-01</c:v>
                  </c:pt>
                  <c:pt idx="104">
                    <c:v>2027-08-01</c:v>
                  </c:pt>
                  <c:pt idx="105">
                    <c:v>2027-09-01</c:v>
                  </c:pt>
                  <c:pt idx="106">
                    <c:v>2027-10-01</c:v>
                  </c:pt>
                  <c:pt idx="107">
                    <c:v>2027-11-01</c:v>
                  </c:pt>
                  <c:pt idx="108">
                    <c:v>2027-12-01</c:v>
                  </c:pt>
                  <c:pt idx="109">
                    <c:v>2028-01-01</c:v>
                  </c:pt>
                  <c:pt idx="110">
                    <c:v>2028-02-01</c:v>
                  </c:pt>
                  <c:pt idx="111">
                    <c:v>2028-03-01</c:v>
                  </c:pt>
                  <c:pt idx="112">
                    <c:v>2028-04-01</c:v>
                  </c:pt>
                  <c:pt idx="113">
                    <c:v>2028-05-01</c:v>
                  </c:pt>
                  <c:pt idx="114">
                    <c:v>2028-06-01</c:v>
                  </c:pt>
                  <c:pt idx="115">
                    <c:v>2028-07-01</c:v>
                  </c:pt>
                  <c:pt idx="116">
                    <c:v>2028-08-01</c:v>
                  </c:pt>
                  <c:pt idx="117">
                    <c:v>2028-09-01</c:v>
                  </c:pt>
                  <c:pt idx="118">
                    <c:v>2028-10-01</c:v>
                  </c:pt>
                  <c:pt idx="119">
                    <c:v>2028-11-01</c:v>
                  </c:pt>
                  <c:pt idx="120">
                    <c:v>2028-12-01</c:v>
                  </c:pt>
                  <c:pt idx="121">
                    <c:v>2029-01-01</c:v>
                  </c:pt>
                  <c:pt idx="122">
                    <c:v>2029-02-01</c:v>
                  </c:pt>
                  <c:pt idx="123">
                    <c:v>2029-03-01</c:v>
                  </c:pt>
                  <c:pt idx="124">
                    <c:v>2029-04-01</c:v>
                  </c:pt>
                  <c:pt idx="125">
                    <c:v>2029-05-01</c:v>
                  </c:pt>
                  <c:pt idx="126">
                    <c:v>2029-06-01</c:v>
                  </c:pt>
                  <c:pt idx="127">
                    <c:v>2029-07-01</c:v>
                  </c:pt>
                  <c:pt idx="128">
                    <c:v>2029-08-01</c:v>
                  </c:pt>
                  <c:pt idx="129">
                    <c:v>2029-09-01</c:v>
                  </c:pt>
                  <c:pt idx="130">
                    <c:v>2029-10-01</c:v>
                  </c:pt>
                  <c:pt idx="131">
                    <c:v>2029-11-01</c:v>
                  </c:pt>
                  <c:pt idx="132">
                    <c:v>2029-12-01</c:v>
                  </c:pt>
                  <c:pt idx="133">
                    <c:v>2030-01-01</c:v>
                  </c:pt>
                  <c:pt idx="134">
                    <c:v>2030-02-01</c:v>
                  </c:pt>
                  <c:pt idx="135">
                    <c:v>2030-03-01</c:v>
                  </c:pt>
                  <c:pt idx="136">
                    <c:v>2030-04-01</c:v>
                  </c:pt>
                  <c:pt idx="137">
                    <c:v>2030-05-01</c:v>
                  </c:pt>
                  <c:pt idx="138">
                    <c:v>2030-06-01</c:v>
                  </c:pt>
                  <c:pt idx="139">
                    <c:v>2030-07-01</c:v>
                  </c:pt>
                  <c:pt idx="140">
                    <c:v>2030-08-01</c:v>
                  </c:pt>
                  <c:pt idx="141">
                    <c:v>2030-09-01</c:v>
                  </c:pt>
                  <c:pt idx="142">
                    <c:v>2030-10-01</c:v>
                  </c:pt>
                  <c:pt idx="143">
                    <c:v>2030-11-01</c:v>
                  </c:pt>
                  <c:pt idx="144">
                    <c:v>2030-12-01</c:v>
                  </c:pt>
                </c:lvl>
              </c:multiLvlStrCache>
            </c:multiLvlStrRef>
          </c:cat>
          <c:val>
            <c:numRef>
              <c:f>Overview!$G$3:$G$147</c:f>
              <c:numCache>
                <c:formatCode>_("$"* #,##0.00_);_("$"* \(#,##0.00\);_("$"* "-"??_);_(@_)</c:formatCode>
                <c:ptCount val="14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-117.18</c:v>
                </c:pt>
                <c:pt idx="13">
                  <c:v>-11.09</c:v>
                </c:pt>
                <c:pt idx="14">
                  <c:v>0</c:v>
                </c:pt>
                <c:pt idx="15">
                  <c:v>-5.54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-201.95</c:v>
                </c:pt>
                <c:pt idx="20">
                  <c:v>-2503.88</c:v>
                </c:pt>
                <c:pt idx="21">
                  <c:v>0</c:v>
                </c:pt>
                <c:pt idx="22">
                  <c:v>-110.97</c:v>
                </c:pt>
                <c:pt idx="23">
                  <c:v>-103.18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-194.23</c:v>
                </c:pt>
                <c:pt idx="28">
                  <c:v>-511.65999999999997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-7.76</c:v>
                </c:pt>
                <c:pt idx="34">
                  <c:v>0</c:v>
                </c:pt>
                <c:pt idx="35">
                  <c:v>0</c:v>
                </c:pt>
                <c:pt idx="36">
                  <c:v>-22.19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-11.09</c:v>
                </c:pt>
                <c:pt idx="42">
                  <c:v>0</c:v>
                </c:pt>
                <c:pt idx="43">
                  <c:v>0</c:v>
                </c:pt>
                <c:pt idx="44">
                  <c:v>-113.73</c:v>
                </c:pt>
                <c:pt idx="45">
                  <c:v>0</c:v>
                </c:pt>
                <c:pt idx="46">
                  <c:v>-62.92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-22.19</c:v>
                </c:pt>
                <c:pt idx="52">
                  <c:v>0</c:v>
                </c:pt>
                <c:pt idx="53">
                  <c:v>-100.94</c:v>
                </c:pt>
                <c:pt idx="54">
                  <c:v>0</c:v>
                </c:pt>
                <c:pt idx="55">
                  <c:v>-22.19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-207.97</c:v>
                </c:pt>
                <c:pt idx="61">
                  <c:v>0</c:v>
                </c:pt>
                <c:pt idx="62">
                  <c:v>0</c:v>
                </c:pt>
                <c:pt idx="63">
                  <c:v>-153.16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</c:ser>
        <c:ser>
          <c:idx val="5"/>
          <c:order val="5"/>
          <c:tx>
            <c:strRef>
              <c:f>Overview!$H$2</c:f>
              <c:strCache>
                <c:ptCount val="1"/>
                <c:pt idx="0">
                  <c:v>Misc</c:v>
                </c:pt>
              </c:strCache>
            </c:strRef>
          </c:tx>
          <c:invertIfNegative val="0"/>
          <c:cat>
            <c:multiLvlStrRef>
              <c:f>Overview!$A$3:$B$147</c:f>
              <c:multiLvlStrCache>
                <c:ptCount val="145"/>
                <c:lvl>
                  <c:pt idx="1">
                    <c:v>January 2019</c:v>
                  </c:pt>
                  <c:pt idx="2">
                    <c:v>February 2019</c:v>
                  </c:pt>
                  <c:pt idx="3">
                    <c:v>March 2019</c:v>
                  </c:pt>
                  <c:pt idx="4">
                    <c:v>April 2019</c:v>
                  </c:pt>
                  <c:pt idx="5">
                    <c:v>May 2019</c:v>
                  </c:pt>
                  <c:pt idx="6">
                    <c:v>June 2019</c:v>
                  </c:pt>
                  <c:pt idx="7">
                    <c:v>July 2019</c:v>
                  </c:pt>
                  <c:pt idx="8">
                    <c:v>August 2019</c:v>
                  </c:pt>
                  <c:pt idx="9">
                    <c:v>September 2019</c:v>
                  </c:pt>
                  <c:pt idx="10">
                    <c:v>October 2019</c:v>
                  </c:pt>
                  <c:pt idx="11">
                    <c:v>November 2019</c:v>
                  </c:pt>
                  <c:pt idx="12">
                    <c:v>December 2019</c:v>
                  </c:pt>
                  <c:pt idx="13">
                    <c:v>January 2020</c:v>
                  </c:pt>
                  <c:pt idx="14">
                    <c:v>February 2020</c:v>
                  </c:pt>
                  <c:pt idx="15">
                    <c:v>March 2020</c:v>
                  </c:pt>
                  <c:pt idx="16">
                    <c:v>April 2020</c:v>
                  </c:pt>
                  <c:pt idx="17">
                    <c:v>May 2020</c:v>
                  </c:pt>
                  <c:pt idx="18">
                    <c:v>June 2020</c:v>
                  </c:pt>
                  <c:pt idx="19">
                    <c:v>July 2020</c:v>
                  </c:pt>
                  <c:pt idx="20">
                    <c:v>August 2020</c:v>
                  </c:pt>
                  <c:pt idx="21">
                    <c:v>September 2020</c:v>
                  </c:pt>
                  <c:pt idx="22">
                    <c:v>October 2020</c:v>
                  </c:pt>
                  <c:pt idx="23">
                    <c:v>November 2020</c:v>
                  </c:pt>
                  <c:pt idx="24">
                    <c:v>December 2020</c:v>
                  </c:pt>
                  <c:pt idx="25">
                    <c:v>January 2021</c:v>
                  </c:pt>
                  <c:pt idx="26">
                    <c:v>February 2021</c:v>
                  </c:pt>
                  <c:pt idx="27">
                    <c:v>March 2021</c:v>
                  </c:pt>
                  <c:pt idx="28">
                    <c:v>April 2021</c:v>
                  </c:pt>
                  <c:pt idx="29">
                    <c:v>May 2021</c:v>
                  </c:pt>
                  <c:pt idx="30">
                    <c:v>June 2021</c:v>
                  </c:pt>
                  <c:pt idx="31">
                    <c:v>July 2021</c:v>
                  </c:pt>
                  <c:pt idx="32">
                    <c:v>August 2021</c:v>
                  </c:pt>
                  <c:pt idx="33">
                    <c:v>September 2021</c:v>
                  </c:pt>
                  <c:pt idx="34">
                    <c:v>October 2021</c:v>
                  </c:pt>
                  <c:pt idx="35">
                    <c:v>November 2021</c:v>
                  </c:pt>
                  <c:pt idx="36">
                    <c:v>December 2021</c:v>
                  </c:pt>
                  <c:pt idx="37">
                    <c:v>January 2022</c:v>
                  </c:pt>
                  <c:pt idx="38">
                    <c:v>February 2022</c:v>
                  </c:pt>
                  <c:pt idx="39">
                    <c:v>March 2022</c:v>
                  </c:pt>
                  <c:pt idx="40">
                    <c:v>April 2022</c:v>
                  </c:pt>
                  <c:pt idx="41">
                    <c:v>May 2022</c:v>
                  </c:pt>
                  <c:pt idx="42">
                    <c:v>June 2022</c:v>
                  </c:pt>
                  <c:pt idx="43">
                    <c:v>July 2022</c:v>
                  </c:pt>
                  <c:pt idx="44">
                    <c:v>August 2022</c:v>
                  </c:pt>
                  <c:pt idx="45">
                    <c:v>September 2022</c:v>
                  </c:pt>
                  <c:pt idx="46">
                    <c:v>October 2022</c:v>
                  </c:pt>
                  <c:pt idx="47">
                    <c:v>November 2022</c:v>
                  </c:pt>
                  <c:pt idx="48">
                    <c:v>December 2022</c:v>
                  </c:pt>
                  <c:pt idx="49">
                    <c:v>January 2023</c:v>
                  </c:pt>
                  <c:pt idx="50">
                    <c:v>February 2023</c:v>
                  </c:pt>
                  <c:pt idx="51">
                    <c:v>March 2023</c:v>
                  </c:pt>
                  <c:pt idx="52">
                    <c:v>April 2023</c:v>
                  </c:pt>
                  <c:pt idx="53">
                    <c:v>May 2023</c:v>
                  </c:pt>
                  <c:pt idx="54">
                    <c:v>June 2023</c:v>
                  </c:pt>
                  <c:pt idx="55">
                    <c:v>July 2023</c:v>
                  </c:pt>
                  <c:pt idx="56">
                    <c:v>August 2023</c:v>
                  </c:pt>
                  <c:pt idx="57">
                    <c:v>September 2023</c:v>
                  </c:pt>
                  <c:pt idx="58">
                    <c:v>October 2023</c:v>
                  </c:pt>
                  <c:pt idx="59">
                    <c:v>November 2023</c:v>
                  </c:pt>
                  <c:pt idx="60">
                    <c:v>December 2023</c:v>
                  </c:pt>
                  <c:pt idx="61">
                    <c:v>January 2024</c:v>
                  </c:pt>
                  <c:pt idx="62">
                    <c:v>February 2024</c:v>
                  </c:pt>
                  <c:pt idx="63">
                    <c:v>March 2024</c:v>
                  </c:pt>
                  <c:pt idx="64">
                    <c:v>April 2024</c:v>
                  </c:pt>
                  <c:pt idx="65">
                    <c:v>May 2024</c:v>
                  </c:pt>
                  <c:pt idx="66">
                    <c:v>June 2024</c:v>
                  </c:pt>
                  <c:pt idx="67">
                    <c:v>July 2024</c:v>
                  </c:pt>
                  <c:pt idx="68">
                    <c:v>August 2024</c:v>
                  </c:pt>
                  <c:pt idx="69">
                    <c:v>September 2024</c:v>
                  </c:pt>
                  <c:pt idx="70">
                    <c:v>October 2024</c:v>
                  </c:pt>
                  <c:pt idx="71">
                    <c:v>November 2024</c:v>
                  </c:pt>
                  <c:pt idx="72">
                    <c:v>December 2024</c:v>
                  </c:pt>
                  <c:pt idx="73">
                    <c:v>January 2025</c:v>
                  </c:pt>
                  <c:pt idx="74">
                    <c:v>February 2025</c:v>
                  </c:pt>
                  <c:pt idx="75">
                    <c:v>March 2025</c:v>
                  </c:pt>
                  <c:pt idx="76">
                    <c:v>April 2025</c:v>
                  </c:pt>
                  <c:pt idx="77">
                    <c:v>May 2025</c:v>
                  </c:pt>
                  <c:pt idx="78">
                    <c:v>June 2025</c:v>
                  </c:pt>
                  <c:pt idx="79">
                    <c:v>July 2025</c:v>
                  </c:pt>
                  <c:pt idx="80">
                    <c:v>August 2025</c:v>
                  </c:pt>
                  <c:pt idx="81">
                    <c:v>September 2025</c:v>
                  </c:pt>
                  <c:pt idx="82">
                    <c:v>October 2025</c:v>
                  </c:pt>
                  <c:pt idx="83">
                    <c:v>November 2025</c:v>
                  </c:pt>
                  <c:pt idx="84">
                    <c:v>December 2025</c:v>
                  </c:pt>
                  <c:pt idx="85">
                    <c:v>January 2026</c:v>
                  </c:pt>
                  <c:pt idx="86">
                    <c:v>February 2026</c:v>
                  </c:pt>
                  <c:pt idx="87">
                    <c:v>March 2026</c:v>
                  </c:pt>
                  <c:pt idx="88">
                    <c:v>April 2026</c:v>
                  </c:pt>
                  <c:pt idx="89">
                    <c:v>May 2026</c:v>
                  </c:pt>
                  <c:pt idx="90">
                    <c:v>June 2026</c:v>
                  </c:pt>
                  <c:pt idx="91">
                    <c:v>July 2026</c:v>
                  </c:pt>
                  <c:pt idx="92">
                    <c:v>August 2026</c:v>
                  </c:pt>
                  <c:pt idx="93">
                    <c:v>September 2026</c:v>
                  </c:pt>
                  <c:pt idx="94">
                    <c:v>October 2026</c:v>
                  </c:pt>
                  <c:pt idx="95">
                    <c:v>November 2026</c:v>
                  </c:pt>
                  <c:pt idx="96">
                    <c:v>December 2026</c:v>
                  </c:pt>
                  <c:pt idx="97">
                    <c:v>January 2027</c:v>
                  </c:pt>
                  <c:pt idx="98">
                    <c:v>February 2027</c:v>
                  </c:pt>
                  <c:pt idx="99">
                    <c:v>March 2027</c:v>
                  </c:pt>
                  <c:pt idx="100">
                    <c:v>April 2027</c:v>
                  </c:pt>
                  <c:pt idx="101">
                    <c:v>May 2027</c:v>
                  </c:pt>
                  <c:pt idx="102">
                    <c:v>June 2027</c:v>
                  </c:pt>
                  <c:pt idx="103">
                    <c:v>July 2027</c:v>
                  </c:pt>
                  <c:pt idx="104">
                    <c:v>August 2027</c:v>
                  </c:pt>
                  <c:pt idx="105">
                    <c:v>September 2027</c:v>
                  </c:pt>
                  <c:pt idx="106">
                    <c:v>October 2027</c:v>
                  </c:pt>
                  <c:pt idx="107">
                    <c:v>November 2027</c:v>
                  </c:pt>
                  <c:pt idx="108">
                    <c:v>December 2027</c:v>
                  </c:pt>
                  <c:pt idx="109">
                    <c:v>January 2028</c:v>
                  </c:pt>
                  <c:pt idx="110">
                    <c:v>February 2028</c:v>
                  </c:pt>
                  <c:pt idx="111">
                    <c:v>March 2028</c:v>
                  </c:pt>
                  <c:pt idx="112">
                    <c:v>April 2028</c:v>
                  </c:pt>
                  <c:pt idx="113">
                    <c:v>May 2028</c:v>
                  </c:pt>
                  <c:pt idx="114">
                    <c:v>June 2028</c:v>
                  </c:pt>
                  <c:pt idx="115">
                    <c:v>July 2028</c:v>
                  </c:pt>
                  <c:pt idx="116">
                    <c:v>August 2028</c:v>
                  </c:pt>
                  <c:pt idx="117">
                    <c:v>September 2028</c:v>
                  </c:pt>
                  <c:pt idx="118">
                    <c:v>October 2028</c:v>
                  </c:pt>
                  <c:pt idx="119">
                    <c:v>November 2028</c:v>
                  </c:pt>
                  <c:pt idx="120">
                    <c:v>December 2028</c:v>
                  </c:pt>
                  <c:pt idx="121">
                    <c:v>January 2029</c:v>
                  </c:pt>
                  <c:pt idx="122">
                    <c:v>February 2029</c:v>
                  </c:pt>
                  <c:pt idx="123">
                    <c:v>March 2029</c:v>
                  </c:pt>
                  <c:pt idx="124">
                    <c:v>April 2029</c:v>
                  </c:pt>
                  <c:pt idx="125">
                    <c:v>May 2029</c:v>
                  </c:pt>
                  <c:pt idx="126">
                    <c:v>June 2029</c:v>
                  </c:pt>
                  <c:pt idx="127">
                    <c:v>July 2029</c:v>
                  </c:pt>
                  <c:pt idx="128">
                    <c:v>August 2029</c:v>
                  </c:pt>
                  <c:pt idx="129">
                    <c:v>September 2029</c:v>
                  </c:pt>
                  <c:pt idx="130">
                    <c:v>October 2029</c:v>
                  </c:pt>
                  <c:pt idx="131">
                    <c:v>November 2029</c:v>
                  </c:pt>
                  <c:pt idx="132">
                    <c:v>December 2029</c:v>
                  </c:pt>
                  <c:pt idx="133">
                    <c:v>January 2030</c:v>
                  </c:pt>
                  <c:pt idx="134">
                    <c:v>February 2030</c:v>
                  </c:pt>
                  <c:pt idx="135">
                    <c:v>March 2030</c:v>
                  </c:pt>
                  <c:pt idx="136">
                    <c:v>April 2030</c:v>
                  </c:pt>
                  <c:pt idx="137">
                    <c:v>May 2030</c:v>
                  </c:pt>
                  <c:pt idx="138">
                    <c:v>June 2030</c:v>
                  </c:pt>
                  <c:pt idx="139">
                    <c:v>July 2030</c:v>
                  </c:pt>
                  <c:pt idx="140">
                    <c:v>August 2030</c:v>
                  </c:pt>
                  <c:pt idx="141">
                    <c:v>September 2030</c:v>
                  </c:pt>
                  <c:pt idx="142">
                    <c:v>October 2030</c:v>
                  </c:pt>
                  <c:pt idx="143">
                    <c:v>November 2030</c:v>
                  </c:pt>
                  <c:pt idx="144">
                    <c:v>December 2030</c:v>
                  </c:pt>
                </c:lvl>
                <c:lvl>
                  <c:pt idx="1">
                    <c:v>2019-01-01</c:v>
                  </c:pt>
                  <c:pt idx="2">
                    <c:v>2019-02-01</c:v>
                  </c:pt>
                  <c:pt idx="3">
                    <c:v>2019-03-01</c:v>
                  </c:pt>
                  <c:pt idx="4">
                    <c:v>2019-04-01</c:v>
                  </c:pt>
                  <c:pt idx="5">
                    <c:v>2019-05-01</c:v>
                  </c:pt>
                  <c:pt idx="6">
                    <c:v>2019-06-01</c:v>
                  </c:pt>
                  <c:pt idx="7">
                    <c:v>2019-07-01</c:v>
                  </c:pt>
                  <c:pt idx="8">
                    <c:v>2019-08-01</c:v>
                  </c:pt>
                  <c:pt idx="9">
                    <c:v>2019-09-01</c:v>
                  </c:pt>
                  <c:pt idx="10">
                    <c:v>2019-10-01</c:v>
                  </c:pt>
                  <c:pt idx="11">
                    <c:v>2019-11-01</c:v>
                  </c:pt>
                  <c:pt idx="12">
                    <c:v>2019-12-01</c:v>
                  </c:pt>
                  <c:pt idx="13">
                    <c:v>2020-01-01</c:v>
                  </c:pt>
                  <c:pt idx="14">
                    <c:v>2020-02-01</c:v>
                  </c:pt>
                  <c:pt idx="15">
                    <c:v>2020-03-01</c:v>
                  </c:pt>
                  <c:pt idx="16">
                    <c:v>2020-04-01</c:v>
                  </c:pt>
                  <c:pt idx="17">
                    <c:v>2020-05-01</c:v>
                  </c:pt>
                  <c:pt idx="18">
                    <c:v>2020-06-01</c:v>
                  </c:pt>
                  <c:pt idx="19">
                    <c:v>2020-07-01</c:v>
                  </c:pt>
                  <c:pt idx="20">
                    <c:v>2020-08-01</c:v>
                  </c:pt>
                  <c:pt idx="21">
                    <c:v>2020-09-01</c:v>
                  </c:pt>
                  <c:pt idx="22">
                    <c:v>2020-10-01</c:v>
                  </c:pt>
                  <c:pt idx="23">
                    <c:v>2020-11-01</c:v>
                  </c:pt>
                  <c:pt idx="24">
                    <c:v>2020-12-01</c:v>
                  </c:pt>
                  <c:pt idx="25">
                    <c:v>2021-01-01</c:v>
                  </c:pt>
                  <c:pt idx="26">
                    <c:v>2021-02-01</c:v>
                  </c:pt>
                  <c:pt idx="27">
                    <c:v>2021-03-01</c:v>
                  </c:pt>
                  <c:pt idx="28">
                    <c:v>2021-04-01</c:v>
                  </c:pt>
                  <c:pt idx="29">
                    <c:v>2021-05-01</c:v>
                  </c:pt>
                  <c:pt idx="30">
                    <c:v>2021-06-01</c:v>
                  </c:pt>
                  <c:pt idx="31">
                    <c:v>2021-07-01</c:v>
                  </c:pt>
                  <c:pt idx="32">
                    <c:v>2021-08-01</c:v>
                  </c:pt>
                  <c:pt idx="33">
                    <c:v>2021-09-01</c:v>
                  </c:pt>
                  <c:pt idx="34">
                    <c:v>2021-10-01</c:v>
                  </c:pt>
                  <c:pt idx="35">
                    <c:v>2021-11-01</c:v>
                  </c:pt>
                  <c:pt idx="36">
                    <c:v>2021-12-01</c:v>
                  </c:pt>
                  <c:pt idx="37">
                    <c:v>2022-01-01</c:v>
                  </c:pt>
                  <c:pt idx="38">
                    <c:v>2022-02-01</c:v>
                  </c:pt>
                  <c:pt idx="39">
                    <c:v>2022-03-01</c:v>
                  </c:pt>
                  <c:pt idx="40">
                    <c:v>2022-04-01</c:v>
                  </c:pt>
                  <c:pt idx="41">
                    <c:v>2022-05-01</c:v>
                  </c:pt>
                  <c:pt idx="42">
                    <c:v>2022-06-01</c:v>
                  </c:pt>
                  <c:pt idx="43">
                    <c:v>2022-07-01</c:v>
                  </c:pt>
                  <c:pt idx="44">
                    <c:v>2022-08-01</c:v>
                  </c:pt>
                  <c:pt idx="45">
                    <c:v>2022-09-01</c:v>
                  </c:pt>
                  <c:pt idx="46">
                    <c:v>2022-10-01</c:v>
                  </c:pt>
                  <c:pt idx="47">
                    <c:v>2022-11-01</c:v>
                  </c:pt>
                  <c:pt idx="48">
                    <c:v>2022-12-01</c:v>
                  </c:pt>
                  <c:pt idx="49">
                    <c:v>2023-01-01</c:v>
                  </c:pt>
                  <c:pt idx="50">
                    <c:v>2023-02-01</c:v>
                  </c:pt>
                  <c:pt idx="51">
                    <c:v>2023-03-01</c:v>
                  </c:pt>
                  <c:pt idx="52">
                    <c:v>2023-04-01</c:v>
                  </c:pt>
                  <c:pt idx="53">
                    <c:v>2023-05-01</c:v>
                  </c:pt>
                  <c:pt idx="54">
                    <c:v>2023-06-01</c:v>
                  </c:pt>
                  <c:pt idx="55">
                    <c:v>2023-07-01</c:v>
                  </c:pt>
                  <c:pt idx="56">
                    <c:v>2023-08-01</c:v>
                  </c:pt>
                  <c:pt idx="57">
                    <c:v>2023-09-01</c:v>
                  </c:pt>
                  <c:pt idx="58">
                    <c:v>2023-10-01</c:v>
                  </c:pt>
                  <c:pt idx="59">
                    <c:v>2023-11-01</c:v>
                  </c:pt>
                  <c:pt idx="60">
                    <c:v>2023-12-01</c:v>
                  </c:pt>
                  <c:pt idx="61">
                    <c:v>2024-01-01</c:v>
                  </c:pt>
                  <c:pt idx="62">
                    <c:v>2024-02-01</c:v>
                  </c:pt>
                  <c:pt idx="63">
                    <c:v>2024-03-01</c:v>
                  </c:pt>
                  <c:pt idx="64">
                    <c:v>2024-04-01</c:v>
                  </c:pt>
                  <c:pt idx="65">
                    <c:v>2024-05-01</c:v>
                  </c:pt>
                  <c:pt idx="66">
                    <c:v>2024-06-01</c:v>
                  </c:pt>
                  <c:pt idx="67">
                    <c:v>2024-07-01</c:v>
                  </c:pt>
                  <c:pt idx="68">
                    <c:v>2024-08-01</c:v>
                  </c:pt>
                  <c:pt idx="69">
                    <c:v>2024-09-01</c:v>
                  </c:pt>
                  <c:pt idx="70">
                    <c:v>2024-10-01</c:v>
                  </c:pt>
                  <c:pt idx="71">
                    <c:v>2024-11-01</c:v>
                  </c:pt>
                  <c:pt idx="72">
                    <c:v>2024-12-01</c:v>
                  </c:pt>
                  <c:pt idx="73">
                    <c:v>2025-01-01</c:v>
                  </c:pt>
                  <c:pt idx="74">
                    <c:v>2025-02-01</c:v>
                  </c:pt>
                  <c:pt idx="75">
                    <c:v>2025-03-01</c:v>
                  </c:pt>
                  <c:pt idx="76">
                    <c:v>2025-04-01</c:v>
                  </c:pt>
                  <c:pt idx="77">
                    <c:v>2025-05-01</c:v>
                  </c:pt>
                  <c:pt idx="78">
                    <c:v>2025-06-01</c:v>
                  </c:pt>
                  <c:pt idx="79">
                    <c:v>2025-07-01</c:v>
                  </c:pt>
                  <c:pt idx="80">
                    <c:v>2025-08-01</c:v>
                  </c:pt>
                  <c:pt idx="81">
                    <c:v>2025-09-01</c:v>
                  </c:pt>
                  <c:pt idx="82">
                    <c:v>2025-10-01</c:v>
                  </c:pt>
                  <c:pt idx="83">
                    <c:v>2025-11-01</c:v>
                  </c:pt>
                  <c:pt idx="84">
                    <c:v>2025-12-01</c:v>
                  </c:pt>
                  <c:pt idx="85">
                    <c:v>2026-01-01</c:v>
                  </c:pt>
                  <c:pt idx="86">
                    <c:v>2026-02-01</c:v>
                  </c:pt>
                  <c:pt idx="87">
                    <c:v>2026-03-01</c:v>
                  </c:pt>
                  <c:pt idx="88">
                    <c:v>2026-04-01</c:v>
                  </c:pt>
                  <c:pt idx="89">
                    <c:v>2026-05-01</c:v>
                  </c:pt>
                  <c:pt idx="90">
                    <c:v>2026-06-01</c:v>
                  </c:pt>
                  <c:pt idx="91">
                    <c:v>2026-07-01</c:v>
                  </c:pt>
                  <c:pt idx="92">
                    <c:v>2026-08-01</c:v>
                  </c:pt>
                  <c:pt idx="93">
                    <c:v>2026-09-01</c:v>
                  </c:pt>
                  <c:pt idx="94">
                    <c:v>2026-10-01</c:v>
                  </c:pt>
                  <c:pt idx="95">
                    <c:v>2026-11-01</c:v>
                  </c:pt>
                  <c:pt idx="96">
                    <c:v>2026-12-01</c:v>
                  </c:pt>
                  <c:pt idx="97">
                    <c:v>2027-01-01</c:v>
                  </c:pt>
                  <c:pt idx="98">
                    <c:v>2027-02-01</c:v>
                  </c:pt>
                  <c:pt idx="99">
                    <c:v>2027-03-01</c:v>
                  </c:pt>
                  <c:pt idx="100">
                    <c:v>2027-04-01</c:v>
                  </c:pt>
                  <c:pt idx="101">
                    <c:v>2027-05-01</c:v>
                  </c:pt>
                  <c:pt idx="102">
                    <c:v>2027-06-01</c:v>
                  </c:pt>
                  <c:pt idx="103">
                    <c:v>2027-07-01</c:v>
                  </c:pt>
                  <c:pt idx="104">
                    <c:v>2027-08-01</c:v>
                  </c:pt>
                  <c:pt idx="105">
                    <c:v>2027-09-01</c:v>
                  </c:pt>
                  <c:pt idx="106">
                    <c:v>2027-10-01</c:v>
                  </c:pt>
                  <c:pt idx="107">
                    <c:v>2027-11-01</c:v>
                  </c:pt>
                  <c:pt idx="108">
                    <c:v>2027-12-01</c:v>
                  </c:pt>
                  <c:pt idx="109">
                    <c:v>2028-01-01</c:v>
                  </c:pt>
                  <c:pt idx="110">
                    <c:v>2028-02-01</c:v>
                  </c:pt>
                  <c:pt idx="111">
                    <c:v>2028-03-01</c:v>
                  </c:pt>
                  <c:pt idx="112">
                    <c:v>2028-04-01</c:v>
                  </c:pt>
                  <c:pt idx="113">
                    <c:v>2028-05-01</c:v>
                  </c:pt>
                  <c:pt idx="114">
                    <c:v>2028-06-01</c:v>
                  </c:pt>
                  <c:pt idx="115">
                    <c:v>2028-07-01</c:v>
                  </c:pt>
                  <c:pt idx="116">
                    <c:v>2028-08-01</c:v>
                  </c:pt>
                  <c:pt idx="117">
                    <c:v>2028-09-01</c:v>
                  </c:pt>
                  <c:pt idx="118">
                    <c:v>2028-10-01</c:v>
                  </c:pt>
                  <c:pt idx="119">
                    <c:v>2028-11-01</c:v>
                  </c:pt>
                  <c:pt idx="120">
                    <c:v>2028-12-01</c:v>
                  </c:pt>
                  <c:pt idx="121">
                    <c:v>2029-01-01</c:v>
                  </c:pt>
                  <c:pt idx="122">
                    <c:v>2029-02-01</c:v>
                  </c:pt>
                  <c:pt idx="123">
                    <c:v>2029-03-01</c:v>
                  </c:pt>
                  <c:pt idx="124">
                    <c:v>2029-04-01</c:v>
                  </c:pt>
                  <c:pt idx="125">
                    <c:v>2029-05-01</c:v>
                  </c:pt>
                  <c:pt idx="126">
                    <c:v>2029-06-01</c:v>
                  </c:pt>
                  <c:pt idx="127">
                    <c:v>2029-07-01</c:v>
                  </c:pt>
                  <c:pt idx="128">
                    <c:v>2029-08-01</c:v>
                  </c:pt>
                  <c:pt idx="129">
                    <c:v>2029-09-01</c:v>
                  </c:pt>
                  <c:pt idx="130">
                    <c:v>2029-10-01</c:v>
                  </c:pt>
                  <c:pt idx="131">
                    <c:v>2029-11-01</c:v>
                  </c:pt>
                  <c:pt idx="132">
                    <c:v>2029-12-01</c:v>
                  </c:pt>
                  <c:pt idx="133">
                    <c:v>2030-01-01</c:v>
                  </c:pt>
                  <c:pt idx="134">
                    <c:v>2030-02-01</c:v>
                  </c:pt>
                  <c:pt idx="135">
                    <c:v>2030-03-01</c:v>
                  </c:pt>
                  <c:pt idx="136">
                    <c:v>2030-04-01</c:v>
                  </c:pt>
                  <c:pt idx="137">
                    <c:v>2030-05-01</c:v>
                  </c:pt>
                  <c:pt idx="138">
                    <c:v>2030-06-01</c:v>
                  </c:pt>
                  <c:pt idx="139">
                    <c:v>2030-07-01</c:v>
                  </c:pt>
                  <c:pt idx="140">
                    <c:v>2030-08-01</c:v>
                  </c:pt>
                  <c:pt idx="141">
                    <c:v>2030-09-01</c:v>
                  </c:pt>
                  <c:pt idx="142">
                    <c:v>2030-10-01</c:v>
                  </c:pt>
                  <c:pt idx="143">
                    <c:v>2030-11-01</c:v>
                  </c:pt>
                  <c:pt idx="144">
                    <c:v>2030-12-01</c:v>
                  </c:pt>
                </c:lvl>
              </c:multiLvlStrCache>
            </c:multiLvlStrRef>
          </c:cat>
          <c:val>
            <c:numRef>
              <c:f>Overview!$H$3:$H$147</c:f>
              <c:numCache>
                <c:formatCode>_("$"* #,##0.00_);_("$"* \(#,##0.00\);_("$"* "-"??_);_(@_)</c:formatCode>
                <c:ptCount val="145"/>
                <c:pt idx="1">
                  <c:v>-46.99</c:v>
                </c:pt>
                <c:pt idx="2">
                  <c:v>194.75</c:v>
                </c:pt>
                <c:pt idx="3">
                  <c:v>178.6</c:v>
                </c:pt>
                <c:pt idx="4">
                  <c:v>436.65999999999997</c:v>
                </c:pt>
                <c:pt idx="5">
                  <c:v>812.74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197.25</c:v>
                </c:pt>
                <c:pt idx="10">
                  <c:v>197.25</c:v>
                </c:pt>
                <c:pt idx="11">
                  <c:v>-216.23</c:v>
                </c:pt>
                <c:pt idx="12">
                  <c:v>-699.16</c:v>
                </c:pt>
                <c:pt idx="13">
                  <c:v>-638.37</c:v>
                </c:pt>
                <c:pt idx="14">
                  <c:v>195.46</c:v>
                </c:pt>
                <c:pt idx="15">
                  <c:v>0</c:v>
                </c:pt>
                <c:pt idx="16">
                  <c:v>516.01</c:v>
                </c:pt>
                <c:pt idx="17">
                  <c:v>0</c:v>
                </c:pt>
                <c:pt idx="18">
                  <c:v>0</c:v>
                </c:pt>
                <c:pt idx="19">
                  <c:v>-291.47999999999996</c:v>
                </c:pt>
                <c:pt idx="20">
                  <c:v>-154.48999999999998</c:v>
                </c:pt>
                <c:pt idx="21">
                  <c:v>1810.86</c:v>
                </c:pt>
                <c:pt idx="22">
                  <c:v>80.790000000000006</c:v>
                </c:pt>
                <c:pt idx="23">
                  <c:v>-859.78</c:v>
                </c:pt>
                <c:pt idx="24">
                  <c:v>0</c:v>
                </c:pt>
                <c:pt idx="25">
                  <c:v>0</c:v>
                </c:pt>
                <c:pt idx="26">
                  <c:v>104.79</c:v>
                </c:pt>
                <c:pt idx="27">
                  <c:v>55</c:v>
                </c:pt>
                <c:pt idx="28">
                  <c:v>-475.31</c:v>
                </c:pt>
                <c:pt idx="29">
                  <c:v>0</c:v>
                </c:pt>
                <c:pt idx="30">
                  <c:v>0</c:v>
                </c:pt>
                <c:pt idx="31">
                  <c:v>-481.81</c:v>
                </c:pt>
                <c:pt idx="32">
                  <c:v>0</c:v>
                </c:pt>
                <c:pt idx="33">
                  <c:v>0</c:v>
                </c:pt>
                <c:pt idx="34">
                  <c:v>-199.77</c:v>
                </c:pt>
                <c:pt idx="35">
                  <c:v>-202.03</c:v>
                </c:pt>
                <c:pt idx="36">
                  <c:v>-538.16999999999996</c:v>
                </c:pt>
                <c:pt idx="37">
                  <c:v>-4126.3599999999997</c:v>
                </c:pt>
                <c:pt idx="38">
                  <c:v>0</c:v>
                </c:pt>
                <c:pt idx="39">
                  <c:v>199.77</c:v>
                </c:pt>
                <c:pt idx="40">
                  <c:v>0</c:v>
                </c:pt>
                <c:pt idx="41">
                  <c:v>100</c:v>
                </c:pt>
                <c:pt idx="42">
                  <c:v>-2.74</c:v>
                </c:pt>
                <c:pt idx="43">
                  <c:v>0</c:v>
                </c:pt>
                <c:pt idx="44">
                  <c:v>-445.38</c:v>
                </c:pt>
                <c:pt idx="45">
                  <c:v>-284.72000000000003</c:v>
                </c:pt>
                <c:pt idx="46">
                  <c:v>0</c:v>
                </c:pt>
                <c:pt idx="47">
                  <c:v>-47.16</c:v>
                </c:pt>
                <c:pt idx="48">
                  <c:v>476.59</c:v>
                </c:pt>
                <c:pt idx="49">
                  <c:v>-1525.25</c:v>
                </c:pt>
                <c:pt idx="50">
                  <c:v>-71.78</c:v>
                </c:pt>
                <c:pt idx="51">
                  <c:v>0</c:v>
                </c:pt>
                <c:pt idx="52">
                  <c:v>-1120.6799999999998</c:v>
                </c:pt>
                <c:pt idx="53">
                  <c:v>-24</c:v>
                </c:pt>
                <c:pt idx="54">
                  <c:v>-55.069999999999993</c:v>
                </c:pt>
                <c:pt idx="55">
                  <c:v>135.25</c:v>
                </c:pt>
                <c:pt idx="56">
                  <c:v>-387.38999999999987</c:v>
                </c:pt>
                <c:pt idx="57">
                  <c:v>-219.95000000000002</c:v>
                </c:pt>
                <c:pt idx="58">
                  <c:v>-573.79</c:v>
                </c:pt>
                <c:pt idx="59">
                  <c:v>-469.77</c:v>
                </c:pt>
                <c:pt idx="60">
                  <c:v>-379.25</c:v>
                </c:pt>
                <c:pt idx="61">
                  <c:v>-2786.3099999999995</c:v>
                </c:pt>
                <c:pt idx="62">
                  <c:v>-1712.96</c:v>
                </c:pt>
                <c:pt idx="63">
                  <c:v>-1020.2700000000001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</c:ser>
        <c:ser>
          <c:idx val="6"/>
          <c:order val="6"/>
          <c:tx>
            <c:strRef>
              <c:f>Overview!$I$2</c:f>
              <c:strCache>
                <c:ptCount val="1"/>
                <c:pt idx="0">
                  <c:v>Vehicle</c:v>
                </c:pt>
              </c:strCache>
            </c:strRef>
          </c:tx>
          <c:invertIfNegative val="0"/>
          <c:cat>
            <c:multiLvlStrRef>
              <c:f>Overview!$A$3:$B$147</c:f>
              <c:multiLvlStrCache>
                <c:ptCount val="145"/>
                <c:lvl>
                  <c:pt idx="1">
                    <c:v>January 2019</c:v>
                  </c:pt>
                  <c:pt idx="2">
                    <c:v>February 2019</c:v>
                  </c:pt>
                  <c:pt idx="3">
                    <c:v>March 2019</c:v>
                  </c:pt>
                  <c:pt idx="4">
                    <c:v>April 2019</c:v>
                  </c:pt>
                  <c:pt idx="5">
                    <c:v>May 2019</c:v>
                  </c:pt>
                  <c:pt idx="6">
                    <c:v>June 2019</c:v>
                  </c:pt>
                  <c:pt idx="7">
                    <c:v>July 2019</c:v>
                  </c:pt>
                  <c:pt idx="8">
                    <c:v>August 2019</c:v>
                  </c:pt>
                  <c:pt idx="9">
                    <c:v>September 2019</c:v>
                  </c:pt>
                  <c:pt idx="10">
                    <c:v>October 2019</c:v>
                  </c:pt>
                  <c:pt idx="11">
                    <c:v>November 2019</c:v>
                  </c:pt>
                  <c:pt idx="12">
                    <c:v>December 2019</c:v>
                  </c:pt>
                  <c:pt idx="13">
                    <c:v>January 2020</c:v>
                  </c:pt>
                  <c:pt idx="14">
                    <c:v>February 2020</c:v>
                  </c:pt>
                  <c:pt idx="15">
                    <c:v>March 2020</c:v>
                  </c:pt>
                  <c:pt idx="16">
                    <c:v>April 2020</c:v>
                  </c:pt>
                  <c:pt idx="17">
                    <c:v>May 2020</c:v>
                  </c:pt>
                  <c:pt idx="18">
                    <c:v>June 2020</c:v>
                  </c:pt>
                  <c:pt idx="19">
                    <c:v>July 2020</c:v>
                  </c:pt>
                  <c:pt idx="20">
                    <c:v>August 2020</c:v>
                  </c:pt>
                  <c:pt idx="21">
                    <c:v>September 2020</c:v>
                  </c:pt>
                  <c:pt idx="22">
                    <c:v>October 2020</c:v>
                  </c:pt>
                  <c:pt idx="23">
                    <c:v>November 2020</c:v>
                  </c:pt>
                  <c:pt idx="24">
                    <c:v>December 2020</c:v>
                  </c:pt>
                  <c:pt idx="25">
                    <c:v>January 2021</c:v>
                  </c:pt>
                  <c:pt idx="26">
                    <c:v>February 2021</c:v>
                  </c:pt>
                  <c:pt idx="27">
                    <c:v>March 2021</c:v>
                  </c:pt>
                  <c:pt idx="28">
                    <c:v>April 2021</c:v>
                  </c:pt>
                  <c:pt idx="29">
                    <c:v>May 2021</c:v>
                  </c:pt>
                  <c:pt idx="30">
                    <c:v>June 2021</c:v>
                  </c:pt>
                  <c:pt idx="31">
                    <c:v>July 2021</c:v>
                  </c:pt>
                  <c:pt idx="32">
                    <c:v>August 2021</c:v>
                  </c:pt>
                  <c:pt idx="33">
                    <c:v>September 2021</c:v>
                  </c:pt>
                  <c:pt idx="34">
                    <c:v>October 2021</c:v>
                  </c:pt>
                  <c:pt idx="35">
                    <c:v>November 2021</c:v>
                  </c:pt>
                  <c:pt idx="36">
                    <c:v>December 2021</c:v>
                  </c:pt>
                  <c:pt idx="37">
                    <c:v>January 2022</c:v>
                  </c:pt>
                  <c:pt idx="38">
                    <c:v>February 2022</c:v>
                  </c:pt>
                  <c:pt idx="39">
                    <c:v>March 2022</c:v>
                  </c:pt>
                  <c:pt idx="40">
                    <c:v>April 2022</c:v>
                  </c:pt>
                  <c:pt idx="41">
                    <c:v>May 2022</c:v>
                  </c:pt>
                  <c:pt idx="42">
                    <c:v>June 2022</c:v>
                  </c:pt>
                  <c:pt idx="43">
                    <c:v>July 2022</c:v>
                  </c:pt>
                  <c:pt idx="44">
                    <c:v>August 2022</c:v>
                  </c:pt>
                  <c:pt idx="45">
                    <c:v>September 2022</c:v>
                  </c:pt>
                  <c:pt idx="46">
                    <c:v>October 2022</c:v>
                  </c:pt>
                  <c:pt idx="47">
                    <c:v>November 2022</c:v>
                  </c:pt>
                  <c:pt idx="48">
                    <c:v>December 2022</c:v>
                  </c:pt>
                  <c:pt idx="49">
                    <c:v>January 2023</c:v>
                  </c:pt>
                  <c:pt idx="50">
                    <c:v>February 2023</c:v>
                  </c:pt>
                  <c:pt idx="51">
                    <c:v>March 2023</c:v>
                  </c:pt>
                  <c:pt idx="52">
                    <c:v>April 2023</c:v>
                  </c:pt>
                  <c:pt idx="53">
                    <c:v>May 2023</c:v>
                  </c:pt>
                  <c:pt idx="54">
                    <c:v>June 2023</c:v>
                  </c:pt>
                  <c:pt idx="55">
                    <c:v>July 2023</c:v>
                  </c:pt>
                  <c:pt idx="56">
                    <c:v>August 2023</c:v>
                  </c:pt>
                  <c:pt idx="57">
                    <c:v>September 2023</c:v>
                  </c:pt>
                  <c:pt idx="58">
                    <c:v>October 2023</c:v>
                  </c:pt>
                  <c:pt idx="59">
                    <c:v>November 2023</c:v>
                  </c:pt>
                  <c:pt idx="60">
                    <c:v>December 2023</c:v>
                  </c:pt>
                  <c:pt idx="61">
                    <c:v>January 2024</c:v>
                  </c:pt>
                  <c:pt idx="62">
                    <c:v>February 2024</c:v>
                  </c:pt>
                  <c:pt idx="63">
                    <c:v>March 2024</c:v>
                  </c:pt>
                  <c:pt idx="64">
                    <c:v>April 2024</c:v>
                  </c:pt>
                  <c:pt idx="65">
                    <c:v>May 2024</c:v>
                  </c:pt>
                  <c:pt idx="66">
                    <c:v>June 2024</c:v>
                  </c:pt>
                  <c:pt idx="67">
                    <c:v>July 2024</c:v>
                  </c:pt>
                  <c:pt idx="68">
                    <c:v>August 2024</c:v>
                  </c:pt>
                  <c:pt idx="69">
                    <c:v>September 2024</c:v>
                  </c:pt>
                  <c:pt idx="70">
                    <c:v>October 2024</c:v>
                  </c:pt>
                  <c:pt idx="71">
                    <c:v>November 2024</c:v>
                  </c:pt>
                  <c:pt idx="72">
                    <c:v>December 2024</c:v>
                  </c:pt>
                  <c:pt idx="73">
                    <c:v>January 2025</c:v>
                  </c:pt>
                  <c:pt idx="74">
                    <c:v>February 2025</c:v>
                  </c:pt>
                  <c:pt idx="75">
                    <c:v>March 2025</c:v>
                  </c:pt>
                  <c:pt idx="76">
                    <c:v>April 2025</c:v>
                  </c:pt>
                  <c:pt idx="77">
                    <c:v>May 2025</c:v>
                  </c:pt>
                  <c:pt idx="78">
                    <c:v>June 2025</c:v>
                  </c:pt>
                  <c:pt idx="79">
                    <c:v>July 2025</c:v>
                  </c:pt>
                  <c:pt idx="80">
                    <c:v>August 2025</c:v>
                  </c:pt>
                  <c:pt idx="81">
                    <c:v>September 2025</c:v>
                  </c:pt>
                  <c:pt idx="82">
                    <c:v>October 2025</c:v>
                  </c:pt>
                  <c:pt idx="83">
                    <c:v>November 2025</c:v>
                  </c:pt>
                  <c:pt idx="84">
                    <c:v>December 2025</c:v>
                  </c:pt>
                  <c:pt idx="85">
                    <c:v>January 2026</c:v>
                  </c:pt>
                  <c:pt idx="86">
                    <c:v>February 2026</c:v>
                  </c:pt>
                  <c:pt idx="87">
                    <c:v>March 2026</c:v>
                  </c:pt>
                  <c:pt idx="88">
                    <c:v>April 2026</c:v>
                  </c:pt>
                  <c:pt idx="89">
                    <c:v>May 2026</c:v>
                  </c:pt>
                  <c:pt idx="90">
                    <c:v>June 2026</c:v>
                  </c:pt>
                  <c:pt idx="91">
                    <c:v>July 2026</c:v>
                  </c:pt>
                  <c:pt idx="92">
                    <c:v>August 2026</c:v>
                  </c:pt>
                  <c:pt idx="93">
                    <c:v>September 2026</c:v>
                  </c:pt>
                  <c:pt idx="94">
                    <c:v>October 2026</c:v>
                  </c:pt>
                  <c:pt idx="95">
                    <c:v>November 2026</c:v>
                  </c:pt>
                  <c:pt idx="96">
                    <c:v>December 2026</c:v>
                  </c:pt>
                  <c:pt idx="97">
                    <c:v>January 2027</c:v>
                  </c:pt>
                  <c:pt idx="98">
                    <c:v>February 2027</c:v>
                  </c:pt>
                  <c:pt idx="99">
                    <c:v>March 2027</c:v>
                  </c:pt>
                  <c:pt idx="100">
                    <c:v>April 2027</c:v>
                  </c:pt>
                  <c:pt idx="101">
                    <c:v>May 2027</c:v>
                  </c:pt>
                  <c:pt idx="102">
                    <c:v>June 2027</c:v>
                  </c:pt>
                  <c:pt idx="103">
                    <c:v>July 2027</c:v>
                  </c:pt>
                  <c:pt idx="104">
                    <c:v>August 2027</c:v>
                  </c:pt>
                  <c:pt idx="105">
                    <c:v>September 2027</c:v>
                  </c:pt>
                  <c:pt idx="106">
                    <c:v>October 2027</c:v>
                  </c:pt>
                  <c:pt idx="107">
                    <c:v>November 2027</c:v>
                  </c:pt>
                  <c:pt idx="108">
                    <c:v>December 2027</c:v>
                  </c:pt>
                  <c:pt idx="109">
                    <c:v>January 2028</c:v>
                  </c:pt>
                  <c:pt idx="110">
                    <c:v>February 2028</c:v>
                  </c:pt>
                  <c:pt idx="111">
                    <c:v>March 2028</c:v>
                  </c:pt>
                  <c:pt idx="112">
                    <c:v>April 2028</c:v>
                  </c:pt>
                  <c:pt idx="113">
                    <c:v>May 2028</c:v>
                  </c:pt>
                  <c:pt idx="114">
                    <c:v>June 2028</c:v>
                  </c:pt>
                  <c:pt idx="115">
                    <c:v>July 2028</c:v>
                  </c:pt>
                  <c:pt idx="116">
                    <c:v>August 2028</c:v>
                  </c:pt>
                  <c:pt idx="117">
                    <c:v>September 2028</c:v>
                  </c:pt>
                  <c:pt idx="118">
                    <c:v>October 2028</c:v>
                  </c:pt>
                  <c:pt idx="119">
                    <c:v>November 2028</c:v>
                  </c:pt>
                  <c:pt idx="120">
                    <c:v>December 2028</c:v>
                  </c:pt>
                  <c:pt idx="121">
                    <c:v>January 2029</c:v>
                  </c:pt>
                  <c:pt idx="122">
                    <c:v>February 2029</c:v>
                  </c:pt>
                  <c:pt idx="123">
                    <c:v>March 2029</c:v>
                  </c:pt>
                  <c:pt idx="124">
                    <c:v>April 2029</c:v>
                  </c:pt>
                  <c:pt idx="125">
                    <c:v>May 2029</c:v>
                  </c:pt>
                  <c:pt idx="126">
                    <c:v>June 2029</c:v>
                  </c:pt>
                  <c:pt idx="127">
                    <c:v>July 2029</c:v>
                  </c:pt>
                  <c:pt idx="128">
                    <c:v>August 2029</c:v>
                  </c:pt>
                  <c:pt idx="129">
                    <c:v>September 2029</c:v>
                  </c:pt>
                  <c:pt idx="130">
                    <c:v>October 2029</c:v>
                  </c:pt>
                  <c:pt idx="131">
                    <c:v>November 2029</c:v>
                  </c:pt>
                  <c:pt idx="132">
                    <c:v>December 2029</c:v>
                  </c:pt>
                  <c:pt idx="133">
                    <c:v>January 2030</c:v>
                  </c:pt>
                  <c:pt idx="134">
                    <c:v>February 2030</c:v>
                  </c:pt>
                  <c:pt idx="135">
                    <c:v>March 2030</c:v>
                  </c:pt>
                  <c:pt idx="136">
                    <c:v>April 2030</c:v>
                  </c:pt>
                  <c:pt idx="137">
                    <c:v>May 2030</c:v>
                  </c:pt>
                  <c:pt idx="138">
                    <c:v>June 2030</c:v>
                  </c:pt>
                  <c:pt idx="139">
                    <c:v>July 2030</c:v>
                  </c:pt>
                  <c:pt idx="140">
                    <c:v>August 2030</c:v>
                  </c:pt>
                  <c:pt idx="141">
                    <c:v>September 2030</c:v>
                  </c:pt>
                  <c:pt idx="142">
                    <c:v>October 2030</c:v>
                  </c:pt>
                  <c:pt idx="143">
                    <c:v>November 2030</c:v>
                  </c:pt>
                  <c:pt idx="144">
                    <c:v>December 2030</c:v>
                  </c:pt>
                </c:lvl>
                <c:lvl>
                  <c:pt idx="1">
                    <c:v>2019-01-01</c:v>
                  </c:pt>
                  <c:pt idx="2">
                    <c:v>2019-02-01</c:v>
                  </c:pt>
                  <c:pt idx="3">
                    <c:v>2019-03-01</c:v>
                  </c:pt>
                  <c:pt idx="4">
                    <c:v>2019-04-01</c:v>
                  </c:pt>
                  <c:pt idx="5">
                    <c:v>2019-05-01</c:v>
                  </c:pt>
                  <c:pt idx="6">
                    <c:v>2019-06-01</c:v>
                  </c:pt>
                  <c:pt idx="7">
                    <c:v>2019-07-01</c:v>
                  </c:pt>
                  <c:pt idx="8">
                    <c:v>2019-08-01</c:v>
                  </c:pt>
                  <c:pt idx="9">
                    <c:v>2019-09-01</c:v>
                  </c:pt>
                  <c:pt idx="10">
                    <c:v>2019-10-01</c:v>
                  </c:pt>
                  <c:pt idx="11">
                    <c:v>2019-11-01</c:v>
                  </c:pt>
                  <c:pt idx="12">
                    <c:v>2019-12-01</c:v>
                  </c:pt>
                  <c:pt idx="13">
                    <c:v>2020-01-01</c:v>
                  </c:pt>
                  <c:pt idx="14">
                    <c:v>2020-02-01</c:v>
                  </c:pt>
                  <c:pt idx="15">
                    <c:v>2020-03-01</c:v>
                  </c:pt>
                  <c:pt idx="16">
                    <c:v>2020-04-01</c:v>
                  </c:pt>
                  <c:pt idx="17">
                    <c:v>2020-05-01</c:v>
                  </c:pt>
                  <c:pt idx="18">
                    <c:v>2020-06-01</c:v>
                  </c:pt>
                  <c:pt idx="19">
                    <c:v>2020-07-01</c:v>
                  </c:pt>
                  <c:pt idx="20">
                    <c:v>2020-08-01</c:v>
                  </c:pt>
                  <c:pt idx="21">
                    <c:v>2020-09-01</c:v>
                  </c:pt>
                  <c:pt idx="22">
                    <c:v>2020-10-01</c:v>
                  </c:pt>
                  <c:pt idx="23">
                    <c:v>2020-11-01</c:v>
                  </c:pt>
                  <c:pt idx="24">
                    <c:v>2020-12-01</c:v>
                  </c:pt>
                  <c:pt idx="25">
                    <c:v>2021-01-01</c:v>
                  </c:pt>
                  <c:pt idx="26">
                    <c:v>2021-02-01</c:v>
                  </c:pt>
                  <c:pt idx="27">
                    <c:v>2021-03-01</c:v>
                  </c:pt>
                  <c:pt idx="28">
                    <c:v>2021-04-01</c:v>
                  </c:pt>
                  <c:pt idx="29">
                    <c:v>2021-05-01</c:v>
                  </c:pt>
                  <c:pt idx="30">
                    <c:v>2021-06-01</c:v>
                  </c:pt>
                  <c:pt idx="31">
                    <c:v>2021-07-01</c:v>
                  </c:pt>
                  <c:pt idx="32">
                    <c:v>2021-08-01</c:v>
                  </c:pt>
                  <c:pt idx="33">
                    <c:v>2021-09-01</c:v>
                  </c:pt>
                  <c:pt idx="34">
                    <c:v>2021-10-01</c:v>
                  </c:pt>
                  <c:pt idx="35">
                    <c:v>2021-11-01</c:v>
                  </c:pt>
                  <c:pt idx="36">
                    <c:v>2021-12-01</c:v>
                  </c:pt>
                  <c:pt idx="37">
                    <c:v>2022-01-01</c:v>
                  </c:pt>
                  <c:pt idx="38">
                    <c:v>2022-02-01</c:v>
                  </c:pt>
                  <c:pt idx="39">
                    <c:v>2022-03-01</c:v>
                  </c:pt>
                  <c:pt idx="40">
                    <c:v>2022-04-01</c:v>
                  </c:pt>
                  <c:pt idx="41">
                    <c:v>2022-05-01</c:v>
                  </c:pt>
                  <c:pt idx="42">
                    <c:v>2022-06-01</c:v>
                  </c:pt>
                  <c:pt idx="43">
                    <c:v>2022-07-01</c:v>
                  </c:pt>
                  <c:pt idx="44">
                    <c:v>2022-08-01</c:v>
                  </c:pt>
                  <c:pt idx="45">
                    <c:v>2022-09-01</c:v>
                  </c:pt>
                  <c:pt idx="46">
                    <c:v>2022-10-01</c:v>
                  </c:pt>
                  <c:pt idx="47">
                    <c:v>2022-11-01</c:v>
                  </c:pt>
                  <c:pt idx="48">
                    <c:v>2022-12-01</c:v>
                  </c:pt>
                  <c:pt idx="49">
                    <c:v>2023-01-01</c:v>
                  </c:pt>
                  <c:pt idx="50">
                    <c:v>2023-02-01</c:v>
                  </c:pt>
                  <c:pt idx="51">
                    <c:v>2023-03-01</c:v>
                  </c:pt>
                  <c:pt idx="52">
                    <c:v>2023-04-01</c:v>
                  </c:pt>
                  <c:pt idx="53">
                    <c:v>2023-05-01</c:v>
                  </c:pt>
                  <c:pt idx="54">
                    <c:v>2023-06-01</c:v>
                  </c:pt>
                  <c:pt idx="55">
                    <c:v>2023-07-01</c:v>
                  </c:pt>
                  <c:pt idx="56">
                    <c:v>2023-08-01</c:v>
                  </c:pt>
                  <c:pt idx="57">
                    <c:v>2023-09-01</c:v>
                  </c:pt>
                  <c:pt idx="58">
                    <c:v>2023-10-01</c:v>
                  </c:pt>
                  <c:pt idx="59">
                    <c:v>2023-11-01</c:v>
                  </c:pt>
                  <c:pt idx="60">
                    <c:v>2023-12-01</c:v>
                  </c:pt>
                  <c:pt idx="61">
                    <c:v>2024-01-01</c:v>
                  </c:pt>
                  <c:pt idx="62">
                    <c:v>2024-02-01</c:v>
                  </c:pt>
                  <c:pt idx="63">
                    <c:v>2024-03-01</c:v>
                  </c:pt>
                  <c:pt idx="64">
                    <c:v>2024-04-01</c:v>
                  </c:pt>
                  <c:pt idx="65">
                    <c:v>2024-05-01</c:v>
                  </c:pt>
                  <c:pt idx="66">
                    <c:v>2024-06-01</c:v>
                  </c:pt>
                  <c:pt idx="67">
                    <c:v>2024-07-01</c:v>
                  </c:pt>
                  <c:pt idx="68">
                    <c:v>2024-08-01</c:v>
                  </c:pt>
                  <c:pt idx="69">
                    <c:v>2024-09-01</c:v>
                  </c:pt>
                  <c:pt idx="70">
                    <c:v>2024-10-01</c:v>
                  </c:pt>
                  <c:pt idx="71">
                    <c:v>2024-11-01</c:v>
                  </c:pt>
                  <c:pt idx="72">
                    <c:v>2024-12-01</c:v>
                  </c:pt>
                  <c:pt idx="73">
                    <c:v>2025-01-01</c:v>
                  </c:pt>
                  <c:pt idx="74">
                    <c:v>2025-02-01</c:v>
                  </c:pt>
                  <c:pt idx="75">
                    <c:v>2025-03-01</c:v>
                  </c:pt>
                  <c:pt idx="76">
                    <c:v>2025-04-01</c:v>
                  </c:pt>
                  <c:pt idx="77">
                    <c:v>2025-05-01</c:v>
                  </c:pt>
                  <c:pt idx="78">
                    <c:v>2025-06-01</c:v>
                  </c:pt>
                  <c:pt idx="79">
                    <c:v>2025-07-01</c:v>
                  </c:pt>
                  <c:pt idx="80">
                    <c:v>2025-08-01</c:v>
                  </c:pt>
                  <c:pt idx="81">
                    <c:v>2025-09-01</c:v>
                  </c:pt>
                  <c:pt idx="82">
                    <c:v>2025-10-01</c:v>
                  </c:pt>
                  <c:pt idx="83">
                    <c:v>2025-11-01</c:v>
                  </c:pt>
                  <c:pt idx="84">
                    <c:v>2025-12-01</c:v>
                  </c:pt>
                  <c:pt idx="85">
                    <c:v>2026-01-01</c:v>
                  </c:pt>
                  <c:pt idx="86">
                    <c:v>2026-02-01</c:v>
                  </c:pt>
                  <c:pt idx="87">
                    <c:v>2026-03-01</c:v>
                  </c:pt>
                  <c:pt idx="88">
                    <c:v>2026-04-01</c:v>
                  </c:pt>
                  <c:pt idx="89">
                    <c:v>2026-05-01</c:v>
                  </c:pt>
                  <c:pt idx="90">
                    <c:v>2026-06-01</c:v>
                  </c:pt>
                  <c:pt idx="91">
                    <c:v>2026-07-01</c:v>
                  </c:pt>
                  <c:pt idx="92">
                    <c:v>2026-08-01</c:v>
                  </c:pt>
                  <c:pt idx="93">
                    <c:v>2026-09-01</c:v>
                  </c:pt>
                  <c:pt idx="94">
                    <c:v>2026-10-01</c:v>
                  </c:pt>
                  <c:pt idx="95">
                    <c:v>2026-11-01</c:v>
                  </c:pt>
                  <c:pt idx="96">
                    <c:v>2026-12-01</c:v>
                  </c:pt>
                  <c:pt idx="97">
                    <c:v>2027-01-01</c:v>
                  </c:pt>
                  <c:pt idx="98">
                    <c:v>2027-02-01</c:v>
                  </c:pt>
                  <c:pt idx="99">
                    <c:v>2027-03-01</c:v>
                  </c:pt>
                  <c:pt idx="100">
                    <c:v>2027-04-01</c:v>
                  </c:pt>
                  <c:pt idx="101">
                    <c:v>2027-05-01</c:v>
                  </c:pt>
                  <c:pt idx="102">
                    <c:v>2027-06-01</c:v>
                  </c:pt>
                  <c:pt idx="103">
                    <c:v>2027-07-01</c:v>
                  </c:pt>
                  <c:pt idx="104">
                    <c:v>2027-08-01</c:v>
                  </c:pt>
                  <c:pt idx="105">
                    <c:v>2027-09-01</c:v>
                  </c:pt>
                  <c:pt idx="106">
                    <c:v>2027-10-01</c:v>
                  </c:pt>
                  <c:pt idx="107">
                    <c:v>2027-11-01</c:v>
                  </c:pt>
                  <c:pt idx="108">
                    <c:v>2027-12-01</c:v>
                  </c:pt>
                  <c:pt idx="109">
                    <c:v>2028-01-01</c:v>
                  </c:pt>
                  <c:pt idx="110">
                    <c:v>2028-02-01</c:v>
                  </c:pt>
                  <c:pt idx="111">
                    <c:v>2028-03-01</c:v>
                  </c:pt>
                  <c:pt idx="112">
                    <c:v>2028-04-01</c:v>
                  </c:pt>
                  <c:pt idx="113">
                    <c:v>2028-05-01</c:v>
                  </c:pt>
                  <c:pt idx="114">
                    <c:v>2028-06-01</c:v>
                  </c:pt>
                  <c:pt idx="115">
                    <c:v>2028-07-01</c:v>
                  </c:pt>
                  <c:pt idx="116">
                    <c:v>2028-08-01</c:v>
                  </c:pt>
                  <c:pt idx="117">
                    <c:v>2028-09-01</c:v>
                  </c:pt>
                  <c:pt idx="118">
                    <c:v>2028-10-01</c:v>
                  </c:pt>
                  <c:pt idx="119">
                    <c:v>2028-11-01</c:v>
                  </c:pt>
                  <c:pt idx="120">
                    <c:v>2028-12-01</c:v>
                  </c:pt>
                  <c:pt idx="121">
                    <c:v>2029-01-01</c:v>
                  </c:pt>
                  <c:pt idx="122">
                    <c:v>2029-02-01</c:v>
                  </c:pt>
                  <c:pt idx="123">
                    <c:v>2029-03-01</c:v>
                  </c:pt>
                  <c:pt idx="124">
                    <c:v>2029-04-01</c:v>
                  </c:pt>
                  <c:pt idx="125">
                    <c:v>2029-05-01</c:v>
                  </c:pt>
                  <c:pt idx="126">
                    <c:v>2029-06-01</c:v>
                  </c:pt>
                  <c:pt idx="127">
                    <c:v>2029-07-01</c:v>
                  </c:pt>
                  <c:pt idx="128">
                    <c:v>2029-08-01</c:v>
                  </c:pt>
                  <c:pt idx="129">
                    <c:v>2029-09-01</c:v>
                  </c:pt>
                  <c:pt idx="130">
                    <c:v>2029-10-01</c:v>
                  </c:pt>
                  <c:pt idx="131">
                    <c:v>2029-11-01</c:v>
                  </c:pt>
                  <c:pt idx="132">
                    <c:v>2029-12-01</c:v>
                  </c:pt>
                  <c:pt idx="133">
                    <c:v>2030-01-01</c:v>
                  </c:pt>
                  <c:pt idx="134">
                    <c:v>2030-02-01</c:v>
                  </c:pt>
                  <c:pt idx="135">
                    <c:v>2030-03-01</c:v>
                  </c:pt>
                  <c:pt idx="136">
                    <c:v>2030-04-01</c:v>
                  </c:pt>
                  <c:pt idx="137">
                    <c:v>2030-05-01</c:v>
                  </c:pt>
                  <c:pt idx="138">
                    <c:v>2030-06-01</c:v>
                  </c:pt>
                  <c:pt idx="139">
                    <c:v>2030-07-01</c:v>
                  </c:pt>
                  <c:pt idx="140">
                    <c:v>2030-08-01</c:v>
                  </c:pt>
                  <c:pt idx="141">
                    <c:v>2030-09-01</c:v>
                  </c:pt>
                  <c:pt idx="142">
                    <c:v>2030-10-01</c:v>
                  </c:pt>
                  <c:pt idx="143">
                    <c:v>2030-11-01</c:v>
                  </c:pt>
                  <c:pt idx="144">
                    <c:v>2030-12-01</c:v>
                  </c:pt>
                </c:lvl>
              </c:multiLvlStrCache>
            </c:multiLvlStrRef>
          </c:cat>
          <c:val>
            <c:numRef>
              <c:f>Overview!$I$3:$I$147</c:f>
              <c:numCache>
                <c:formatCode>_("$"* #,##0.00_);_("$"* \(#,##0.00\);_("$"* "-"??_);_(@_)</c:formatCode>
                <c:ptCount val="145"/>
                <c:pt idx="1">
                  <c:v>-88.6</c:v>
                </c:pt>
                <c:pt idx="2">
                  <c:v>-838.84999999999991</c:v>
                </c:pt>
                <c:pt idx="3">
                  <c:v>-230.60000000000002</c:v>
                </c:pt>
                <c:pt idx="4">
                  <c:v>-50</c:v>
                </c:pt>
                <c:pt idx="5">
                  <c:v>0</c:v>
                </c:pt>
                <c:pt idx="6">
                  <c:v>-98.48</c:v>
                </c:pt>
                <c:pt idx="7">
                  <c:v>-52.91</c:v>
                </c:pt>
                <c:pt idx="8">
                  <c:v>-47.41</c:v>
                </c:pt>
                <c:pt idx="9">
                  <c:v>-55.32</c:v>
                </c:pt>
                <c:pt idx="10">
                  <c:v>-51.96</c:v>
                </c:pt>
                <c:pt idx="11">
                  <c:v>-47.23</c:v>
                </c:pt>
                <c:pt idx="12">
                  <c:v>-47.08</c:v>
                </c:pt>
                <c:pt idx="13">
                  <c:v>-911.8900000000001</c:v>
                </c:pt>
                <c:pt idx="14">
                  <c:v>-49.38</c:v>
                </c:pt>
                <c:pt idx="15">
                  <c:v>-4.42</c:v>
                </c:pt>
                <c:pt idx="16">
                  <c:v>0</c:v>
                </c:pt>
                <c:pt idx="17">
                  <c:v>-44.1</c:v>
                </c:pt>
                <c:pt idx="18">
                  <c:v>-9.1</c:v>
                </c:pt>
                <c:pt idx="19">
                  <c:v>-461.56000000000006</c:v>
                </c:pt>
                <c:pt idx="20">
                  <c:v>-19.63</c:v>
                </c:pt>
                <c:pt idx="21">
                  <c:v>-35.31</c:v>
                </c:pt>
                <c:pt idx="22">
                  <c:v>-142.68</c:v>
                </c:pt>
                <c:pt idx="23">
                  <c:v>-116.25999999999999</c:v>
                </c:pt>
                <c:pt idx="24">
                  <c:v>-532.88</c:v>
                </c:pt>
                <c:pt idx="25">
                  <c:v>-898.61000000000013</c:v>
                </c:pt>
                <c:pt idx="26">
                  <c:v>-44.91</c:v>
                </c:pt>
                <c:pt idx="27">
                  <c:v>-88.27</c:v>
                </c:pt>
                <c:pt idx="28">
                  <c:v>-86.64</c:v>
                </c:pt>
                <c:pt idx="29">
                  <c:v>-111.89</c:v>
                </c:pt>
                <c:pt idx="30">
                  <c:v>-169.6</c:v>
                </c:pt>
                <c:pt idx="31">
                  <c:v>-59.71</c:v>
                </c:pt>
                <c:pt idx="32">
                  <c:v>-68.5</c:v>
                </c:pt>
                <c:pt idx="33">
                  <c:v>-71.77</c:v>
                </c:pt>
                <c:pt idx="34">
                  <c:v>-125.47999999999999</c:v>
                </c:pt>
                <c:pt idx="35">
                  <c:v>-158.33999999999997</c:v>
                </c:pt>
                <c:pt idx="36">
                  <c:v>-115.77000000000001</c:v>
                </c:pt>
                <c:pt idx="37">
                  <c:v>-115.52</c:v>
                </c:pt>
                <c:pt idx="38">
                  <c:v>-127.77000000000001</c:v>
                </c:pt>
                <c:pt idx="39">
                  <c:v>0</c:v>
                </c:pt>
                <c:pt idx="40">
                  <c:v>-210.48000000000002</c:v>
                </c:pt>
                <c:pt idx="41">
                  <c:v>-152.55000000000001</c:v>
                </c:pt>
                <c:pt idx="42">
                  <c:v>-149.49</c:v>
                </c:pt>
                <c:pt idx="43">
                  <c:v>-153.70000000000002</c:v>
                </c:pt>
                <c:pt idx="44">
                  <c:v>-105.36</c:v>
                </c:pt>
                <c:pt idx="45">
                  <c:v>-280.15000000000003</c:v>
                </c:pt>
                <c:pt idx="46">
                  <c:v>-151.67000000000002</c:v>
                </c:pt>
                <c:pt idx="47">
                  <c:v>-227.15</c:v>
                </c:pt>
                <c:pt idx="48">
                  <c:v>-715.42</c:v>
                </c:pt>
                <c:pt idx="49">
                  <c:v>-207.02</c:v>
                </c:pt>
                <c:pt idx="50">
                  <c:v>-127.23</c:v>
                </c:pt>
                <c:pt idx="51">
                  <c:v>-212.23000000000002</c:v>
                </c:pt>
                <c:pt idx="52">
                  <c:v>-317.80999999999995</c:v>
                </c:pt>
                <c:pt idx="53">
                  <c:v>-267.02</c:v>
                </c:pt>
                <c:pt idx="54">
                  <c:v>-101.82000000000001</c:v>
                </c:pt>
                <c:pt idx="55">
                  <c:v>-597.24</c:v>
                </c:pt>
                <c:pt idx="56">
                  <c:v>-203.31</c:v>
                </c:pt>
                <c:pt idx="57">
                  <c:v>-284.53999999999996</c:v>
                </c:pt>
                <c:pt idx="58">
                  <c:v>-142.98000000000002</c:v>
                </c:pt>
                <c:pt idx="59">
                  <c:v>-249.94</c:v>
                </c:pt>
                <c:pt idx="60">
                  <c:v>-392.59000000000003</c:v>
                </c:pt>
                <c:pt idx="61">
                  <c:v>-224.26</c:v>
                </c:pt>
                <c:pt idx="62">
                  <c:v>-52.29</c:v>
                </c:pt>
                <c:pt idx="63">
                  <c:v>-366.3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</c:ser>
        <c:ser>
          <c:idx val="7"/>
          <c:order val="7"/>
          <c:tx>
            <c:strRef>
              <c:f>Overview!$J$2</c:f>
              <c:strCache>
                <c:ptCount val="1"/>
                <c:pt idx="0">
                  <c:v>Personal</c:v>
                </c:pt>
              </c:strCache>
            </c:strRef>
          </c:tx>
          <c:invertIfNegative val="0"/>
          <c:cat>
            <c:multiLvlStrRef>
              <c:f>Overview!$A$3:$B$147</c:f>
              <c:multiLvlStrCache>
                <c:ptCount val="145"/>
                <c:lvl>
                  <c:pt idx="1">
                    <c:v>January 2019</c:v>
                  </c:pt>
                  <c:pt idx="2">
                    <c:v>February 2019</c:v>
                  </c:pt>
                  <c:pt idx="3">
                    <c:v>March 2019</c:v>
                  </c:pt>
                  <c:pt idx="4">
                    <c:v>April 2019</c:v>
                  </c:pt>
                  <c:pt idx="5">
                    <c:v>May 2019</c:v>
                  </c:pt>
                  <c:pt idx="6">
                    <c:v>June 2019</c:v>
                  </c:pt>
                  <c:pt idx="7">
                    <c:v>July 2019</c:v>
                  </c:pt>
                  <c:pt idx="8">
                    <c:v>August 2019</c:v>
                  </c:pt>
                  <c:pt idx="9">
                    <c:v>September 2019</c:v>
                  </c:pt>
                  <c:pt idx="10">
                    <c:v>October 2019</c:v>
                  </c:pt>
                  <c:pt idx="11">
                    <c:v>November 2019</c:v>
                  </c:pt>
                  <c:pt idx="12">
                    <c:v>December 2019</c:v>
                  </c:pt>
                  <c:pt idx="13">
                    <c:v>January 2020</c:v>
                  </c:pt>
                  <c:pt idx="14">
                    <c:v>February 2020</c:v>
                  </c:pt>
                  <c:pt idx="15">
                    <c:v>March 2020</c:v>
                  </c:pt>
                  <c:pt idx="16">
                    <c:v>April 2020</c:v>
                  </c:pt>
                  <c:pt idx="17">
                    <c:v>May 2020</c:v>
                  </c:pt>
                  <c:pt idx="18">
                    <c:v>June 2020</c:v>
                  </c:pt>
                  <c:pt idx="19">
                    <c:v>July 2020</c:v>
                  </c:pt>
                  <c:pt idx="20">
                    <c:v>August 2020</c:v>
                  </c:pt>
                  <c:pt idx="21">
                    <c:v>September 2020</c:v>
                  </c:pt>
                  <c:pt idx="22">
                    <c:v>October 2020</c:v>
                  </c:pt>
                  <c:pt idx="23">
                    <c:v>November 2020</c:v>
                  </c:pt>
                  <c:pt idx="24">
                    <c:v>December 2020</c:v>
                  </c:pt>
                  <c:pt idx="25">
                    <c:v>January 2021</c:v>
                  </c:pt>
                  <c:pt idx="26">
                    <c:v>February 2021</c:v>
                  </c:pt>
                  <c:pt idx="27">
                    <c:v>March 2021</c:v>
                  </c:pt>
                  <c:pt idx="28">
                    <c:v>April 2021</c:v>
                  </c:pt>
                  <c:pt idx="29">
                    <c:v>May 2021</c:v>
                  </c:pt>
                  <c:pt idx="30">
                    <c:v>June 2021</c:v>
                  </c:pt>
                  <c:pt idx="31">
                    <c:v>July 2021</c:v>
                  </c:pt>
                  <c:pt idx="32">
                    <c:v>August 2021</c:v>
                  </c:pt>
                  <c:pt idx="33">
                    <c:v>September 2021</c:v>
                  </c:pt>
                  <c:pt idx="34">
                    <c:v>October 2021</c:v>
                  </c:pt>
                  <c:pt idx="35">
                    <c:v>November 2021</c:v>
                  </c:pt>
                  <c:pt idx="36">
                    <c:v>December 2021</c:v>
                  </c:pt>
                  <c:pt idx="37">
                    <c:v>January 2022</c:v>
                  </c:pt>
                  <c:pt idx="38">
                    <c:v>February 2022</c:v>
                  </c:pt>
                  <c:pt idx="39">
                    <c:v>March 2022</c:v>
                  </c:pt>
                  <c:pt idx="40">
                    <c:v>April 2022</c:v>
                  </c:pt>
                  <c:pt idx="41">
                    <c:v>May 2022</c:v>
                  </c:pt>
                  <c:pt idx="42">
                    <c:v>June 2022</c:v>
                  </c:pt>
                  <c:pt idx="43">
                    <c:v>July 2022</c:v>
                  </c:pt>
                  <c:pt idx="44">
                    <c:v>August 2022</c:v>
                  </c:pt>
                  <c:pt idx="45">
                    <c:v>September 2022</c:v>
                  </c:pt>
                  <c:pt idx="46">
                    <c:v>October 2022</c:v>
                  </c:pt>
                  <c:pt idx="47">
                    <c:v>November 2022</c:v>
                  </c:pt>
                  <c:pt idx="48">
                    <c:v>December 2022</c:v>
                  </c:pt>
                  <c:pt idx="49">
                    <c:v>January 2023</c:v>
                  </c:pt>
                  <c:pt idx="50">
                    <c:v>February 2023</c:v>
                  </c:pt>
                  <c:pt idx="51">
                    <c:v>March 2023</c:v>
                  </c:pt>
                  <c:pt idx="52">
                    <c:v>April 2023</c:v>
                  </c:pt>
                  <c:pt idx="53">
                    <c:v>May 2023</c:v>
                  </c:pt>
                  <c:pt idx="54">
                    <c:v>June 2023</c:v>
                  </c:pt>
                  <c:pt idx="55">
                    <c:v>July 2023</c:v>
                  </c:pt>
                  <c:pt idx="56">
                    <c:v>August 2023</c:v>
                  </c:pt>
                  <c:pt idx="57">
                    <c:v>September 2023</c:v>
                  </c:pt>
                  <c:pt idx="58">
                    <c:v>October 2023</c:v>
                  </c:pt>
                  <c:pt idx="59">
                    <c:v>November 2023</c:v>
                  </c:pt>
                  <c:pt idx="60">
                    <c:v>December 2023</c:v>
                  </c:pt>
                  <c:pt idx="61">
                    <c:v>January 2024</c:v>
                  </c:pt>
                  <c:pt idx="62">
                    <c:v>February 2024</c:v>
                  </c:pt>
                  <c:pt idx="63">
                    <c:v>March 2024</c:v>
                  </c:pt>
                  <c:pt idx="64">
                    <c:v>April 2024</c:v>
                  </c:pt>
                  <c:pt idx="65">
                    <c:v>May 2024</c:v>
                  </c:pt>
                  <c:pt idx="66">
                    <c:v>June 2024</c:v>
                  </c:pt>
                  <c:pt idx="67">
                    <c:v>July 2024</c:v>
                  </c:pt>
                  <c:pt idx="68">
                    <c:v>August 2024</c:v>
                  </c:pt>
                  <c:pt idx="69">
                    <c:v>September 2024</c:v>
                  </c:pt>
                  <c:pt idx="70">
                    <c:v>October 2024</c:v>
                  </c:pt>
                  <c:pt idx="71">
                    <c:v>November 2024</c:v>
                  </c:pt>
                  <c:pt idx="72">
                    <c:v>December 2024</c:v>
                  </c:pt>
                  <c:pt idx="73">
                    <c:v>January 2025</c:v>
                  </c:pt>
                  <c:pt idx="74">
                    <c:v>February 2025</c:v>
                  </c:pt>
                  <c:pt idx="75">
                    <c:v>March 2025</c:v>
                  </c:pt>
                  <c:pt idx="76">
                    <c:v>April 2025</c:v>
                  </c:pt>
                  <c:pt idx="77">
                    <c:v>May 2025</c:v>
                  </c:pt>
                  <c:pt idx="78">
                    <c:v>June 2025</c:v>
                  </c:pt>
                  <c:pt idx="79">
                    <c:v>July 2025</c:v>
                  </c:pt>
                  <c:pt idx="80">
                    <c:v>August 2025</c:v>
                  </c:pt>
                  <c:pt idx="81">
                    <c:v>September 2025</c:v>
                  </c:pt>
                  <c:pt idx="82">
                    <c:v>October 2025</c:v>
                  </c:pt>
                  <c:pt idx="83">
                    <c:v>November 2025</c:v>
                  </c:pt>
                  <c:pt idx="84">
                    <c:v>December 2025</c:v>
                  </c:pt>
                  <c:pt idx="85">
                    <c:v>January 2026</c:v>
                  </c:pt>
                  <c:pt idx="86">
                    <c:v>February 2026</c:v>
                  </c:pt>
                  <c:pt idx="87">
                    <c:v>March 2026</c:v>
                  </c:pt>
                  <c:pt idx="88">
                    <c:v>April 2026</c:v>
                  </c:pt>
                  <c:pt idx="89">
                    <c:v>May 2026</c:v>
                  </c:pt>
                  <c:pt idx="90">
                    <c:v>June 2026</c:v>
                  </c:pt>
                  <c:pt idx="91">
                    <c:v>July 2026</c:v>
                  </c:pt>
                  <c:pt idx="92">
                    <c:v>August 2026</c:v>
                  </c:pt>
                  <c:pt idx="93">
                    <c:v>September 2026</c:v>
                  </c:pt>
                  <c:pt idx="94">
                    <c:v>October 2026</c:v>
                  </c:pt>
                  <c:pt idx="95">
                    <c:v>November 2026</c:v>
                  </c:pt>
                  <c:pt idx="96">
                    <c:v>December 2026</c:v>
                  </c:pt>
                  <c:pt idx="97">
                    <c:v>January 2027</c:v>
                  </c:pt>
                  <c:pt idx="98">
                    <c:v>February 2027</c:v>
                  </c:pt>
                  <c:pt idx="99">
                    <c:v>March 2027</c:v>
                  </c:pt>
                  <c:pt idx="100">
                    <c:v>April 2027</c:v>
                  </c:pt>
                  <c:pt idx="101">
                    <c:v>May 2027</c:v>
                  </c:pt>
                  <c:pt idx="102">
                    <c:v>June 2027</c:v>
                  </c:pt>
                  <c:pt idx="103">
                    <c:v>July 2027</c:v>
                  </c:pt>
                  <c:pt idx="104">
                    <c:v>August 2027</c:v>
                  </c:pt>
                  <c:pt idx="105">
                    <c:v>September 2027</c:v>
                  </c:pt>
                  <c:pt idx="106">
                    <c:v>October 2027</c:v>
                  </c:pt>
                  <c:pt idx="107">
                    <c:v>November 2027</c:v>
                  </c:pt>
                  <c:pt idx="108">
                    <c:v>December 2027</c:v>
                  </c:pt>
                  <c:pt idx="109">
                    <c:v>January 2028</c:v>
                  </c:pt>
                  <c:pt idx="110">
                    <c:v>February 2028</c:v>
                  </c:pt>
                  <c:pt idx="111">
                    <c:v>March 2028</c:v>
                  </c:pt>
                  <c:pt idx="112">
                    <c:v>April 2028</c:v>
                  </c:pt>
                  <c:pt idx="113">
                    <c:v>May 2028</c:v>
                  </c:pt>
                  <c:pt idx="114">
                    <c:v>June 2028</c:v>
                  </c:pt>
                  <c:pt idx="115">
                    <c:v>July 2028</c:v>
                  </c:pt>
                  <c:pt idx="116">
                    <c:v>August 2028</c:v>
                  </c:pt>
                  <c:pt idx="117">
                    <c:v>September 2028</c:v>
                  </c:pt>
                  <c:pt idx="118">
                    <c:v>October 2028</c:v>
                  </c:pt>
                  <c:pt idx="119">
                    <c:v>November 2028</c:v>
                  </c:pt>
                  <c:pt idx="120">
                    <c:v>December 2028</c:v>
                  </c:pt>
                  <c:pt idx="121">
                    <c:v>January 2029</c:v>
                  </c:pt>
                  <c:pt idx="122">
                    <c:v>February 2029</c:v>
                  </c:pt>
                  <c:pt idx="123">
                    <c:v>March 2029</c:v>
                  </c:pt>
                  <c:pt idx="124">
                    <c:v>April 2029</c:v>
                  </c:pt>
                  <c:pt idx="125">
                    <c:v>May 2029</c:v>
                  </c:pt>
                  <c:pt idx="126">
                    <c:v>June 2029</c:v>
                  </c:pt>
                  <c:pt idx="127">
                    <c:v>July 2029</c:v>
                  </c:pt>
                  <c:pt idx="128">
                    <c:v>August 2029</c:v>
                  </c:pt>
                  <c:pt idx="129">
                    <c:v>September 2029</c:v>
                  </c:pt>
                  <c:pt idx="130">
                    <c:v>October 2029</c:v>
                  </c:pt>
                  <c:pt idx="131">
                    <c:v>November 2029</c:v>
                  </c:pt>
                  <c:pt idx="132">
                    <c:v>December 2029</c:v>
                  </c:pt>
                  <c:pt idx="133">
                    <c:v>January 2030</c:v>
                  </c:pt>
                  <c:pt idx="134">
                    <c:v>February 2030</c:v>
                  </c:pt>
                  <c:pt idx="135">
                    <c:v>March 2030</c:v>
                  </c:pt>
                  <c:pt idx="136">
                    <c:v>April 2030</c:v>
                  </c:pt>
                  <c:pt idx="137">
                    <c:v>May 2030</c:v>
                  </c:pt>
                  <c:pt idx="138">
                    <c:v>June 2030</c:v>
                  </c:pt>
                  <c:pt idx="139">
                    <c:v>July 2030</c:v>
                  </c:pt>
                  <c:pt idx="140">
                    <c:v>August 2030</c:v>
                  </c:pt>
                  <c:pt idx="141">
                    <c:v>September 2030</c:v>
                  </c:pt>
                  <c:pt idx="142">
                    <c:v>October 2030</c:v>
                  </c:pt>
                  <c:pt idx="143">
                    <c:v>November 2030</c:v>
                  </c:pt>
                  <c:pt idx="144">
                    <c:v>December 2030</c:v>
                  </c:pt>
                </c:lvl>
                <c:lvl>
                  <c:pt idx="1">
                    <c:v>2019-01-01</c:v>
                  </c:pt>
                  <c:pt idx="2">
                    <c:v>2019-02-01</c:v>
                  </c:pt>
                  <c:pt idx="3">
                    <c:v>2019-03-01</c:v>
                  </c:pt>
                  <c:pt idx="4">
                    <c:v>2019-04-01</c:v>
                  </c:pt>
                  <c:pt idx="5">
                    <c:v>2019-05-01</c:v>
                  </c:pt>
                  <c:pt idx="6">
                    <c:v>2019-06-01</c:v>
                  </c:pt>
                  <c:pt idx="7">
                    <c:v>2019-07-01</c:v>
                  </c:pt>
                  <c:pt idx="8">
                    <c:v>2019-08-01</c:v>
                  </c:pt>
                  <c:pt idx="9">
                    <c:v>2019-09-01</c:v>
                  </c:pt>
                  <c:pt idx="10">
                    <c:v>2019-10-01</c:v>
                  </c:pt>
                  <c:pt idx="11">
                    <c:v>2019-11-01</c:v>
                  </c:pt>
                  <c:pt idx="12">
                    <c:v>2019-12-01</c:v>
                  </c:pt>
                  <c:pt idx="13">
                    <c:v>2020-01-01</c:v>
                  </c:pt>
                  <c:pt idx="14">
                    <c:v>2020-02-01</c:v>
                  </c:pt>
                  <c:pt idx="15">
                    <c:v>2020-03-01</c:v>
                  </c:pt>
                  <c:pt idx="16">
                    <c:v>2020-04-01</c:v>
                  </c:pt>
                  <c:pt idx="17">
                    <c:v>2020-05-01</c:v>
                  </c:pt>
                  <c:pt idx="18">
                    <c:v>2020-06-01</c:v>
                  </c:pt>
                  <c:pt idx="19">
                    <c:v>2020-07-01</c:v>
                  </c:pt>
                  <c:pt idx="20">
                    <c:v>2020-08-01</c:v>
                  </c:pt>
                  <c:pt idx="21">
                    <c:v>2020-09-01</c:v>
                  </c:pt>
                  <c:pt idx="22">
                    <c:v>2020-10-01</c:v>
                  </c:pt>
                  <c:pt idx="23">
                    <c:v>2020-11-01</c:v>
                  </c:pt>
                  <c:pt idx="24">
                    <c:v>2020-12-01</c:v>
                  </c:pt>
                  <c:pt idx="25">
                    <c:v>2021-01-01</c:v>
                  </c:pt>
                  <c:pt idx="26">
                    <c:v>2021-02-01</c:v>
                  </c:pt>
                  <c:pt idx="27">
                    <c:v>2021-03-01</c:v>
                  </c:pt>
                  <c:pt idx="28">
                    <c:v>2021-04-01</c:v>
                  </c:pt>
                  <c:pt idx="29">
                    <c:v>2021-05-01</c:v>
                  </c:pt>
                  <c:pt idx="30">
                    <c:v>2021-06-01</c:v>
                  </c:pt>
                  <c:pt idx="31">
                    <c:v>2021-07-01</c:v>
                  </c:pt>
                  <c:pt idx="32">
                    <c:v>2021-08-01</c:v>
                  </c:pt>
                  <c:pt idx="33">
                    <c:v>2021-09-01</c:v>
                  </c:pt>
                  <c:pt idx="34">
                    <c:v>2021-10-01</c:v>
                  </c:pt>
                  <c:pt idx="35">
                    <c:v>2021-11-01</c:v>
                  </c:pt>
                  <c:pt idx="36">
                    <c:v>2021-12-01</c:v>
                  </c:pt>
                  <c:pt idx="37">
                    <c:v>2022-01-01</c:v>
                  </c:pt>
                  <c:pt idx="38">
                    <c:v>2022-02-01</c:v>
                  </c:pt>
                  <c:pt idx="39">
                    <c:v>2022-03-01</c:v>
                  </c:pt>
                  <c:pt idx="40">
                    <c:v>2022-04-01</c:v>
                  </c:pt>
                  <c:pt idx="41">
                    <c:v>2022-05-01</c:v>
                  </c:pt>
                  <c:pt idx="42">
                    <c:v>2022-06-01</c:v>
                  </c:pt>
                  <c:pt idx="43">
                    <c:v>2022-07-01</c:v>
                  </c:pt>
                  <c:pt idx="44">
                    <c:v>2022-08-01</c:v>
                  </c:pt>
                  <c:pt idx="45">
                    <c:v>2022-09-01</c:v>
                  </c:pt>
                  <c:pt idx="46">
                    <c:v>2022-10-01</c:v>
                  </c:pt>
                  <c:pt idx="47">
                    <c:v>2022-11-01</c:v>
                  </c:pt>
                  <c:pt idx="48">
                    <c:v>2022-12-01</c:v>
                  </c:pt>
                  <c:pt idx="49">
                    <c:v>2023-01-01</c:v>
                  </c:pt>
                  <c:pt idx="50">
                    <c:v>2023-02-01</c:v>
                  </c:pt>
                  <c:pt idx="51">
                    <c:v>2023-03-01</c:v>
                  </c:pt>
                  <c:pt idx="52">
                    <c:v>2023-04-01</c:v>
                  </c:pt>
                  <c:pt idx="53">
                    <c:v>2023-05-01</c:v>
                  </c:pt>
                  <c:pt idx="54">
                    <c:v>2023-06-01</c:v>
                  </c:pt>
                  <c:pt idx="55">
                    <c:v>2023-07-01</c:v>
                  </c:pt>
                  <c:pt idx="56">
                    <c:v>2023-08-01</c:v>
                  </c:pt>
                  <c:pt idx="57">
                    <c:v>2023-09-01</c:v>
                  </c:pt>
                  <c:pt idx="58">
                    <c:v>2023-10-01</c:v>
                  </c:pt>
                  <c:pt idx="59">
                    <c:v>2023-11-01</c:v>
                  </c:pt>
                  <c:pt idx="60">
                    <c:v>2023-12-01</c:v>
                  </c:pt>
                  <c:pt idx="61">
                    <c:v>2024-01-01</c:v>
                  </c:pt>
                  <c:pt idx="62">
                    <c:v>2024-02-01</c:v>
                  </c:pt>
                  <c:pt idx="63">
                    <c:v>2024-03-01</c:v>
                  </c:pt>
                  <c:pt idx="64">
                    <c:v>2024-04-01</c:v>
                  </c:pt>
                  <c:pt idx="65">
                    <c:v>2024-05-01</c:v>
                  </c:pt>
                  <c:pt idx="66">
                    <c:v>2024-06-01</c:v>
                  </c:pt>
                  <c:pt idx="67">
                    <c:v>2024-07-01</c:v>
                  </c:pt>
                  <c:pt idx="68">
                    <c:v>2024-08-01</c:v>
                  </c:pt>
                  <c:pt idx="69">
                    <c:v>2024-09-01</c:v>
                  </c:pt>
                  <c:pt idx="70">
                    <c:v>2024-10-01</c:v>
                  </c:pt>
                  <c:pt idx="71">
                    <c:v>2024-11-01</c:v>
                  </c:pt>
                  <c:pt idx="72">
                    <c:v>2024-12-01</c:v>
                  </c:pt>
                  <c:pt idx="73">
                    <c:v>2025-01-01</c:v>
                  </c:pt>
                  <c:pt idx="74">
                    <c:v>2025-02-01</c:v>
                  </c:pt>
                  <c:pt idx="75">
                    <c:v>2025-03-01</c:v>
                  </c:pt>
                  <c:pt idx="76">
                    <c:v>2025-04-01</c:v>
                  </c:pt>
                  <c:pt idx="77">
                    <c:v>2025-05-01</c:v>
                  </c:pt>
                  <c:pt idx="78">
                    <c:v>2025-06-01</c:v>
                  </c:pt>
                  <c:pt idx="79">
                    <c:v>2025-07-01</c:v>
                  </c:pt>
                  <c:pt idx="80">
                    <c:v>2025-08-01</c:v>
                  </c:pt>
                  <c:pt idx="81">
                    <c:v>2025-09-01</c:v>
                  </c:pt>
                  <c:pt idx="82">
                    <c:v>2025-10-01</c:v>
                  </c:pt>
                  <c:pt idx="83">
                    <c:v>2025-11-01</c:v>
                  </c:pt>
                  <c:pt idx="84">
                    <c:v>2025-12-01</c:v>
                  </c:pt>
                  <c:pt idx="85">
                    <c:v>2026-01-01</c:v>
                  </c:pt>
                  <c:pt idx="86">
                    <c:v>2026-02-01</c:v>
                  </c:pt>
                  <c:pt idx="87">
                    <c:v>2026-03-01</c:v>
                  </c:pt>
                  <c:pt idx="88">
                    <c:v>2026-04-01</c:v>
                  </c:pt>
                  <c:pt idx="89">
                    <c:v>2026-05-01</c:v>
                  </c:pt>
                  <c:pt idx="90">
                    <c:v>2026-06-01</c:v>
                  </c:pt>
                  <c:pt idx="91">
                    <c:v>2026-07-01</c:v>
                  </c:pt>
                  <c:pt idx="92">
                    <c:v>2026-08-01</c:v>
                  </c:pt>
                  <c:pt idx="93">
                    <c:v>2026-09-01</c:v>
                  </c:pt>
                  <c:pt idx="94">
                    <c:v>2026-10-01</c:v>
                  </c:pt>
                  <c:pt idx="95">
                    <c:v>2026-11-01</c:v>
                  </c:pt>
                  <c:pt idx="96">
                    <c:v>2026-12-01</c:v>
                  </c:pt>
                  <c:pt idx="97">
                    <c:v>2027-01-01</c:v>
                  </c:pt>
                  <c:pt idx="98">
                    <c:v>2027-02-01</c:v>
                  </c:pt>
                  <c:pt idx="99">
                    <c:v>2027-03-01</c:v>
                  </c:pt>
                  <c:pt idx="100">
                    <c:v>2027-04-01</c:v>
                  </c:pt>
                  <c:pt idx="101">
                    <c:v>2027-05-01</c:v>
                  </c:pt>
                  <c:pt idx="102">
                    <c:v>2027-06-01</c:v>
                  </c:pt>
                  <c:pt idx="103">
                    <c:v>2027-07-01</c:v>
                  </c:pt>
                  <c:pt idx="104">
                    <c:v>2027-08-01</c:v>
                  </c:pt>
                  <c:pt idx="105">
                    <c:v>2027-09-01</c:v>
                  </c:pt>
                  <c:pt idx="106">
                    <c:v>2027-10-01</c:v>
                  </c:pt>
                  <c:pt idx="107">
                    <c:v>2027-11-01</c:v>
                  </c:pt>
                  <c:pt idx="108">
                    <c:v>2027-12-01</c:v>
                  </c:pt>
                  <c:pt idx="109">
                    <c:v>2028-01-01</c:v>
                  </c:pt>
                  <c:pt idx="110">
                    <c:v>2028-02-01</c:v>
                  </c:pt>
                  <c:pt idx="111">
                    <c:v>2028-03-01</c:v>
                  </c:pt>
                  <c:pt idx="112">
                    <c:v>2028-04-01</c:v>
                  </c:pt>
                  <c:pt idx="113">
                    <c:v>2028-05-01</c:v>
                  </c:pt>
                  <c:pt idx="114">
                    <c:v>2028-06-01</c:v>
                  </c:pt>
                  <c:pt idx="115">
                    <c:v>2028-07-01</c:v>
                  </c:pt>
                  <c:pt idx="116">
                    <c:v>2028-08-01</c:v>
                  </c:pt>
                  <c:pt idx="117">
                    <c:v>2028-09-01</c:v>
                  </c:pt>
                  <c:pt idx="118">
                    <c:v>2028-10-01</c:v>
                  </c:pt>
                  <c:pt idx="119">
                    <c:v>2028-11-01</c:v>
                  </c:pt>
                  <c:pt idx="120">
                    <c:v>2028-12-01</c:v>
                  </c:pt>
                  <c:pt idx="121">
                    <c:v>2029-01-01</c:v>
                  </c:pt>
                  <c:pt idx="122">
                    <c:v>2029-02-01</c:v>
                  </c:pt>
                  <c:pt idx="123">
                    <c:v>2029-03-01</c:v>
                  </c:pt>
                  <c:pt idx="124">
                    <c:v>2029-04-01</c:v>
                  </c:pt>
                  <c:pt idx="125">
                    <c:v>2029-05-01</c:v>
                  </c:pt>
                  <c:pt idx="126">
                    <c:v>2029-06-01</c:v>
                  </c:pt>
                  <c:pt idx="127">
                    <c:v>2029-07-01</c:v>
                  </c:pt>
                  <c:pt idx="128">
                    <c:v>2029-08-01</c:v>
                  </c:pt>
                  <c:pt idx="129">
                    <c:v>2029-09-01</c:v>
                  </c:pt>
                  <c:pt idx="130">
                    <c:v>2029-10-01</c:v>
                  </c:pt>
                  <c:pt idx="131">
                    <c:v>2029-11-01</c:v>
                  </c:pt>
                  <c:pt idx="132">
                    <c:v>2029-12-01</c:v>
                  </c:pt>
                  <c:pt idx="133">
                    <c:v>2030-01-01</c:v>
                  </c:pt>
                  <c:pt idx="134">
                    <c:v>2030-02-01</c:v>
                  </c:pt>
                  <c:pt idx="135">
                    <c:v>2030-03-01</c:v>
                  </c:pt>
                  <c:pt idx="136">
                    <c:v>2030-04-01</c:v>
                  </c:pt>
                  <c:pt idx="137">
                    <c:v>2030-05-01</c:v>
                  </c:pt>
                  <c:pt idx="138">
                    <c:v>2030-06-01</c:v>
                  </c:pt>
                  <c:pt idx="139">
                    <c:v>2030-07-01</c:v>
                  </c:pt>
                  <c:pt idx="140">
                    <c:v>2030-08-01</c:v>
                  </c:pt>
                  <c:pt idx="141">
                    <c:v>2030-09-01</c:v>
                  </c:pt>
                  <c:pt idx="142">
                    <c:v>2030-10-01</c:v>
                  </c:pt>
                  <c:pt idx="143">
                    <c:v>2030-11-01</c:v>
                  </c:pt>
                  <c:pt idx="144">
                    <c:v>2030-12-01</c:v>
                  </c:pt>
                </c:lvl>
              </c:multiLvlStrCache>
            </c:multiLvlStrRef>
          </c:cat>
          <c:val>
            <c:numRef>
              <c:f>Overview!$J$3:$J$147</c:f>
              <c:numCache>
                <c:formatCode>_("$"* #,##0.00_);_("$"* \(#,##0.00\);_("$"* "-"??_);_(@_)</c:formatCode>
                <c:ptCount val="145"/>
                <c:pt idx="1">
                  <c:v>-55.5</c:v>
                </c:pt>
                <c:pt idx="2">
                  <c:v>0</c:v>
                </c:pt>
                <c:pt idx="3">
                  <c:v>-809.43999999999994</c:v>
                </c:pt>
                <c:pt idx="4">
                  <c:v>-29.22</c:v>
                </c:pt>
                <c:pt idx="5">
                  <c:v>-6.16</c:v>
                </c:pt>
                <c:pt idx="6">
                  <c:v>-350.57</c:v>
                </c:pt>
                <c:pt idx="7">
                  <c:v>40</c:v>
                </c:pt>
                <c:pt idx="8">
                  <c:v>-50.61</c:v>
                </c:pt>
                <c:pt idx="9">
                  <c:v>-26.05</c:v>
                </c:pt>
                <c:pt idx="10">
                  <c:v>-256.2</c:v>
                </c:pt>
                <c:pt idx="11">
                  <c:v>-84.600000000000009</c:v>
                </c:pt>
                <c:pt idx="12">
                  <c:v>-273.05</c:v>
                </c:pt>
                <c:pt idx="13">
                  <c:v>0</c:v>
                </c:pt>
                <c:pt idx="14">
                  <c:v>-55.05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-208.93</c:v>
                </c:pt>
                <c:pt idx="19">
                  <c:v>0</c:v>
                </c:pt>
                <c:pt idx="20">
                  <c:v>-925.68000000000006</c:v>
                </c:pt>
                <c:pt idx="21">
                  <c:v>-33.840000000000003</c:v>
                </c:pt>
                <c:pt idx="22">
                  <c:v>-250.56</c:v>
                </c:pt>
                <c:pt idx="23">
                  <c:v>-320.66000000000003</c:v>
                </c:pt>
                <c:pt idx="24">
                  <c:v>-194.42</c:v>
                </c:pt>
                <c:pt idx="25">
                  <c:v>-512.49</c:v>
                </c:pt>
                <c:pt idx="26">
                  <c:v>-751.4</c:v>
                </c:pt>
                <c:pt idx="27">
                  <c:v>-86.87</c:v>
                </c:pt>
                <c:pt idx="28">
                  <c:v>-39.869999999999997</c:v>
                </c:pt>
                <c:pt idx="29">
                  <c:v>-296.69</c:v>
                </c:pt>
                <c:pt idx="30">
                  <c:v>-108.50999999999999</c:v>
                </c:pt>
                <c:pt idx="31">
                  <c:v>1829.9099999999999</c:v>
                </c:pt>
                <c:pt idx="32">
                  <c:v>-81.02</c:v>
                </c:pt>
                <c:pt idx="33">
                  <c:v>-1325.69</c:v>
                </c:pt>
                <c:pt idx="34">
                  <c:v>-170.92000000000002</c:v>
                </c:pt>
                <c:pt idx="35">
                  <c:v>-39.06</c:v>
                </c:pt>
                <c:pt idx="36">
                  <c:v>-78.55</c:v>
                </c:pt>
                <c:pt idx="37">
                  <c:v>-169.84</c:v>
                </c:pt>
                <c:pt idx="38">
                  <c:v>-52.629999999999995</c:v>
                </c:pt>
                <c:pt idx="39">
                  <c:v>0</c:v>
                </c:pt>
                <c:pt idx="40">
                  <c:v>-388.63</c:v>
                </c:pt>
                <c:pt idx="41">
                  <c:v>-125.73</c:v>
                </c:pt>
                <c:pt idx="42">
                  <c:v>-68.8</c:v>
                </c:pt>
                <c:pt idx="43">
                  <c:v>-342.06000000000006</c:v>
                </c:pt>
                <c:pt idx="44">
                  <c:v>-213.21999999999997</c:v>
                </c:pt>
                <c:pt idx="45">
                  <c:v>-1032.28</c:v>
                </c:pt>
                <c:pt idx="46">
                  <c:v>-200</c:v>
                </c:pt>
                <c:pt idx="47">
                  <c:v>-90.48</c:v>
                </c:pt>
                <c:pt idx="48">
                  <c:v>-160.84</c:v>
                </c:pt>
                <c:pt idx="49">
                  <c:v>-382.01000000000005</c:v>
                </c:pt>
                <c:pt idx="50">
                  <c:v>-223.33</c:v>
                </c:pt>
                <c:pt idx="51">
                  <c:v>-36.89</c:v>
                </c:pt>
                <c:pt idx="52">
                  <c:v>-289.87</c:v>
                </c:pt>
                <c:pt idx="53">
                  <c:v>-533.30999999999995</c:v>
                </c:pt>
                <c:pt idx="54">
                  <c:v>-283.71000000000004</c:v>
                </c:pt>
                <c:pt idx="55">
                  <c:v>-119.63</c:v>
                </c:pt>
                <c:pt idx="56">
                  <c:v>-120.78999999999999</c:v>
                </c:pt>
                <c:pt idx="57">
                  <c:v>-104.77000000000001</c:v>
                </c:pt>
                <c:pt idx="58">
                  <c:v>-38.39</c:v>
                </c:pt>
                <c:pt idx="59">
                  <c:v>-125.4</c:v>
                </c:pt>
                <c:pt idx="60">
                  <c:v>-161.19</c:v>
                </c:pt>
                <c:pt idx="61">
                  <c:v>-60.09</c:v>
                </c:pt>
                <c:pt idx="62">
                  <c:v>-10.55</c:v>
                </c:pt>
                <c:pt idx="63">
                  <c:v>-155.10000000000002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</c:ser>
        <c:ser>
          <c:idx val="8"/>
          <c:order val="8"/>
          <c:tx>
            <c:strRef>
              <c:f>Overview!$K$2</c:f>
              <c:strCache>
                <c:ptCount val="1"/>
                <c:pt idx="0">
                  <c:v>Education</c:v>
                </c:pt>
              </c:strCache>
            </c:strRef>
          </c:tx>
          <c:invertIfNegative val="0"/>
          <c:cat>
            <c:multiLvlStrRef>
              <c:f>Overview!$A$3:$B$147</c:f>
              <c:multiLvlStrCache>
                <c:ptCount val="145"/>
                <c:lvl>
                  <c:pt idx="1">
                    <c:v>January 2019</c:v>
                  </c:pt>
                  <c:pt idx="2">
                    <c:v>February 2019</c:v>
                  </c:pt>
                  <c:pt idx="3">
                    <c:v>March 2019</c:v>
                  </c:pt>
                  <c:pt idx="4">
                    <c:v>April 2019</c:v>
                  </c:pt>
                  <c:pt idx="5">
                    <c:v>May 2019</c:v>
                  </c:pt>
                  <c:pt idx="6">
                    <c:v>June 2019</c:v>
                  </c:pt>
                  <c:pt idx="7">
                    <c:v>July 2019</c:v>
                  </c:pt>
                  <c:pt idx="8">
                    <c:v>August 2019</c:v>
                  </c:pt>
                  <c:pt idx="9">
                    <c:v>September 2019</c:v>
                  </c:pt>
                  <c:pt idx="10">
                    <c:v>October 2019</c:v>
                  </c:pt>
                  <c:pt idx="11">
                    <c:v>November 2019</c:v>
                  </c:pt>
                  <c:pt idx="12">
                    <c:v>December 2019</c:v>
                  </c:pt>
                  <c:pt idx="13">
                    <c:v>January 2020</c:v>
                  </c:pt>
                  <c:pt idx="14">
                    <c:v>February 2020</c:v>
                  </c:pt>
                  <c:pt idx="15">
                    <c:v>March 2020</c:v>
                  </c:pt>
                  <c:pt idx="16">
                    <c:v>April 2020</c:v>
                  </c:pt>
                  <c:pt idx="17">
                    <c:v>May 2020</c:v>
                  </c:pt>
                  <c:pt idx="18">
                    <c:v>June 2020</c:v>
                  </c:pt>
                  <c:pt idx="19">
                    <c:v>July 2020</c:v>
                  </c:pt>
                  <c:pt idx="20">
                    <c:v>August 2020</c:v>
                  </c:pt>
                  <c:pt idx="21">
                    <c:v>September 2020</c:v>
                  </c:pt>
                  <c:pt idx="22">
                    <c:v>October 2020</c:v>
                  </c:pt>
                  <c:pt idx="23">
                    <c:v>November 2020</c:v>
                  </c:pt>
                  <c:pt idx="24">
                    <c:v>December 2020</c:v>
                  </c:pt>
                  <c:pt idx="25">
                    <c:v>January 2021</c:v>
                  </c:pt>
                  <c:pt idx="26">
                    <c:v>February 2021</c:v>
                  </c:pt>
                  <c:pt idx="27">
                    <c:v>March 2021</c:v>
                  </c:pt>
                  <c:pt idx="28">
                    <c:v>April 2021</c:v>
                  </c:pt>
                  <c:pt idx="29">
                    <c:v>May 2021</c:v>
                  </c:pt>
                  <c:pt idx="30">
                    <c:v>June 2021</c:v>
                  </c:pt>
                  <c:pt idx="31">
                    <c:v>July 2021</c:v>
                  </c:pt>
                  <c:pt idx="32">
                    <c:v>August 2021</c:v>
                  </c:pt>
                  <c:pt idx="33">
                    <c:v>September 2021</c:v>
                  </c:pt>
                  <c:pt idx="34">
                    <c:v>October 2021</c:v>
                  </c:pt>
                  <c:pt idx="35">
                    <c:v>November 2021</c:v>
                  </c:pt>
                  <c:pt idx="36">
                    <c:v>December 2021</c:v>
                  </c:pt>
                  <c:pt idx="37">
                    <c:v>January 2022</c:v>
                  </c:pt>
                  <c:pt idx="38">
                    <c:v>February 2022</c:v>
                  </c:pt>
                  <c:pt idx="39">
                    <c:v>March 2022</c:v>
                  </c:pt>
                  <c:pt idx="40">
                    <c:v>April 2022</c:v>
                  </c:pt>
                  <c:pt idx="41">
                    <c:v>May 2022</c:v>
                  </c:pt>
                  <c:pt idx="42">
                    <c:v>June 2022</c:v>
                  </c:pt>
                  <c:pt idx="43">
                    <c:v>July 2022</c:v>
                  </c:pt>
                  <c:pt idx="44">
                    <c:v>August 2022</c:v>
                  </c:pt>
                  <c:pt idx="45">
                    <c:v>September 2022</c:v>
                  </c:pt>
                  <c:pt idx="46">
                    <c:v>October 2022</c:v>
                  </c:pt>
                  <c:pt idx="47">
                    <c:v>November 2022</c:v>
                  </c:pt>
                  <c:pt idx="48">
                    <c:v>December 2022</c:v>
                  </c:pt>
                  <c:pt idx="49">
                    <c:v>January 2023</c:v>
                  </c:pt>
                  <c:pt idx="50">
                    <c:v>February 2023</c:v>
                  </c:pt>
                  <c:pt idx="51">
                    <c:v>March 2023</c:v>
                  </c:pt>
                  <c:pt idx="52">
                    <c:v>April 2023</c:v>
                  </c:pt>
                  <c:pt idx="53">
                    <c:v>May 2023</c:v>
                  </c:pt>
                  <c:pt idx="54">
                    <c:v>June 2023</c:v>
                  </c:pt>
                  <c:pt idx="55">
                    <c:v>July 2023</c:v>
                  </c:pt>
                  <c:pt idx="56">
                    <c:v>August 2023</c:v>
                  </c:pt>
                  <c:pt idx="57">
                    <c:v>September 2023</c:v>
                  </c:pt>
                  <c:pt idx="58">
                    <c:v>October 2023</c:v>
                  </c:pt>
                  <c:pt idx="59">
                    <c:v>November 2023</c:v>
                  </c:pt>
                  <c:pt idx="60">
                    <c:v>December 2023</c:v>
                  </c:pt>
                  <c:pt idx="61">
                    <c:v>January 2024</c:v>
                  </c:pt>
                  <c:pt idx="62">
                    <c:v>February 2024</c:v>
                  </c:pt>
                  <c:pt idx="63">
                    <c:v>March 2024</c:v>
                  </c:pt>
                  <c:pt idx="64">
                    <c:v>April 2024</c:v>
                  </c:pt>
                  <c:pt idx="65">
                    <c:v>May 2024</c:v>
                  </c:pt>
                  <c:pt idx="66">
                    <c:v>June 2024</c:v>
                  </c:pt>
                  <c:pt idx="67">
                    <c:v>July 2024</c:v>
                  </c:pt>
                  <c:pt idx="68">
                    <c:v>August 2024</c:v>
                  </c:pt>
                  <c:pt idx="69">
                    <c:v>September 2024</c:v>
                  </c:pt>
                  <c:pt idx="70">
                    <c:v>October 2024</c:v>
                  </c:pt>
                  <c:pt idx="71">
                    <c:v>November 2024</c:v>
                  </c:pt>
                  <c:pt idx="72">
                    <c:v>December 2024</c:v>
                  </c:pt>
                  <c:pt idx="73">
                    <c:v>January 2025</c:v>
                  </c:pt>
                  <c:pt idx="74">
                    <c:v>February 2025</c:v>
                  </c:pt>
                  <c:pt idx="75">
                    <c:v>March 2025</c:v>
                  </c:pt>
                  <c:pt idx="76">
                    <c:v>April 2025</c:v>
                  </c:pt>
                  <c:pt idx="77">
                    <c:v>May 2025</c:v>
                  </c:pt>
                  <c:pt idx="78">
                    <c:v>June 2025</c:v>
                  </c:pt>
                  <c:pt idx="79">
                    <c:v>July 2025</c:v>
                  </c:pt>
                  <c:pt idx="80">
                    <c:v>August 2025</c:v>
                  </c:pt>
                  <c:pt idx="81">
                    <c:v>September 2025</c:v>
                  </c:pt>
                  <c:pt idx="82">
                    <c:v>October 2025</c:v>
                  </c:pt>
                  <c:pt idx="83">
                    <c:v>November 2025</c:v>
                  </c:pt>
                  <c:pt idx="84">
                    <c:v>December 2025</c:v>
                  </c:pt>
                  <c:pt idx="85">
                    <c:v>January 2026</c:v>
                  </c:pt>
                  <c:pt idx="86">
                    <c:v>February 2026</c:v>
                  </c:pt>
                  <c:pt idx="87">
                    <c:v>March 2026</c:v>
                  </c:pt>
                  <c:pt idx="88">
                    <c:v>April 2026</c:v>
                  </c:pt>
                  <c:pt idx="89">
                    <c:v>May 2026</c:v>
                  </c:pt>
                  <c:pt idx="90">
                    <c:v>June 2026</c:v>
                  </c:pt>
                  <c:pt idx="91">
                    <c:v>July 2026</c:v>
                  </c:pt>
                  <c:pt idx="92">
                    <c:v>August 2026</c:v>
                  </c:pt>
                  <c:pt idx="93">
                    <c:v>September 2026</c:v>
                  </c:pt>
                  <c:pt idx="94">
                    <c:v>October 2026</c:v>
                  </c:pt>
                  <c:pt idx="95">
                    <c:v>November 2026</c:v>
                  </c:pt>
                  <c:pt idx="96">
                    <c:v>December 2026</c:v>
                  </c:pt>
                  <c:pt idx="97">
                    <c:v>January 2027</c:v>
                  </c:pt>
                  <c:pt idx="98">
                    <c:v>February 2027</c:v>
                  </c:pt>
                  <c:pt idx="99">
                    <c:v>March 2027</c:v>
                  </c:pt>
                  <c:pt idx="100">
                    <c:v>April 2027</c:v>
                  </c:pt>
                  <c:pt idx="101">
                    <c:v>May 2027</c:v>
                  </c:pt>
                  <c:pt idx="102">
                    <c:v>June 2027</c:v>
                  </c:pt>
                  <c:pt idx="103">
                    <c:v>July 2027</c:v>
                  </c:pt>
                  <c:pt idx="104">
                    <c:v>August 2027</c:v>
                  </c:pt>
                  <c:pt idx="105">
                    <c:v>September 2027</c:v>
                  </c:pt>
                  <c:pt idx="106">
                    <c:v>October 2027</c:v>
                  </c:pt>
                  <c:pt idx="107">
                    <c:v>November 2027</c:v>
                  </c:pt>
                  <c:pt idx="108">
                    <c:v>December 2027</c:v>
                  </c:pt>
                  <c:pt idx="109">
                    <c:v>January 2028</c:v>
                  </c:pt>
                  <c:pt idx="110">
                    <c:v>February 2028</c:v>
                  </c:pt>
                  <c:pt idx="111">
                    <c:v>March 2028</c:v>
                  </c:pt>
                  <c:pt idx="112">
                    <c:v>April 2028</c:v>
                  </c:pt>
                  <c:pt idx="113">
                    <c:v>May 2028</c:v>
                  </c:pt>
                  <c:pt idx="114">
                    <c:v>June 2028</c:v>
                  </c:pt>
                  <c:pt idx="115">
                    <c:v>July 2028</c:v>
                  </c:pt>
                  <c:pt idx="116">
                    <c:v>August 2028</c:v>
                  </c:pt>
                  <c:pt idx="117">
                    <c:v>September 2028</c:v>
                  </c:pt>
                  <c:pt idx="118">
                    <c:v>October 2028</c:v>
                  </c:pt>
                  <c:pt idx="119">
                    <c:v>November 2028</c:v>
                  </c:pt>
                  <c:pt idx="120">
                    <c:v>December 2028</c:v>
                  </c:pt>
                  <c:pt idx="121">
                    <c:v>January 2029</c:v>
                  </c:pt>
                  <c:pt idx="122">
                    <c:v>February 2029</c:v>
                  </c:pt>
                  <c:pt idx="123">
                    <c:v>March 2029</c:v>
                  </c:pt>
                  <c:pt idx="124">
                    <c:v>April 2029</c:v>
                  </c:pt>
                  <c:pt idx="125">
                    <c:v>May 2029</c:v>
                  </c:pt>
                  <c:pt idx="126">
                    <c:v>June 2029</c:v>
                  </c:pt>
                  <c:pt idx="127">
                    <c:v>July 2029</c:v>
                  </c:pt>
                  <c:pt idx="128">
                    <c:v>August 2029</c:v>
                  </c:pt>
                  <c:pt idx="129">
                    <c:v>September 2029</c:v>
                  </c:pt>
                  <c:pt idx="130">
                    <c:v>October 2029</c:v>
                  </c:pt>
                  <c:pt idx="131">
                    <c:v>November 2029</c:v>
                  </c:pt>
                  <c:pt idx="132">
                    <c:v>December 2029</c:v>
                  </c:pt>
                  <c:pt idx="133">
                    <c:v>January 2030</c:v>
                  </c:pt>
                  <c:pt idx="134">
                    <c:v>February 2030</c:v>
                  </c:pt>
                  <c:pt idx="135">
                    <c:v>March 2030</c:v>
                  </c:pt>
                  <c:pt idx="136">
                    <c:v>April 2030</c:v>
                  </c:pt>
                  <c:pt idx="137">
                    <c:v>May 2030</c:v>
                  </c:pt>
                  <c:pt idx="138">
                    <c:v>June 2030</c:v>
                  </c:pt>
                  <c:pt idx="139">
                    <c:v>July 2030</c:v>
                  </c:pt>
                  <c:pt idx="140">
                    <c:v>August 2030</c:v>
                  </c:pt>
                  <c:pt idx="141">
                    <c:v>September 2030</c:v>
                  </c:pt>
                  <c:pt idx="142">
                    <c:v>October 2030</c:v>
                  </c:pt>
                  <c:pt idx="143">
                    <c:v>November 2030</c:v>
                  </c:pt>
                  <c:pt idx="144">
                    <c:v>December 2030</c:v>
                  </c:pt>
                </c:lvl>
                <c:lvl>
                  <c:pt idx="1">
                    <c:v>2019-01-01</c:v>
                  </c:pt>
                  <c:pt idx="2">
                    <c:v>2019-02-01</c:v>
                  </c:pt>
                  <c:pt idx="3">
                    <c:v>2019-03-01</c:v>
                  </c:pt>
                  <c:pt idx="4">
                    <c:v>2019-04-01</c:v>
                  </c:pt>
                  <c:pt idx="5">
                    <c:v>2019-05-01</c:v>
                  </c:pt>
                  <c:pt idx="6">
                    <c:v>2019-06-01</c:v>
                  </c:pt>
                  <c:pt idx="7">
                    <c:v>2019-07-01</c:v>
                  </c:pt>
                  <c:pt idx="8">
                    <c:v>2019-08-01</c:v>
                  </c:pt>
                  <c:pt idx="9">
                    <c:v>2019-09-01</c:v>
                  </c:pt>
                  <c:pt idx="10">
                    <c:v>2019-10-01</c:v>
                  </c:pt>
                  <c:pt idx="11">
                    <c:v>2019-11-01</c:v>
                  </c:pt>
                  <c:pt idx="12">
                    <c:v>2019-12-01</c:v>
                  </c:pt>
                  <c:pt idx="13">
                    <c:v>2020-01-01</c:v>
                  </c:pt>
                  <c:pt idx="14">
                    <c:v>2020-02-01</c:v>
                  </c:pt>
                  <c:pt idx="15">
                    <c:v>2020-03-01</c:v>
                  </c:pt>
                  <c:pt idx="16">
                    <c:v>2020-04-01</c:v>
                  </c:pt>
                  <c:pt idx="17">
                    <c:v>2020-05-01</c:v>
                  </c:pt>
                  <c:pt idx="18">
                    <c:v>2020-06-01</c:v>
                  </c:pt>
                  <c:pt idx="19">
                    <c:v>2020-07-01</c:v>
                  </c:pt>
                  <c:pt idx="20">
                    <c:v>2020-08-01</c:v>
                  </c:pt>
                  <c:pt idx="21">
                    <c:v>2020-09-01</c:v>
                  </c:pt>
                  <c:pt idx="22">
                    <c:v>2020-10-01</c:v>
                  </c:pt>
                  <c:pt idx="23">
                    <c:v>2020-11-01</c:v>
                  </c:pt>
                  <c:pt idx="24">
                    <c:v>2020-12-01</c:v>
                  </c:pt>
                  <c:pt idx="25">
                    <c:v>2021-01-01</c:v>
                  </c:pt>
                  <c:pt idx="26">
                    <c:v>2021-02-01</c:v>
                  </c:pt>
                  <c:pt idx="27">
                    <c:v>2021-03-01</c:v>
                  </c:pt>
                  <c:pt idx="28">
                    <c:v>2021-04-01</c:v>
                  </c:pt>
                  <c:pt idx="29">
                    <c:v>2021-05-01</c:v>
                  </c:pt>
                  <c:pt idx="30">
                    <c:v>2021-06-01</c:v>
                  </c:pt>
                  <c:pt idx="31">
                    <c:v>2021-07-01</c:v>
                  </c:pt>
                  <c:pt idx="32">
                    <c:v>2021-08-01</c:v>
                  </c:pt>
                  <c:pt idx="33">
                    <c:v>2021-09-01</c:v>
                  </c:pt>
                  <c:pt idx="34">
                    <c:v>2021-10-01</c:v>
                  </c:pt>
                  <c:pt idx="35">
                    <c:v>2021-11-01</c:v>
                  </c:pt>
                  <c:pt idx="36">
                    <c:v>2021-12-01</c:v>
                  </c:pt>
                  <c:pt idx="37">
                    <c:v>2022-01-01</c:v>
                  </c:pt>
                  <c:pt idx="38">
                    <c:v>2022-02-01</c:v>
                  </c:pt>
                  <c:pt idx="39">
                    <c:v>2022-03-01</c:v>
                  </c:pt>
                  <c:pt idx="40">
                    <c:v>2022-04-01</c:v>
                  </c:pt>
                  <c:pt idx="41">
                    <c:v>2022-05-01</c:v>
                  </c:pt>
                  <c:pt idx="42">
                    <c:v>2022-06-01</c:v>
                  </c:pt>
                  <c:pt idx="43">
                    <c:v>2022-07-01</c:v>
                  </c:pt>
                  <c:pt idx="44">
                    <c:v>2022-08-01</c:v>
                  </c:pt>
                  <c:pt idx="45">
                    <c:v>2022-09-01</c:v>
                  </c:pt>
                  <c:pt idx="46">
                    <c:v>2022-10-01</c:v>
                  </c:pt>
                  <c:pt idx="47">
                    <c:v>2022-11-01</c:v>
                  </c:pt>
                  <c:pt idx="48">
                    <c:v>2022-12-01</c:v>
                  </c:pt>
                  <c:pt idx="49">
                    <c:v>2023-01-01</c:v>
                  </c:pt>
                  <c:pt idx="50">
                    <c:v>2023-02-01</c:v>
                  </c:pt>
                  <c:pt idx="51">
                    <c:v>2023-03-01</c:v>
                  </c:pt>
                  <c:pt idx="52">
                    <c:v>2023-04-01</c:v>
                  </c:pt>
                  <c:pt idx="53">
                    <c:v>2023-05-01</c:v>
                  </c:pt>
                  <c:pt idx="54">
                    <c:v>2023-06-01</c:v>
                  </c:pt>
                  <c:pt idx="55">
                    <c:v>2023-07-01</c:v>
                  </c:pt>
                  <c:pt idx="56">
                    <c:v>2023-08-01</c:v>
                  </c:pt>
                  <c:pt idx="57">
                    <c:v>2023-09-01</c:v>
                  </c:pt>
                  <c:pt idx="58">
                    <c:v>2023-10-01</c:v>
                  </c:pt>
                  <c:pt idx="59">
                    <c:v>2023-11-01</c:v>
                  </c:pt>
                  <c:pt idx="60">
                    <c:v>2023-12-01</c:v>
                  </c:pt>
                  <c:pt idx="61">
                    <c:v>2024-01-01</c:v>
                  </c:pt>
                  <c:pt idx="62">
                    <c:v>2024-02-01</c:v>
                  </c:pt>
                  <c:pt idx="63">
                    <c:v>2024-03-01</c:v>
                  </c:pt>
                  <c:pt idx="64">
                    <c:v>2024-04-01</c:v>
                  </c:pt>
                  <c:pt idx="65">
                    <c:v>2024-05-01</c:v>
                  </c:pt>
                  <c:pt idx="66">
                    <c:v>2024-06-01</c:v>
                  </c:pt>
                  <c:pt idx="67">
                    <c:v>2024-07-01</c:v>
                  </c:pt>
                  <c:pt idx="68">
                    <c:v>2024-08-01</c:v>
                  </c:pt>
                  <c:pt idx="69">
                    <c:v>2024-09-01</c:v>
                  </c:pt>
                  <c:pt idx="70">
                    <c:v>2024-10-01</c:v>
                  </c:pt>
                  <c:pt idx="71">
                    <c:v>2024-11-01</c:v>
                  </c:pt>
                  <c:pt idx="72">
                    <c:v>2024-12-01</c:v>
                  </c:pt>
                  <c:pt idx="73">
                    <c:v>2025-01-01</c:v>
                  </c:pt>
                  <c:pt idx="74">
                    <c:v>2025-02-01</c:v>
                  </c:pt>
                  <c:pt idx="75">
                    <c:v>2025-03-01</c:v>
                  </c:pt>
                  <c:pt idx="76">
                    <c:v>2025-04-01</c:v>
                  </c:pt>
                  <c:pt idx="77">
                    <c:v>2025-05-01</c:v>
                  </c:pt>
                  <c:pt idx="78">
                    <c:v>2025-06-01</c:v>
                  </c:pt>
                  <c:pt idx="79">
                    <c:v>2025-07-01</c:v>
                  </c:pt>
                  <c:pt idx="80">
                    <c:v>2025-08-01</c:v>
                  </c:pt>
                  <c:pt idx="81">
                    <c:v>2025-09-01</c:v>
                  </c:pt>
                  <c:pt idx="82">
                    <c:v>2025-10-01</c:v>
                  </c:pt>
                  <c:pt idx="83">
                    <c:v>2025-11-01</c:v>
                  </c:pt>
                  <c:pt idx="84">
                    <c:v>2025-12-01</c:v>
                  </c:pt>
                  <c:pt idx="85">
                    <c:v>2026-01-01</c:v>
                  </c:pt>
                  <c:pt idx="86">
                    <c:v>2026-02-01</c:v>
                  </c:pt>
                  <c:pt idx="87">
                    <c:v>2026-03-01</c:v>
                  </c:pt>
                  <c:pt idx="88">
                    <c:v>2026-04-01</c:v>
                  </c:pt>
                  <c:pt idx="89">
                    <c:v>2026-05-01</c:v>
                  </c:pt>
                  <c:pt idx="90">
                    <c:v>2026-06-01</c:v>
                  </c:pt>
                  <c:pt idx="91">
                    <c:v>2026-07-01</c:v>
                  </c:pt>
                  <c:pt idx="92">
                    <c:v>2026-08-01</c:v>
                  </c:pt>
                  <c:pt idx="93">
                    <c:v>2026-09-01</c:v>
                  </c:pt>
                  <c:pt idx="94">
                    <c:v>2026-10-01</c:v>
                  </c:pt>
                  <c:pt idx="95">
                    <c:v>2026-11-01</c:v>
                  </c:pt>
                  <c:pt idx="96">
                    <c:v>2026-12-01</c:v>
                  </c:pt>
                  <c:pt idx="97">
                    <c:v>2027-01-01</c:v>
                  </c:pt>
                  <c:pt idx="98">
                    <c:v>2027-02-01</c:v>
                  </c:pt>
                  <c:pt idx="99">
                    <c:v>2027-03-01</c:v>
                  </c:pt>
                  <c:pt idx="100">
                    <c:v>2027-04-01</c:v>
                  </c:pt>
                  <c:pt idx="101">
                    <c:v>2027-05-01</c:v>
                  </c:pt>
                  <c:pt idx="102">
                    <c:v>2027-06-01</c:v>
                  </c:pt>
                  <c:pt idx="103">
                    <c:v>2027-07-01</c:v>
                  </c:pt>
                  <c:pt idx="104">
                    <c:v>2027-08-01</c:v>
                  </c:pt>
                  <c:pt idx="105">
                    <c:v>2027-09-01</c:v>
                  </c:pt>
                  <c:pt idx="106">
                    <c:v>2027-10-01</c:v>
                  </c:pt>
                  <c:pt idx="107">
                    <c:v>2027-11-01</c:v>
                  </c:pt>
                  <c:pt idx="108">
                    <c:v>2027-12-01</c:v>
                  </c:pt>
                  <c:pt idx="109">
                    <c:v>2028-01-01</c:v>
                  </c:pt>
                  <c:pt idx="110">
                    <c:v>2028-02-01</c:v>
                  </c:pt>
                  <c:pt idx="111">
                    <c:v>2028-03-01</c:v>
                  </c:pt>
                  <c:pt idx="112">
                    <c:v>2028-04-01</c:v>
                  </c:pt>
                  <c:pt idx="113">
                    <c:v>2028-05-01</c:v>
                  </c:pt>
                  <c:pt idx="114">
                    <c:v>2028-06-01</c:v>
                  </c:pt>
                  <c:pt idx="115">
                    <c:v>2028-07-01</c:v>
                  </c:pt>
                  <c:pt idx="116">
                    <c:v>2028-08-01</c:v>
                  </c:pt>
                  <c:pt idx="117">
                    <c:v>2028-09-01</c:v>
                  </c:pt>
                  <c:pt idx="118">
                    <c:v>2028-10-01</c:v>
                  </c:pt>
                  <c:pt idx="119">
                    <c:v>2028-11-01</c:v>
                  </c:pt>
                  <c:pt idx="120">
                    <c:v>2028-12-01</c:v>
                  </c:pt>
                  <c:pt idx="121">
                    <c:v>2029-01-01</c:v>
                  </c:pt>
                  <c:pt idx="122">
                    <c:v>2029-02-01</c:v>
                  </c:pt>
                  <c:pt idx="123">
                    <c:v>2029-03-01</c:v>
                  </c:pt>
                  <c:pt idx="124">
                    <c:v>2029-04-01</c:v>
                  </c:pt>
                  <c:pt idx="125">
                    <c:v>2029-05-01</c:v>
                  </c:pt>
                  <c:pt idx="126">
                    <c:v>2029-06-01</c:v>
                  </c:pt>
                  <c:pt idx="127">
                    <c:v>2029-07-01</c:v>
                  </c:pt>
                  <c:pt idx="128">
                    <c:v>2029-08-01</c:v>
                  </c:pt>
                  <c:pt idx="129">
                    <c:v>2029-09-01</c:v>
                  </c:pt>
                  <c:pt idx="130">
                    <c:v>2029-10-01</c:v>
                  </c:pt>
                  <c:pt idx="131">
                    <c:v>2029-11-01</c:v>
                  </c:pt>
                  <c:pt idx="132">
                    <c:v>2029-12-01</c:v>
                  </c:pt>
                  <c:pt idx="133">
                    <c:v>2030-01-01</c:v>
                  </c:pt>
                  <c:pt idx="134">
                    <c:v>2030-02-01</c:v>
                  </c:pt>
                  <c:pt idx="135">
                    <c:v>2030-03-01</c:v>
                  </c:pt>
                  <c:pt idx="136">
                    <c:v>2030-04-01</c:v>
                  </c:pt>
                  <c:pt idx="137">
                    <c:v>2030-05-01</c:v>
                  </c:pt>
                  <c:pt idx="138">
                    <c:v>2030-06-01</c:v>
                  </c:pt>
                  <c:pt idx="139">
                    <c:v>2030-07-01</c:v>
                  </c:pt>
                  <c:pt idx="140">
                    <c:v>2030-08-01</c:v>
                  </c:pt>
                  <c:pt idx="141">
                    <c:v>2030-09-01</c:v>
                  </c:pt>
                  <c:pt idx="142">
                    <c:v>2030-10-01</c:v>
                  </c:pt>
                  <c:pt idx="143">
                    <c:v>2030-11-01</c:v>
                  </c:pt>
                  <c:pt idx="144">
                    <c:v>2030-12-01</c:v>
                  </c:pt>
                </c:lvl>
              </c:multiLvlStrCache>
            </c:multiLvlStrRef>
          </c:cat>
          <c:val>
            <c:numRef>
              <c:f>Overview!$K$3:$K$147</c:f>
              <c:numCache>
                <c:formatCode>_("$"* #,##0.00_);_("$"* \(#,##0.00\);_("$"* "-"??_);_(@_)</c:formatCode>
                <c:ptCount val="145"/>
                <c:pt idx="1">
                  <c:v>0</c:v>
                </c:pt>
                <c:pt idx="2">
                  <c:v>-4140.6000000000004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-897.47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</c:ser>
        <c:ser>
          <c:idx val="9"/>
          <c:order val="9"/>
          <c:tx>
            <c:strRef>
              <c:f>Overview!$L$2</c:f>
              <c:strCache>
                <c:ptCount val="1"/>
                <c:pt idx="0">
                  <c:v>Investment</c:v>
                </c:pt>
              </c:strCache>
            </c:strRef>
          </c:tx>
          <c:invertIfNegative val="0"/>
          <c:cat>
            <c:multiLvlStrRef>
              <c:f>Overview!$A$3:$B$147</c:f>
              <c:multiLvlStrCache>
                <c:ptCount val="145"/>
                <c:lvl>
                  <c:pt idx="1">
                    <c:v>January 2019</c:v>
                  </c:pt>
                  <c:pt idx="2">
                    <c:v>February 2019</c:v>
                  </c:pt>
                  <c:pt idx="3">
                    <c:v>March 2019</c:v>
                  </c:pt>
                  <c:pt idx="4">
                    <c:v>April 2019</c:v>
                  </c:pt>
                  <c:pt idx="5">
                    <c:v>May 2019</c:v>
                  </c:pt>
                  <c:pt idx="6">
                    <c:v>June 2019</c:v>
                  </c:pt>
                  <c:pt idx="7">
                    <c:v>July 2019</c:v>
                  </c:pt>
                  <c:pt idx="8">
                    <c:v>August 2019</c:v>
                  </c:pt>
                  <c:pt idx="9">
                    <c:v>September 2019</c:v>
                  </c:pt>
                  <c:pt idx="10">
                    <c:v>October 2019</c:v>
                  </c:pt>
                  <c:pt idx="11">
                    <c:v>November 2019</c:v>
                  </c:pt>
                  <c:pt idx="12">
                    <c:v>December 2019</c:v>
                  </c:pt>
                  <c:pt idx="13">
                    <c:v>January 2020</c:v>
                  </c:pt>
                  <c:pt idx="14">
                    <c:v>February 2020</c:v>
                  </c:pt>
                  <c:pt idx="15">
                    <c:v>March 2020</c:v>
                  </c:pt>
                  <c:pt idx="16">
                    <c:v>April 2020</c:v>
                  </c:pt>
                  <c:pt idx="17">
                    <c:v>May 2020</c:v>
                  </c:pt>
                  <c:pt idx="18">
                    <c:v>June 2020</c:v>
                  </c:pt>
                  <c:pt idx="19">
                    <c:v>July 2020</c:v>
                  </c:pt>
                  <c:pt idx="20">
                    <c:v>August 2020</c:v>
                  </c:pt>
                  <c:pt idx="21">
                    <c:v>September 2020</c:v>
                  </c:pt>
                  <c:pt idx="22">
                    <c:v>October 2020</c:v>
                  </c:pt>
                  <c:pt idx="23">
                    <c:v>November 2020</c:v>
                  </c:pt>
                  <c:pt idx="24">
                    <c:v>December 2020</c:v>
                  </c:pt>
                  <c:pt idx="25">
                    <c:v>January 2021</c:v>
                  </c:pt>
                  <c:pt idx="26">
                    <c:v>February 2021</c:v>
                  </c:pt>
                  <c:pt idx="27">
                    <c:v>March 2021</c:v>
                  </c:pt>
                  <c:pt idx="28">
                    <c:v>April 2021</c:v>
                  </c:pt>
                  <c:pt idx="29">
                    <c:v>May 2021</c:v>
                  </c:pt>
                  <c:pt idx="30">
                    <c:v>June 2021</c:v>
                  </c:pt>
                  <c:pt idx="31">
                    <c:v>July 2021</c:v>
                  </c:pt>
                  <c:pt idx="32">
                    <c:v>August 2021</c:v>
                  </c:pt>
                  <c:pt idx="33">
                    <c:v>September 2021</c:v>
                  </c:pt>
                  <c:pt idx="34">
                    <c:v>October 2021</c:v>
                  </c:pt>
                  <c:pt idx="35">
                    <c:v>November 2021</c:v>
                  </c:pt>
                  <c:pt idx="36">
                    <c:v>December 2021</c:v>
                  </c:pt>
                  <c:pt idx="37">
                    <c:v>January 2022</c:v>
                  </c:pt>
                  <c:pt idx="38">
                    <c:v>February 2022</c:v>
                  </c:pt>
                  <c:pt idx="39">
                    <c:v>March 2022</c:v>
                  </c:pt>
                  <c:pt idx="40">
                    <c:v>April 2022</c:v>
                  </c:pt>
                  <c:pt idx="41">
                    <c:v>May 2022</c:v>
                  </c:pt>
                  <c:pt idx="42">
                    <c:v>June 2022</c:v>
                  </c:pt>
                  <c:pt idx="43">
                    <c:v>July 2022</c:v>
                  </c:pt>
                  <c:pt idx="44">
                    <c:v>August 2022</c:v>
                  </c:pt>
                  <c:pt idx="45">
                    <c:v>September 2022</c:v>
                  </c:pt>
                  <c:pt idx="46">
                    <c:v>October 2022</c:v>
                  </c:pt>
                  <c:pt idx="47">
                    <c:v>November 2022</c:v>
                  </c:pt>
                  <c:pt idx="48">
                    <c:v>December 2022</c:v>
                  </c:pt>
                  <c:pt idx="49">
                    <c:v>January 2023</c:v>
                  </c:pt>
                  <c:pt idx="50">
                    <c:v>February 2023</c:v>
                  </c:pt>
                  <c:pt idx="51">
                    <c:v>March 2023</c:v>
                  </c:pt>
                  <c:pt idx="52">
                    <c:v>April 2023</c:v>
                  </c:pt>
                  <c:pt idx="53">
                    <c:v>May 2023</c:v>
                  </c:pt>
                  <c:pt idx="54">
                    <c:v>June 2023</c:v>
                  </c:pt>
                  <c:pt idx="55">
                    <c:v>July 2023</c:v>
                  </c:pt>
                  <c:pt idx="56">
                    <c:v>August 2023</c:v>
                  </c:pt>
                  <c:pt idx="57">
                    <c:v>September 2023</c:v>
                  </c:pt>
                  <c:pt idx="58">
                    <c:v>October 2023</c:v>
                  </c:pt>
                  <c:pt idx="59">
                    <c:v>November 2023</c:v>
                  </c:pt>
                  <c:pt idx="60">
                    <c:v>December 2023</c:v>
                  </c:pt>
                  <c:pt idx="61">
                    <c:v>January 2024</c:v>
                  </c:pt>
                  <c:pt idx="62">
                    <c:v>February 2024</c:v>
                  </c:pt>
                  <c:pt idx="63">
                    <c:v>March 2024</c:v>
                  </c:pt>
                  <c:pt idx="64">
                    <c:v>April 2024</c:v>
                  </c:pt>
                  <c:pt idx="65">
                    <c:v>May 2024</c:v>
                  </c:pt>
                  <c:pt idx="66">
                    <c:v>June 2024</c:v>
                  </c:pt>
                  <c:pt idx="67">
                    <c:v>July 2024</c:v>
                  </c:pt>
                  <c:pt idx="68">
                    <c:v>August 2024</c:v>
                  </c:pt>
                  <c:pt idx="69">
                    <c:v>September 2024</c:v>
                  </c:pt>
                  <c:pt idx="70">
                    <c:v>October 2024</c:v>
                  </c:pt>
                  <c:pt idx="71">
                    <c:v>November 2024</c:v>
                  </c:pt>
                  <c:pt idx="72">
                    <c:v>December 2024</c:v>
                  </c:pt>
                  <c:pt idx="73">
                    <c:v>January 2025</c:v>
                  </c:pt>
                  <c:pt idx="74">
                    <c:v>February 2025</c:v>
                  </c:pt>
                  <c:pt idx="75">
                    <c:v>March 2025</c:v>
                  </c:pt>
                  <c:pt idx="76">
                    <c:v>April 2025</c:v>
                  </c:pt>
                  <c:pt idx="77">
                    <c:v>May 2025</c:v>
                  </c:pt>
                  <c:pt idx="78">
                    <c:v>June 2025</c:v>
                  </c:pt>
                  <c:pt idx="79">
                    <c:v>July 2025</c:v>
                  </c:pt>
                  <c:pt idx="80">
                    <c:v>August 2025</c:v>
                  </c:pt>
                  <c:pt idx="81">
                    <c:v>September 2025</c:v>
                  </c:pt>
                  <c:pt idx="82">
                    <c:v>October 2025</c:v>
                  </c:pt>
                  <c:pt idx="83">
                    <c:v>November 2025</c:v>
                  </c:pt>
                  <c:pt idx="84">
                    <c:v>December 2025</c:v>
                  </c:pt>
                  <c:pt idx="85">
                    <c:v>January 2026</c:v>
                  </c:pt>
                  <c:pt idx="86">
                    <c:v>February 2026</c:v>
                  </c:pt>
                  <c:pt idx="87">
                    <c:v>March 2026</c:v>
                  </c:pt>
                  <c:pt idx="88">
                    <c:v>April 2026</c:v>
                  </c:pt>
                  <c:pt idx="89">
                    <c:v>May 2026</c:v>
                  </c:pt>
                  <c:pt idx="90">
                    <c:v>June 2026</c:v>
                  </c:pt>
                  <c:pt idx="91">
                    <c:v>July 2026</c:v>
                  </c:pt>
                  <c:pt idx="92">
                    <c:v>August 2026</c:v>
                  </c:pt>
                  <c:pt idx="93">
                    <c:v>September 2026</c:v>
                  </c:pt>
                  <c:pt idx="94">
                    <c:v>October 2026</c:v>
                  </c:pt>
                  <c:pt idx="95">
                    <c:v>November 2026</c:v>
                  </c:pt>
                  <c:pt idx="96">
                    <c:v>December 2026</c:v>
                  </c:pt>
                  <c:pt idx="97">
                    <c:v>January 2027</c:v>
                  </c:pt>
                  <c:pt idx="98">
                    <c:v>February 2027</c:v>
                  </c:pt>
                  <c:pt idx="99">
                    <c:v>March 2027</c:v>
                  </c:pt>
                  <c:pt idx="100">
                    <c:v>April 2027</c:v>
                  </c:pt>
                  <c:pt idx="101">
                    <c:v>May 2027</c:v>
                  </c:pt>
                  <c:pt idx="102">
                    <c:v>June 2027</c:v>
                  </c:pt>
                  <c:pt idx="103">
                    <c:v>July 2027</c:v>
                  </c:pt>
                  <c:pt idx="104">
                    <c:v>August 2027</c:v>
                  </c:pt>
                  <c:pt idx="105">
                    <c:v>September 2027</c:v>
                  </c:pt>
                  <c:pt idx="106">
                    <c:v>October 2027</c:v>
                  </c:pt>
                  <c:pt idx="107">
                    <c:v>November 2027</c:v>
                  </c:pt>
                  <c:pt idx="108">
                    <c:v>December 2027</c:v>
                  </c:pt>
                  <c:pt idx="109">
                    <c:v>January 2028</c:v>
                  </c:pt>
                  <c:pt idx="110">
                    <c:v>February 2028</c:v>
                  </c:pt>
                  <c:pt idx="111">
                    <c:v>March 2028</c:v>
                  </c:pt>
                  <c:pt idx="112">
                    <c:v>April 2028</c:v>
                  </c:pt>
                  <c:pt idx="113">
                    <c:v>May 2028</c:v>
                  </c:pt>
                  <c:pt idx="114">
                    <c:v>June 2028</c:v>
                  </c:pt>
                  <c:pt idx="115">
                    <c:v>July 2028</c:v>
                  </c:pt>
                  <c:pt idx="116">
                    <c:v>August 2028</c:v>
                  </c:pt>
                  <c:pt idx="117">
                    <c:v>September 2028</c:v>
                  </c:pt>
                  <c:pt idx="118">
                    <c:v>October 2028</c:v>
                  </c:pt>
                  <c:pt idx="119">
                    <c:v>November 2028</c:v>
                  </c:pt>
                  <c:pt idx="120">
                    <c:v>December 2028</c:v>
                  </c:pt>
                  <c:pt idx="121">
                    <c:v>January 2029</c:v>
                  </c:pt>
                  <c:pt idx="122">
                    <c:v>February 2029</c:v>
                  </c:pt>
                  <c:pt idx="123">
                    <c:v>March 2029</c:v>
                  </c:pt>
                  <c:pt idx="124">
                    <c:v>April 2029</c:v>
                  </c:pt>
                  <c:pt idx="125">
                    <c:v>May 2029</c:v>
                  </c:pt>
                  <c:pt idx="126">
                    <c:v>June 2029</c:v>
                  </c:pt>
                  <c:pt idx="127">
                    <c:v>July 2029</c:v>
                  </c:pt>
                  <c:pt idx="128">
                    <c:v>August 2029</c:v>
                  </c:pt>
                  <c:pt idx="129">
                    <c:v>September 2029</c:v>
                  </c:pt>
                  <c:pt idx="130">
                    <c:v>October 2029</c:v>
                  </c:pt>
                  <c:pt idx="131">
                    <c:v>November 2029</c:v>
                  </c:pt>
                  <c:pt idx="132">
                    <c:v>December 2029</c:v>
                  </c:pt>
                  <c:pt idx="133">
                    <c:v>January 2030</c:v>
                  </c:pt>
                  <c:pt idx="134">
                    <c:v>February 2030</c:v>
                  </c:pt>
                  <c:pt idx="135">
                    <c:v>March 2030</c:v>
                  </c:pt>
                  <c:pt idx="136">
                    <c:v>April 2030</c:v>
                  </c:pt>
                  <c:pt idx="137">
                    <c:v>May 2030</c:v>
                  </c:pt>
                  <c:pt idx="138">
                    <c:v>June 2030</c:v>
                  </c:pt>
                  <c:pt idx="139">
                    <c:v>July 2030</c:v>
                  </c:pt>
                  <c:pt idx="140">
                    <c:v>August 2030</c:v>
                  </c:pt>
                  <c:pt idx="141">
                    <c:v>September 2030</c:v>
                  </c:pt>
                  <c:pt idx="142">
                    <c:v>October 2030</c:v>
                  </c:pt>
                  <c:pt idx="143">
                    <c:v>November 2030</c:v>
                  </c:pt>
                  <c:pt idx="144">
                    <c:v>December 2030</c:v>
                  </c:pt>
                </c:lvl>
                <c:lvl>
                  <c:pt idx="1">
                    <c:v>2019-01-01</c:v>
                  </c:pt>
                  <c:pt idx="2">
                    <c:v>2019-02-01</c:v>
                  </c:pt>
                  <c:pt idx="3">
                    <c:v>2019-03-01</c:v>
                  </c:pt>
                  <c:pt idx="4">
                    <c:v>2019-04-01</c:v>
                  </c:pt>
                  <c:pt idx="5">
                    <c:v>2019-05-01</c:v>
                  </c:pt>
                  <c:pt idx="6">
                    <c:v>2019-06-01</c:v>
                  </c:pt>
                  <c:pt idx="7">
                    <c:v>2019-07-01</c:v>
                  </c:pt>
                  <c:pt idx="8">
                    <c:v>2019-08-01</c:v>
                  </c:pt>
                  <c:pt idx="9">
                    <c:v>2019-09-01</c:v>
                  </c:pt>
                  <c:pt idx="10">
                    <c:v>2019-10-01</c:v>
                  </c:pt>
                  <c:pt idx="11">
                    <c:v>2019-11-01</c:v>
                  </c:pt>
                  <c:pt idx="12">
                    <c:v>2019-12-01</c:v>
                  </c:pt>
                  <c:pt idx="13">
                    <c:v>2020-01-01</c:v>
                  </c:pt>
                  <c:pt idx="14">
                    <c:v>2020-02-01</c:v>
                  </c:pt>
                  <c:pt idx="15">
                    <c:v>2020-03-01</c:v>
                  </c:pt>
                  <c:pt idx="16">
                    <c:v>2020-04-01</c:v>
                  </c:pt>
                  <c:pt idx="17">
                    <c:v>2020-05-01</c:v>
                  </c:pt>
                  <c:pt idx="18">
                    <c:v>2020-06-01</c:v>
                  </c:pt>
                  <c:pt idx="19">
                    <c:v>2020-07-01</c:v>
                  </c:pt>
                  <c:pt idx="20">
                    <c:v>2020-08-01</c:v>
                  </c:pt>
                  <c:pt idx="21">
                    <c:v>2020-09-01</c:v>
                  </c:pt>
                  <c:pt idx="22">
                    <c:v>2020-10-01</c:v>
                  </c:pt>
                  <c:pt idx="23">
                    <c:v>2020-11-01</c:v>
                  </c:pt>
                  <c:pt idx="24">
                    <c:v>2020-12-01</c:v>
                  </c:pt>
                  <c:pt idx="25">
                    <c:v>2021-01-01</c:v>
                  </c:pt>
                  <c:pt idx="26">
                    <c:v>2021-02-01</c:v>
                  </c:pt>
                  <c:pt idx="27">
                    <c:v>2021-03-01</c:v>
                  </c:pt>
                  <c:pt idx="28">
                    <c:v>2021-04-01</c:v>
                  </c:pt>
                  <c:pt idx="29">
                    <c:v>2021-05-01</c:v>
                  </c:pt>
                  <c:pt idx="30">
                    <c:v>2021-06-01</c:v>
                  </c:pt>
                  <c:pt idx="31">
                    <c:v>2021-07-01</c:v>
                  </c:pt>
                  <c:pt idx="32">
                    <c:v>2021-08-01</c:v>
                  </c:pt>
                  <c:pt idx="33">
                    <c:v>2021-09-01</c:v>
                  </c:pt>
                  <c:pt idx="34">
                    <c:v>2021-10-01</c:v>
                  </c:pt>
                  <c:pt idx="35">
                    <c:v>2021-11-01</c:v>
                  </c:pt>
                  <c:pt idx="36">
                    <c:v>2021-12-01</c:v>
                  </c:pt>
                  <c:pt idx="37">
                    <c:v>2022-01-01</c:v>
                  </c:pt>
                  <c:pt idx="38">
                    <c:v>2022-02-01</c:v>
                  </c:pt>
                  <c:pt idx="39">
                    <c:v>2022-03-01</c:v>
                  </c:pt>
                  <c:pt idx="40">
                    <c:v>2022-04-01</c:v>
                  </c:pt>
                  <c:pt idx="41">
                    <c:v>2022-05-01</c:v>
                  </c:pt>
                  <c:pt idx="42">
                    <c:v>2022-06-01</c:v>
                  </c:pt>
                  <c:pt idx="43">
                    <c:v>2022-07-01</c:v>
                  </c:pt>
                  <c:pt idx="44">
                    <c:v>2022-08-01</c:v>
                  </c:pt>
                  <c:pt idx="45">
                    <c:v>2022-09-01</c:v>
                  </c:pt>
                  <c:pt idx="46">
                    <c:v>2022-10-01</c:v>
                  </c:pt>
                  <c:pt idx="47">
                    <c:v>2022-11-01</c:v>
                  </c:pt>
                  <c:pt idx="48">
                    <c:v>2022-12-01</c:v>
                  </c:pt>
                  <c:pt idx="49">
                    <c:v>2023-01-01</c:v>
                  </c:pt>
                  <c:pt idx="50">
                    <c:v>2023-02-01</c:v>
                  </c:pt>
                  <c:pt idx="51">
                    <c:v>2023-03-01</c:v>
                  </c:pt>
                  <c:pt idx="52">
                    <c:v>2023-04-01</c:v>
                  </c:pt>
                  <c:pt idx="53">
                    <c:v>2023-05-01</c:v>
                  </c:pt>
                  <c:pt idx="54">
                    <c:v>2023-06-01</c:v>
                  </c:pt>
                  <c:pt idx="55">
                    <c:v>2023-07-01</c:v>
                  </c:pt>
                  <c:pt idx="56">
                    <c:v>2023-08-01</c:v>
                  </c:pt>
                  <c:pt idx="57">
                    <c:v>2023-09-01</c:v>
                  </c:pt>
                  <c:pt idx="58">
                    <c:v>2023-10-01</c:v>
                  </c:pt>
                  <c:pt idx="59">
                    <c:v>2023-11-01</c:v>
                  </c:pt>
                  <c:pt idx="60">
                    <c:v>2023-12-01</c:v>
                  </c:pt>
                  <c:pt idx="61">
                    <c:v>2024-01-01</c:v>
                  </c:pt>
                  <c:pt idx="62">
                    <c:v>2024-02-01</c:v>
                  </c:pt>
                  <c:pt idx="63">
                    <c:v>2024-03-01</c:v>
                  </c:pt>
                  <c:pt idx="64">
                    <c:v>2024-04-01</c:v>
                  </c:pt>
                  <c:pt idx="65">
                    <c:v>2024-05-01</c:v>
                  </c:pt>
                  <c:pt idx="66">
                    <c:v>2024-06-01</c:v>
                  </c:pt>
                  <c:pt idx="67">
                    <c:v>2024-07-01</c:v>
                  </c:pt>
                  <c:pt idx="68">
                    <c:v>2024-08-01</c:v>
                  </c:pt>
                  <c:pt idx="69">
                    <c:v>2024-09-01</c:v>
                  </c:pt>
                  <c:pt idx="70">
                    <c:v>2024-10-01</c:v>
                  </c:pt>
                  <c:pt idx="71">
                    <c:v>2024-11-01</c:v>
                  </c:pt>
                  <c:pt idx="72">
                    <c:v>2024-12-01</c:v>
                  </c:pt>
                  <c:pt idx="73">
                    <c:v>2025-01-01</c:v>
                  </c:pt>
                  <c:pt idx="74">
                    <c:v>2025-02-01</c:v>
                  </c:pt>
                  <c:pt idx="75">
                    <c:v>2025-03-01</c:v>
                  </c:pt>
                  <c:pt idx="76">
                    <c:v>2025-04-01</c:v>
                  </c:pt>
                  <c:pt idx="77">
                    <c:v>2025-05-01</c:v>
                  </c:pt>
                  <c:pt idx="78">
                    <c:v>2025-06-01</c:v>
                  </c:pt>
                  <c:pt idx="79">
                    <c:v>2025-07-01</c:v>
                  </c:pt>
                  <c:pt idx="80">
                    <c:v>2025-08-01</c:v>
                  </c:pt>
                  <c:pt idx="81">
                    <c:v>2025-09-01</c:v>
                  </c:pt>
                  <c:pt idx="82">
                    <c:v>2025-10-01</c:v>
                  </c:pt>
                  <c:pt idx="83">
                    <c:v>2025-11-01</c:v>
                  </c:pt>
                  <c:pt idx="84">
                    <c:v>2025-12-01</c:v>
                  </c:pt>
                  <c:pt idx="85">
                    <c:v>2026-01-01</c:v>
                  </c:pt>
                  <c:pt idx="86">
                    <c:v>2026-02-01</c:v>
                  </c:pt>
                  <c:pt idx="87">
                    <c:v>2026-03-01</c:v>
                  </c:pt>
                  <c:pt idx="88">
                    <c:v>2026-04-01</c:v>
                  </c:pt>
                  <c:pt idx="89">
                    <c:v>2026-05-01</c:v>
                  </c:pt>
                  <c:pt idx="90">
                    <c:v>2026-06-01</c:v>
                  </c:pt>
                  <c:pt idx="91">
                    <c:v>2026-07-01</c:v>
                  </c:pt>
                  <c:pt idx="92">
                    <c:v>2026-08-01</c:v>
                  </c:pt>
                  <c:pt idx="93">
                    <c:v>2026-09-01</c:v>
                  </c:pt>
                  <c:pt idx="94">
                    <c:v>2026-10-01</c:v>
                  </c:pt>
                  <c:pt idx="95">
                    <c:v>2026-11-01</c:v>
                  </c:pt>
                  <c:pt idx="96">
                    <c:v>2026-12-01</c:v>
                  </c:pt>
                  <c:pt idx="97">
                    <c:v>2027-01-01</c:v>
                  </c:pt>
                  <c:pt idx="98">
                    <c:v>2027-02-01</c:v>
                  </c:pt>
                  <c:pt idx="99">
                    <c:v>2027-03-01</c:v>
                  </c:pt>
                  <c:pt idx="100">
                    <c:v>2027-04-01</c:v>
                  </c:pt>
                  <c:pt idx="101">
                    <c:v>2027-05-01</c:v>
                  </c:pt>
                  <c:pt idx="102">
                    <c:v>2027-06-01</c:v>
                  </c:pt>
                  <c:pt idx="103">
                    <c:v>2027-07-01</c:v>
                  </c:pt>
                  <c:pt idx="104">
                    <c:v>2027-08-01</c:v>
                  </c:pt>
                  <c:pt idx="105">
                    <c:v>2027-09-01</c:v>
                  </c:pt>
                  <c:pt idx="106">
                    <c:v>2027-10-01</c:v>
                  </c:pt>
                  <c:pt idx="107">
                    <c:v>2027-11-01</c:v>
                  </c:pt>
                  <c:pt idx="108">
                    <c:v>2027-12-01</c:v>
                  </c:pt>
                  <c:pt idx="109">
                    <c:v>2028-01-01</c:v>
                  </c:pt>
                  <c:pt idx="110">
                    <c:v>2028-02-01</c:v>
                  </c:pt>
                  <c:pt idx="111">
                    <c:v>2028-03-01</c:v>
                  </c:pt>
                  <c:pt idx="112">
                    <c:v>2028-04-01</c:v>
                  </c:pt>
                  <c:pt idx="113">
                    <c:v>2028-05-01</c:v>
                  </c:pt>
                  <c:pt idx="114">
                    <c:v>2028-06-01</c:v>
                  </c:pt>
                  <c:pt idx="115">
                    <c:v>2028-07-01</c:v>
                  </c:pt>
                  <c:pt idx="116">
                    <c:v>2028-08-01</c:v>
                  </c:pt>
                  <c:pt idx="117">
                    <c:v>2028-09-01</c:v>
                  </c:pt>
                  <c:pt idx="118">
                    <c:v>2028-10-01</c:v>
                  </c:pt>
                  <c:pt idx="119">
                    <c:v>2028-11-01</c:v>
                  </c:pt>
                  <c:pt idx="120">
                    <c:v>2028-12-01</c:v>
                  </c:pt>
                  <c:pt idx="121">
                    <c:v>2029-01-01</c:v>
                  </c:pt>
                  <c:pt idx="122">
                    <c:v>2029-02-01</c:v>
                  </c:pt>
                  <c:pt idx="123">
                    <c:v>2029-03-01</c:v>
                  </c:pt>
                  <c:pt idx="124">
                    <c:v>2029-04-01</c:v>
                  </c:pt>
                  <c:pt idx="125">
                    <c:v>2029-05-01</c:v>
                  </c:pt>
                  <c:pt idx="126">
                    <c:v>2029-06-01</c:v>
                  </c:pt>
                  <c:pt idx="127">
                    <c:v>2029-07-01</c:v>
                  </c:pt>
                  <c:pt idx="128">
                    <c:v>2029-08-01</c:v>
                  </c:pt>
                  <c:pt idx="129">
                    <c:v>2029-09-01</c:v>
                  </c:pt>
                  <c:pt idx="130">
                    <c:v>2029-10-01</c:v>
                  </c:pt>
                  <c:pt idx="131">
                    <c:v>2029-11-01</c:v>
                  </c:pt>
                  <c:pt idx="132">
                    <c:v>2029-12-01</c:v>
                  </c:pt>
                  <c:pt idx="133">
                    <c:v>2030-01-01</c:v>
                  </c:pt>
                  <c:pt idx="134">
                    <c:v>2030-02-01</c:v>
                  </c:pt>
                  <c:pt idx="135">
                    <c:v>2030-03-01</c:v>
                  </c:pt>
                  <c:pt idx="136">
                    <c:v>2030-04-01</c:v>
                  </c:pt>
                  <c:pt idx="137">
                    <c:v>2030-05-01</c:v>
                  </c:pt>
                  <c:pt idx="138">
                    <c:v>2030-06-01</c:v>
                  </c:pt>
                  <c:pt idx="139">
                    <c:v>2030-07-01</c:v>
                  </c:pt>
                  <c:pt idx="140">
                    <c:v>2030-08-01</c:v>
                  </c:pt>
                  <c:pt idx="141">
                    <c:v>2030-09-01</c:v>
                  </c:pt>
                  <c:pt idx="142">
                    <c:v>2030-10-01</c:v>
                  </c:pt>
                  <c:pt idx="143">
                    <c:v>2030-11-01</c:v>
                  </c:pt>
                  <c:pt idx="144">
                    <c:v>2030-12-01</c:v>
                  </c:pt>
                </c:lvl>
              </c:multiLvlStrCache>
            </c:multiLvlStrRef>
          </c:cat>
          <c:val>
            <c:numRef>
              <c:f>Overview!$L$3:$L$147</c:f>
              <c:numCache>
                <c:formatCode>_("$"* #,##0.00_);_("$"* \(#,##0.00\);_("$"* "-"??_);_(@_)</c:formatCode>
                <c:ptCount val="14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-5000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-200</c:v>
                </c:pt>
                <c:pt idx="26">
                  <c:v>-47.430000000000007</c:v>
                </c:pt>
                <c:pt idx="27">
                  <c:v>0</c:v>
                </c:pt>
                <c:pt idx="28">
                  <c:v>-250</c:v>
                </c:pt>
                <c:pt idx="29">
                  <c:v>0</c:v>
                </c:pt>
                <c:pt idx="30">
                  <c:v>-250</c:v>
                </c:pt>
                <c:pt idx="31">
                  <c:v>0</c:v>
                </c:pt>
                <c:pt idx="32">
                  <c:v>0</c:v>
                </c:pt>
                <c:pt idx="33">
                  <c:v>-250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-500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-1500</c:v>
                </c:pt>
                <c:pt idx="56">
                  <c:v>-65000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-14650</c:v>
                </c:pt>
                <c:pt idx="62">
                  <c:v>-800</c:v>
                </c:pt>
                <c:pt idx="63">
                  <c:v>-1200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</c:ser>
        <c:ser>
          <c:idx val="10"/>
          <c:order val="10"/>
          <c:tx>
            <c:strRef>
              <c:f>Overview!$M$2</c:f>
              <c:strCache>
                <c:ptCount val="1"/>
                <c:pt idx="0">
                  <c:v>Sports</c:v>
                </c:pt>
              </c:strCache>
            </c:strRef>
          </c:tx>
          <c:invertIfNegative val="0"/>
          <c:cat>
            <c:multiLvlStrRef>
              <c:f>Overview!$A$3:$B$147</c:f>
              <c:multiLvlStrCache>
                <c:ptCount val="145"/>
                <c:lvl>
                  <c:pt idx="1">
                    <c:v>January 2019</c:v>
                  </c:pt>
                  <c:pt idx="2">
                    <c:v>February 2019</c:v>
                  </c:pt>
                  <c:pt idx="3">
                    <c:v>March 2019</c:v>
                  </c:pt>
                  <c:pt idx="4">
                    <c:v>April 2019</c:v>
                  </c:pt>
                  <c:pt idx="5">
                    <c:v>May 2019</c:v>
                  </c:pt>
                  <c:pt idx="6">
                    <c:v>June 2019</c:v>
                  </c:pt>
                  <c:pt idx="7">
                    <c:v>July 2019</c:v>
                  </c:pt>
                  <c:pt idx="8">
                    <c:v>August 2019</c:v>
                  </c:pt>
                  <c:pt idx="9">
                    <c:v>September 2019</c:v>
                  </c:pt>
                  <c:pt idx="10">
                    <c:v>October 2019</c:v>
                  </c:pt>
                  <c:pt idx="11">
                    <c:v>November 2019</c:v>
                  </c:pt>
                  <c:pt idx="12">
                    <c:v>December 2019</c:v>
                  </c:pt>
                  <c:pt idx="13">
                    <c:v>January 2020</c:v>
                  </c:pt>
                  <c:pt idx="14">
                    <c:v>February 2020</c:v>
                  </c:pt>
                  <c:pt idx="15">
                    <c:v>March 2020</c:v>
                  </c:pt>
                  <c:pt idx="16">
                    <c:v>April 2020</c:v>
                  </c:pt>
                  <c:pt idx="17">
                    <c:v>May 2020</c:v>
                  </c:pt>
                  <c:pt idx="18">
                    <c:v>June 2020</c:v>
                  </c:pt>
                  <c:pt idx="19">
                    <c:v>July 2020</c:v>
                  </c:pt>
                  <c:pt idx="20">
                    <c:v>August 2020</c:v>
                  </c:pt>
                  <c:pt idx="21">
                    <c:v>September 2020</c:v>
                  </c:pt>
                  <c:pt idx="22">
                    <c:v>October 2020</c:v>
                  </c:pt>
                  <c:pt idx="23">
                    <c:v>November 2020</c:v>
                  </c:pt>
                  <c:pt idx="24">
                    <c:v>December 2020</c:v>
                  </c:pt>
                  <c:pt idx="25">
                    <c:v>January 2021</c:v>
                  </c:pt>
                  <c:pt idx="26">
                    <c:v>February 2021</c:v>
                  </c:pt>
                  <c:pt idx="27">
                    <c:v>March 2021</c:v>
                  </c:pt>
                  <c:pt idx="28">
                    <c:v>April 2021</c:v>
                  </c:pt>
                  <c:pt idx="29">
                    <c:v>May 2021</c:v>
                  </c:pt>
                  <c:pt idx="30">
                    <c:v>June 2021</c:v>
                  </c:pt>
                  <c:pt idx="31">
                    <c:v>July 2021</c:v>
                  </c:pt>
                  <c:pt idx="32">
                    <c:v>August 2021</c:v>
                  </c:pt>
                  <c:pt idx="33">
                    <c:v>September 2021</c:v>
                  </c:pt>
                  <c:pt idx="34">
                    <c:v>October 2021</c:v>
                  </c:pt>
                  <c:pt idx="35">
                    <c:v>November 2021</c:v>
                  </c:pt>
                  <c:pt idx="36">
                    <c:v>December 2021</c:v>
                  </c:pt>
                  <c:pt idx="37">
                    <c:v>January 2022</c:v>
                  </c:pt>
                  <c:pt idx="38">
                    <c:v>February 2022</c:v>
                  </c:pt>
                  <c:pt idx="39">
                    <c:v>March 2022</c:v>
                  </c:pt>
                  <c:pt idx="40">
                    <c:v>April 2022</c:v>
                  </c:pt>
                  <c:pt idx="41">
                    <c:v>May 2022</c:v>
                  </c:pt>
                  <c:pt idx="42">
                    <c:v>June 2022</c:v>
                  </c:pt>
                  <c:pt idx="43">
                    <c:v>July 2022</c:v>
                  </c:pt>
                  <c:pt idx="44">
                    <c:v>August 2022</c:v>
                  </c:pt>
                  <c:pt idx="45">
                    <c:v>September 2022</c:v>
                  </c:pt>
                  <c:pt idx="46">
                    <c:v>October 2022</c:v>
                  </c:pt>
                  <c:pt idx="47">
                    <c:v>November 2022</c:v>
                  </c:pt>
                  <c:pt idx="48">
                    <c:v>December 2022</c:v>
                  </c:pt>
                  <c:pt idx="49">
                    <c:v>January 2023</c:v>
                  </c:pt>
                  <c:pt idx="50">
                    <c:v>February 2023</c:v>
                  </c:pt>
                  <c:pt idx="51">
                    <c:v>March 2023</c:v>
                  </c:pt>
                  <c:pt idx="52">
                    <c:v>April 2023</c:v>
                  </c:pt>
                  <c:pt idx="53">
                    <c:v>May 2023</c:v>
                  </c:pt>
                  <c:pt idx="54">
                    <c:v>June 2023</c:v>
                  </c:pt>
                  <c:pt idx="55">
                    <c:v>July 2023</c:v>
                  </c:pt>
                  <c:pt idx="56">
                    <c:v>August 2023</c:v>
                  </c:pt>
                  <c:pt idx="57">
                    <c:v>September 2023</c:v>
                  </c:pt>
                  <c:pt idx="58">
                    <c:v>October 2023</c:v>
                  </c:pt>
                  <c:pt idx="59">
                    <c:v>November 2023</c:v>
                  </c:pt>
                  <c:pt idx="60">
                    <c:v>December 2023</c:v>
                  </c:pt>
                  <c:pt idx="61">
                    <c:v>January 2024</c:v>
                  </c:pt>
                  <c:pt idx="62">
                    <c:v>February 2024</c:v>
                  </c:pt>
                  <c:pt idx="63">
                    <c:v>March 2024</c:v>
                  </c:pt>
                  <c:pt idx="64">
                    <c:v>April 2024</c:v>
                  </c:pt>
                  <c:pt idx="65">
                    <c:v>May 2024</c:v>
                  </c:pt>
                  <c:pt idx="66">
                    <c:v>June 2024</c:v>
                  </c:pt>
                  <c:pt idx="67">
                    <c:v>July 2024</c:v>
                  </c:pt>
                  <c:pt idx="68">
                    <c:v>August 2024</c:v>
                  </c:pt>
                  <c:pt idx="69">
                    <c:v>September 2024</c:v>
                  </c:pt>
                  <c:pt idx="70">
                    <c:v>October 2024</c:v>
                  </c:pt>
                  <c:pt idx="71">
                    <c:v>November 2024</c:v>
                  </c:pt>
                  <c:pt idx="72">
                    <c:v>December 2024</c:v>
                  </c:pt>
                  <c:pt idx="73">
                    <c:v>January 2025</c:v>
                  </c:pt>
                  <c:pt idx="74">
                    <c:v>February 2025</c:v>
                  </c:pt>
                  <c:pt idx="75">
                    <c:v>March 2025</c:v>
                  </c:pt>
                  <c:pt idx="76">
                    <c:v>April 2025</c:v>
                  </c:pt>
                  <c:pt idx="77">
                    <c:v>May 2025</c:v>
                  </c:pt>
                  <c:pt idx="78">
                    <c:v>June 2025</c:v>
                  </c:pt>
                  <c:pt idx="79">
                    <c:v>July 2025</c:v>
                  </c:pt>
                  <c:pt idx="80">
                    <c:v>August 2025</c:v>
                  </c:pt>
                  <c:pt idx="81">
                    <c:v>September 2025</c:v>
                  </c:pt>
                  <c:pt idx="82">
                    <c:v>October 2025</c:v>
                  </c:pt>
                  <c:pt idx="83">
                    <c:v>November 2025</c:v>
                  </c:pt>
                  <c:pt idx="84">
                    <c:v>December 2025</c:v>
                  </c:pt>
                  <c:pt idx="85">
                    <c:v>January 2026</c:v>
                  </c:pt>
                  <c:pt idx="86">
                    <c:v>February 2026</c:v>
                  </c:pt>
                  <c:pt idx="87">
                    <c:v>March 2026</c:v>
                  </c:pt>
                  <c:pt idx="88">
                    <c:v>April 2026</c:v>
                  </c:pt>
                  <c:pt idx="89">
                    <c:v>May 2026</c:v>
                  </c:pt>
                  <c:pt idx="90">
                    <c:v>June 2026</c:v>
                  </c:pt>
                  <c:pt idx="91">
                    <c:v>July 2026</c:v>
                  </c:pt>
                  <c:pt idx="92">
                    <c:v>August 2026</c:v>
                  </c:pt>
                  <c:pt idx="93">
                    <c:v>September 2026</c:v>
                  </c:pt>
                  <c:pt idx="94">
                    <c:v>October 2026</c:v>
                  </c:pt>
                  <c:pt idx="95">
                    <c:v>November 2026</c:v>
                  </c:pt>
                  <c:pt idx="96">
                    <c:v>December 2026</c:v>
                  </c:pt>
                  <c:pt idx="97">
                    <c:v>January 2027</c:v>
                  </c:pt>
                  <c:pt idx="98">
                    <c:v>February 2027</c:v>
                  </c:pt>
                  <c:pt idx="99">
                    <c:v>March 2027</c:v>
                  </c:pt>
                  <c:pt idx="100">
                    <c:v>April 2027</c:v>
                  </c:pt>
                  <c:pt idx="101">
                    <c:v>May 2027</c:v>
                  </c:pt>
                  <c:pt idx="102">
                    <c:v>June 2027</c:v>
                  </c:pt>
                  <c:pt idx="103">
                    <c:v>July 2027</c:v>
                  </c:pt>
                  <c:pt idx="104">
                    <c:v>August 2027</c:v>
                  </c:pt>
                  <c:pt idx="105">
                    <c:v>September 2027</c:v>
                  </c:pt>
                  <c:pt idx="106">
                    <c:v>October 2027</c:v>
                  </c:pt>
                  <c:pt idx="107">
                    <c:v>November 2027</c:v>
                  </c:pt>
                  <c:pt idx="108">
                    <c:v>December 2027</c:v>
                  </c:pt>
                  <c:pt idx="109">
                    <c:v>January 2028</c:v>
                  </c:pt>
                  <c:pt idx="110">
                    <c:v>February 2028</c:v>
                  </c:pt>
                  <c:pt idx="111">
                    <c:v>March 2028</c:v>
                  </c:pt>
                  <c:pt idx="112">
                    <c:v>April 2028</c:v>
                  </c:pt>
                  <c:pt idx="113">
                    <c:v>May 2028</c:v>
                  </c:pt>
                  <c:pt idx="114">
                    <c:v>June 2028</c:v>
                  </c:pt>
                  <c:pt idx="115">
                    <c:v>July 2028</c:v>
                  </c:pt>
                  <c:pt idx="116">
                    <c:v>August 2028</c:v>
                  </c:pt>
                  <c:pt idx="117">
                    <c:v>September 2028</c:v>
                  </c:pt>
                  <c:pt idx="118">
                    <c:v>October 2028</c:v>
                  </c:pt>
                  <c:pt idx="119">
                    <c:v>November 2028</c:v>
                  </c:pt>
                  <c:pt idx="120">
                    <c:v>December 2028</c:v>
                  </c:pt>
                  <c:pt idx="121">
                    <c:v>January 2029</c:v>
                  </c:pt>
                  <c:pt idx="122">
                    <c:v>February 2029</c:v>
                  </c:pt>
                  <c:pt idx="123">
                    <c:v>March 2029</c:v>
                  </c:pt>
                  <c:pt idx="124">
                    <c:v>April 2029</c:v>
                  </c:pt>
                  <c:pt idx="125">
                    <c:v>May 2029</c:v>
                  </c:pt>
                  <c:pt idx="126">
                    <c:v>June 2029</c:v>
                  </c:pt>
                  <c:pt idx="127">
                    <c:v>July 2029</c:v>
                  </c:pt>
                  <c:pt idx="128">
                    <c:v>August 2029</c:v>
                  </c:pt>
                  <c:pt idx="129">
                    <c:v>September 2029</c:v>
                  </c:pt>
                  <c:pt idx="130">
                    <c:v>October 2029</c:v>
                  </c:pt>
                  <c:pt idx="131">
                    <c:v>November 2029</c:v>
                  </c:pt>
                  <c:pt idx="132">
                    <c:v>December 2029</c:v>
                  </c:pt>
                  <c:pt idx="133">
                    <c:v>January 2030</c:v>
                  </c:pt>
                  <c:pt idx="134">
                    <c:v>February 2030</c:v>
                  </c:pt>
                  <c:pt idx="135">
                    <c:v>March 2030</c:v>
                  </c:pt>
                  <c:pt idx="136">
                    <c:v>April 2030</c:v>
                  </c:pt>
                  <c:pt idx="137">
                    <c:v>May 2030</c:v>
                  </c:pt>
                  <c:pt idx="138">
                    <c:v>June 2030</c:v>
                  </c:pt>
                  <c:pt idx="139">
                    <c:v>July 2030</c:v>
                  </c:pt>
                  <c:pt idx="140">
                    <c:v>August 2030</c:v>
                  </c:pt>
                  <c:pt idx="141">
                    <c:v>September 2030</c:v>
                  </c:pt>
                  <c:pt idx="142">
                    <c:v>October 2030</c:v>
                  </c:pt>
                  <c:pt idx="143">
                    <c:v>November 2030</c:v>
                  </c:pt>
                  <c:pt idx="144">
                    <c:v>December 2030</c:v>
                  </c:pt>
                </c:lvl>
                <c:lvl>
                  <c:pt idx="1">
                    <c:v>2019-01-01</c:v>
                  </c:pt>
                  <c:pt idx="2">
                    <c:v>2019-02-01</c:v>
                  </c:pt>
                  <c:pt idx="3">
                    <c:v>2019-03-01</c:v>
                  </c:pt>
                  <c:pt idx="4">
                    <c:v>2019-04-01</c:v>
                  </c:pt>
                  <c:pt idx="5">
                    <c:v>2019-05-01</c:v>
                  </c:pt>
                  <c:pt idx="6">
                    <c:v>2019-06-01</c:v>
                  </c:pt>
                  <c:pt idx="7">
                    <c:v>2019-07-01</c:v>
                  </c:pt>
                  <c:pt idx="8">
                    <c:v>2019-08-01</c:v>
                  </c:pt>
                  <c:pt idx="9">
                    <c:v>2019-09-01</c:v>
                  </c:pt>
                  <c:pt idx="10">
                    <c:v>2019-10-01</c:v>
                  </c:pt>
                  <c:pt idx="11">
                    <c:v>2019-11-01</c:v>
                  </c:pt>
                  <c:pt idx="12">
                    <c:v>2019-12-01</c:v>
                  </c:pt>
                  <c:pt idx="13">
                    <c:v>2020-01-01</c:v>
                  </c:pt>
                  <c:pt idx="14">
                    <c:v>2020-02-01</c:v>
                  </c:pt>
                  <c:pt idx="15">
                    <c:v>2020-03-01</c:v>
                  </c:pt>
                  <c:pt idx="16">
                    <c:v>2020-04-01</c:v>
                  </c:pt>
                  <c:pt idx="17">
                    <c:v>2020-05-01</c:v>
                  </c:pt>
                  <c:pt idx="18">
                    <c:v>2020-06-01</c:v>
                  </c:pt>
                  <c:pt idx="19">
                    <c:v>2020-07-01</c:v>
                  </c:pt>
                  <c:pt idx="20">
                    <c:v>2020-08-01</c:v>
                  </c:pt>
                  <c:pt idx="21">
                    <c:v>2020-09-01</c:v>
                  </c:pt>
                  <c:pt idx="22">
                    <c:v>2020-10-01</c:v>
                  </c:pt>
                  <c:pt idx="23">
                    <c:v>2020-11-01</c:v>
                  </c:pt>
                  <c:pt idx="24">
                    <c:v>2020-12-01</c:v>
                  </c:pt>
                  <c:pt idx="25">
                    <c:v>2021-01-01</c:v>
                  </c:pt>
                  <c:pt idx="26">
                    <c:v>2021-02-01</c:v>
                  </c:pt>
                  <c:pt idx="27">
                    <c:v>2021-03-01</c:v>
                  </c:pt>
                  <c:pt idx="28">
                    <c:v>2021-04-01</c:v>
                  </c:pt>
                  <c:pt idx="29">
                    <c:v>2021-05-01</c:v>
                  </c:pt>
                  <c:pt idx="30">
                    <c:v>2021-06-01</c:v>
                  </c:pt>
                  <c:pt idx="31">
                    <c:v>2021-07-01</c:v>
                  </c:pt>
                  <c:pt idx="32">
                    <c:v>2021-08-01</c:v>
                  </c:pt>
                  <c:pt idx="33">
                    <c:v>2021-09-01</c:v>
                  </c:pt>
                  <c:pt idx="34">
                    <c:v>2021-10-01</c:v>
                  </c:pt>
                  <c:pt idx="35">
                    <c:v>2021-11-01</c:v>
                  </c:pt>
                  <c:pt idx="36">
                    <c:v>2021-12-01</c:v>
                  </c:pt>
                  <c:pt idx="37">
                    <c:v>2022-01-01</c:v>
                  </c:pt>
                  <c:pt idx="38">
                    <c:v>2022-02-01</c:v>
                  </c:pt>
                  <c:pt idx="39">
                    <c:v>2022-03-01</c:v>
                  </c:pt>
                  <c:pt idx="40">
                    <c:v>2022-04-01</c:v>
                  </c:pt>
                  <c:pt idx="41">
                    <c:v>2022-05-01</c:v>
                  </c:pt>
                  <c:pt idx="42">
                    <c:v>2022-06-01</c:v>
                  </c:pt>
                  <c:pt idx="43">
                    <c:v>2022-07-01</c:v>
                  </c:pt>
                  <c:pt idx="44">
                    <c:v>2022-08-01</c:v>
                  </c:pt>
                  <c:pt idx="45">
                    <c:v>2022-09-01</c:v>
                  </c:pt>
                  <c:pt idx="46">
                    <c:v>2022-10-01</c:v>
                  </c:pt>
                  <c:pt idx="47">
                    <c:v>2022-11-01</c:v>
                  </c:pt>
                  <c:pt idx="48">
                    <c:v>2022-12-01</c:v>
                  </c:pt>
                  <c:pt idx="49">
                    <c:v>2023-01-01</c:v>
                  </c:pt>
                  <c:pt idx="50">
                    <c:v>2023-02-01</c:v>
                  </c:pt>
                  <c:pt idx="51">
                    <c:v>2023-03-01</c:v>
                  </c:pt>
                  <c:pt idx="52">
                    <c:v>2023-04-01</c:v>
                  </c:pt>
                  <c:pt idx="53">
                    <c:v>2023-05-01</c:v>
                  </c:pt>
                  <c:pt idx="54">
                    <c:v>2023-06-01</c:v>
                  </c:pt>
                  <c:pt idx="55">
                    <c:v>2023-07-01</c:v>
                  </c:pt>
                  <c:pt idx="56">
                    <c:v>2023-08-01</c:v>
                  </c:pt>
                  <c:pt idx="57">
                    <c:v>2023-09-01</c:v>
                  </c:pt>
                  <c:pt idx="58">
                    <c:v>2023-10-01</c:v>
                  </c:pt>
                  <c:pt idx="59">
                    <c:v>2023-11-01</c:v>
                  </c:pt>
                  <c:pt idx="60">
                    <c:v>2023-12-01</c:v>
                  </c:pt>
                  <c:pt idx="61">
                    <c:v>2024-01-01</c:v>
                  </c:pt>
                  <c:pt idx="62">
                    <c:v>2024-02-01</c:v>
                  </c:pt>
                  <c:pt idx="63">
                    <c:v>2024-03-01</c:v>
                  </c:pt>
                  <c:pt idx="64">
                    <c:v>2024-04-01</c:v>
                  </c:pt>
                  <c:pt idx="65">
                    <c:v>2024-05-01</c:v>
                  </c:pt>
                  <c:pt idx="66">
                    <c:v>2024-06-01</c:v>
                  </c:pt>
                  <c:pt idx="67">
                    <c:v>2024-07-01</c:v>
                  </c:pt>
                  <c:pt idx="68">
                    <c:v>2024-08-01</c:v>
                  </c:pt>
                  <c:pt idx="69">
                    <c:v>2024-09-01</c:v>
                  </c:pt>
                  <c:pt idx="70">
                    <c:v>2024-10-01</c:v>
                  </c:pt>
                  <c:pt idx="71">
                    <c:v>2024-11-01</c:v>
                  </c:pt>
                  <c:pt idx="72">
                    <c:v>2024-12-01</c:v>
                  </c:pt>
                  <c:pt idx="73">
                    <c:v>2025-01-01</c:v>
                  </c:pt>
                  <c:pt idx="74">
                    <c:v>2025-02-01</c:v>
                  </c:pt>
                  <c:pt idx="75">
                    <c:v>2025-03-01</c:v>
                  </c:pt>
                  <c:pt idx="76">
                    <c:v>2025-04-01</c:v>
                  </c:pt>
                  <c:pt idx="77">
                    <c:v>2025-05-01</c:v>
                  </c:pt>
                  <c:pt idx="78">
                    <c:v>2025-06-01</c:v>
                  </c:pt>
                  <c:pt idx="79">
                    <c:v>2025-07-01</c:v>
                  </c:pt>
                  <c:pt idx="80">
                    <c:v>2025-08-01</c:v>
                  </c:pt>
                  <c:pt idx="81">
                    <c:v>2025-09-01</c:v>
                  </c:pt>
                  <c:pt idx="82">
                    <c:v>2025-10-01</c:v>
                  </c:pt>
                  <c:pt idx="83">
                    <c:v>2025-11-01</c:v>
                  </c:pt>
                  <c:pt idx="84">
                    <c:v>2025-12-01</c:v>
                  </c:pt>
                  <c:pt idx="85">
                    <c:v>2026-01-01</c:v>
                  </c:pt>
                  <c:pt idx="86">
                    <c:v>2026-02-01</c:v>
                  </c:pt>
                  <c:pt idx="87">
                    <c:v>2026-03-01</c:v>
                  </c:pt>
                  <c:pt idx="88">
                    <c:v>2026-04-01</c:v>
                  </c:pt>
                  <c:pt idx="89">
                    <c:v>2026-05-01</c:v>
                  </c:pt>
                  <c:pt idx="90">
                    <c:v>2026-06-01</c:v>
                  </c:pt>
                  <c:pt idx="91">
                    <c:v>2026-07-01</c:v>
                  </c:pt>
                  <c:pt idx="92">
                    <c:v>2026-08-01</c:v>
                  </c:pt>
                  <c:pt idx="93">
                    <c:v>2026-09-01</c:v>
                  </c:pt>
                  <c:pt idx="94">
                    <c:v>2026-10-01</c:v>
                  </c:pt>
                  <c:pt idx="95">
                    <c:v>2026-11-01</c:v>
                  </c:pt>
                  <c:pt idx="96">
                    <c:v>2026-12-01</c:v>
                  </c:pt>
                  <c:pt idx="97">
                    <c:v>2027-01-01</c:v>
                  </c:pt>
                  <c:pt idx="98">
                    <c:v>2027-02-01</c:v>
                  </c:pt>
                  <c:pt idx="99">
                    <c:v>2027-03-01</c:v>
                  </c:pt>
                  <c:pt idx="100">
                    <c:v>2027-04-01</c:v>
                  </c:pt>
                  <c:pt idx="101">
                    <c:v>2027-05-01</c:v>
                  </c:pt>
                  <c:pt idx="102">
                    <c:v>2027-06-01</c:v>
                  </c:pt>
                  <c:pt idx="103">
                    <c:v>2027-07-01</c:v>
                  </c:pt>
                  <c:pt idx="104">
                    <c:v>2027-08-01</c:v>
                  </c:pt>
                  <c:pt idx="105">
                    <c:v>2027-09-01</c:v>
                  </c:pt>
                  <c:pt idx="106">
                    <c:v>2027-10-01</c:v>
                  </c:pt>
                  <c:pt idx="107">
                    <c:v>2027-11-01</c:v>
                  </c:pt>
                  <c:pt idx="108">
                    <c:v>2027-12-01</c:v>
                  </c:pt>
                  <c:pt idx="109">
                    <c:v>2028-01-01</c:v>
                  </c:pt>
                  <c:pt idx="110">
                    <c:v>2028-02-01</c:v>
                  </c:pt>
                  <c:pt idx="111">
                    <c:v>2028-03-01</c:v>
                  </c:pt>
                  <c:pt idx="112">
                    <c:v>2028-04-01</c:v>
                  </c:pt>
                  <c:pt idx="113">
                    <c:v>2028-05-01</c:v>
                  </c:pt>
                  <c:pt idx="114">
                    <c:v>2028-06-01</c:v>
                  </c:pt>
                  <c:pt idx="115">
                    <c:v>2028-07-01</c:v>
                  </c:pt>
                  <c:pt idx="116">
                    <c:v>2028-08-01</c:v>
                  </c:pt>
                  <c:pt idx="117">
                    <c:v>2028-09-01</c:v>
                  </c:pt>
                  <c:pt idx="118">
                    <c:v>2028-10-01</c:v>
                  </c:pt>
                  <c:pt idx="119">
                    <c:v>2028-11-01</c:v>
                  </c:pt>
                  <c:pt idx="120">
                    <c:v>2028-12-01</c:v>
                  </c:pt>
                  <c:pt idx="121">
                    <c:v>2029-01-01</c:v>
                  </c:pt>
                  <c:pt idx="122">
                    <c:v>2029-02-01</c:v>
                  </c:pt>
                  <c:pt idx="123">
                    <c:v>2029-03-01</c:v>
                  </c:pt>
                  <c:pt idx="124">
                    <c:v>2029-04-01</c:v>
                  </c:pt>
                  <c:pt idx="125">
                    <c:v>2029-05-01</c:v>
                  </c:pt>
                  <c:pt idx="126">
                    <c:v>2029-06-01</c:v>
                  </c:pt>
                  <c:pt idx="127">
                    <c:v>2029-07-01</c:v>
                  </c:pt>
                  <c:pt idx="128">
                    <c:v>2029-08-01</c:v>
                  </c:pt>
                  <c:pt idx="129">
                    <c:v>2029-09-01</c:v>
                  </c:pt>
                  <c:pt idx="130">
                    <c:v>2029-10-01</c:v>
                  </c:pt>
                  <c:pt idx="131">
                    <c:v>2029-11-01</c:v>
                  </c:pt>
                  <c:pt idx="132">
                    <c:v>2029-12-01</c:v>
                  </c:pt>
                  <c:pt idx="133">
                    <c:v>2030-01-01</c:v>
                  </c:pt>
                  <c:pt idx="134">
                    <c:v>2030-02-01</c:v>
                  </c:pt>
                  <c:pt idx="135">
                    <c:v>2030-03-01</c:v>
                  </c:pt>
                  <c:pt idx="136">
                    <c:v>2030-04-01</c:v>
                  </c:pt>
                  <c:pt idx="137">
                    <c:v>2030-05-01</c:v>
                  </c:pt>
                  <c:pt idx="138">
                    <c:v>2030-06-01</c:v>
                  </c:pt>
                  <c:pt idx="139">
                    <c:v>2030-07-01</c:v>
                  </c:pt>
                  <c:pt idx="140">
                    <c:v>2030-08-01</c:v>
                  </c:pt>
                  <c:pt idx="141">
                    <c:v>2030-09-01</c:v>
                  </c:pt>
                  <c:pt idx="142">
                    <c:v>2030-10-01</c:v>
                  </c:pt>
                  <c:pt idx="143">
                    <c:v>2030-11-01</c:v>
                  </c:pt>
                  <c:pt idx="144">
                    <c:v>2030-12-01</c:v>
                  </c:pt>
                </c:lvl>
              </c:multiLvlStrCache>
            </c:multiLvlStrRef>
          </c:cat>
          <c:val>
            <c:numRef>
              <c:f>Overview!$M$3:$M$147</c:f>
              <c:numCache>
                <c:formatCode>_("$"* #,##0.00_);_("$"* \(#,##0.00\);_("$"* "-"??_);_(@_)</c:formatCode>
                <c:ptCount val="14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-148.80000000000001</c:v>
                </c:pt>
                <c:pt idx="32">
                  <c:v>0</c:v>
                </c:pt>
                <c:pt idx="33">
                  <c:v>0</c:v>
                </c:pt>
                <c:pt idx="34">
                  <c:v>-162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-84</c:v>
                </c:pt>
                <c:pt idx="40">
                  <c:v>-138.75</c:v>
                </c:pt>
                <c:pt idx="41">
                  <c:v>-210.88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-168.85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-90.6</c:v>
                </c:pt>
                <c:pt idx="51">
                  <c:v>0</c:v>
                </c:pt>
                <c:pt idx="52">
                  <c:v>-233.26</c:v>
                </c:pt>
                <c:pt idx="53">
                  <c:v>-199.27</c:v>
                </c:pt>
                <c:pt idx="54">
                  <c:v>0</c:v>
                </c:pt>
                <c:pt idx="55">
                  <c:v>-11.63</c:v>
                </c:pt>
                <c:pt idx="56">
                  <c:v>-115.5</c:v>
                </c:pt>
                <c:pt idx="57">
                  <c:v>-177.59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</c:ser>
        <c:ser>
          <c:idx val="11"/>
          <c:order val="11"/>
          <c:tx>
            <c:strRef>
              <c:f>Overview!$N$2</c:f>
              <c:strCache>
                <c:ptCount val="1"/>
                <c:pt idx="0">
                  <c:v>Vacation</c:v>
                </c:pt>
              </c:strCache>
            </c:strRef>
          </c:tx>
          <c:invertIfNegative val="0"/>
          <c:cat>
            <c:multiLvlStrRef>
              <c:f>Overview!$A$3:$B$147</c:f>
              <c:multiLvlStrCache>
                <c:ptCount val="145"/>
                <c:lvl>
                  <c:pt idx="1">
                    <c:v>January 2019</c:v>
                  </c:pt>
                  <c:pt idx="2">
                    <c:v>February 2019</c:v>
                  </c:pt>
                  <c:pt idx="3">
                    <c:v>March 2019</c:v>
                  </c:pt>
                  <c:pt idx="4">
                    <c:v>April 2019</c:v>
                  </c:pt>
                  <c:pt idx="5">
                    <c:v>May 2019</c:v>
                  </c:pt>
                  <c:pt idx="6">
                    <c:v>June 2019</c:v>
                  </c:pt>
                  <c:pt idx="7">
                    <c:v>July 2019</c:v>
                  </c:pt>
                  <c:pt idx="8">
                    <c:v>August 2019</c:v>
                  </c:pt>
                  <c:pt idx="9">
                    <c:v>September 2019</c:v>
                  </c:pt>
                  <c:pt idx="10">
                    <c:v>October 2019</c:v>
                  </c:pt>
                  <c:pt idx="11">
                    <c:v>November 2019</c:v>
                  </c:pt>
                  <c:pt idx="12">
                    <c:v>December 2019</c:v>
                  </c:pt>
                  <c:pt idx="13">
                    <c:v>January 2020</c:v>
                  </c:pt>
                  <c:pt idx="14">
                    <c:v>February 2020</c:v>
                  </c:pt>
                  <c:pt idx="15">
                    <c:v>March 2020</c:v>
                  </c:pt>
                  <c:pt idx="16">
                    <c:v>April 2020</c:v>
                  </c:pt>
                  <c:pt idx="17">
                    <c:v>May 2020</c:v>
                  </c:pt>
                  <c:pt idx="18">
                    <c:v>June 2020</c:v>
                  </c:pt>
                  <c:pt idx="19">
                    <c:v>July 2020</c:v>
                  </c:pt>
                  <c:pt idx="20">
                    <c:v>August 2020</c:v>
                  </c:pt>
                  <c:pt idx="21">
                    <c:v>September 2020</c:v>
                  </c:pt>
                  <c:pt idx="22">
                    <c:v>October 2020</c:v>
                  </c:pt>
                  <c:pt idx="23">
                    <c:v>November 2020</c:v>
                  </c:pt>
                  <c:pt idx="24">
                    <c:v>December 2020</c:v>
                  </c:pt>
                  <c:pt idx="25">
                    <c:v>January 2021</c:v>
                  </c:pt>
                  <c:pt idx="26">
                    <c:v>February 2021</c:v>
                  </c:pt>
                  <c:pt idx="27">
                    <c:v>March 2021</c:v>
                  </c:pt>
                  <c:pt idx="28">
                    <c:v>April 2021</c:v>
                  </c:pt>
                  <c:pt idx="29">
                    <c:v>May 2021</c:v>
                  </c:pt>
                  <c:pt idx="30">
                    <c:v>June 2021</c:v>
                  </c:pt>
                  <c:pt idx="31">
                    <c:v>July 2021</c:v>
                  </c:pt>
                  <c:pt idx="32">
                    <c:v>August 2021</c:v>
                  </c:pt>
                  <c:pt idx="33">
                    <c:v>September 2021</c:v>
                  </c:pt>
                  <c:pt idx="34">
                    <c:v>October 2021</c:v>
                  </c:pt>
                  <c:pt idx="35">
                    <c:v>November 2021</c:v>
                  </c:pt>
                  <c:pt idx="36">
                    <c:v>December 2021</c:v>
                  </c:pt>
                  <c:pt idx="37">
                    <c:v>January 2022</c:v>
                  </c:pt>
                  <c:pt idx="38">
                    <c:v>February 2022</c:v>
                  </c:pt>
                  <c:pt idx="39">
                    <c:v>March 2022</c:v>
                  </c:pt>
                  <c:pt idx="40">
                    <c:v>April 2022</c:v>
                  </c:pt>
                  <c:pt idx="41">
                    <c:v>May 2022</c:v>
                  </c:pt>
                  <c:pt idx="42">
                    <c:v>June 2022</c:v>
                  </c:pt>
                  <c:pt idx="43">
                    <c:v>July 2022</c:v>
                  </c:pt>
                  <c:pt idx="44">
                    <c:v>August 2022</c:v>
                  </c:pt>
                  <c:pt idx="45">
                    <c:v>September 2022</c:v>
                  </c:pt>
                  <c:pt idx="46">
                    <c:v>October 2022</c:v>
                  </c:pt>
                  <c:pt idx="47">
                    <c:v>November 2022</c:v>
                  </c:pt>
                  <c:pt idx="48">
                    <c:v>December 2022</c:v>
                  </c:pt>
                  <c:pt idx="49">
                    <c:v>January 2023</c:v>
                  </c:pt>
                  <c:pt idx="50">
                    <c:v>February 2023</c:v>
                  </c:pt>
                  <c:pt idx="51">
                    <c:v>March 2023</c:v>
                  </c:pt>
                  <c:pt idx="52">
                    <c:v>April 2023</c:v>
                  </c:pt>
                  <c:pt idx="53">
                    <c:v>May 2023</c:v>
                  </c:pt>
                  <c:pt idx="54">
                    <c:v>June 2023</c:v>
                  </c:pt>
                  <c:pt idx="55">
                    <c:v>July 2023</c:v>
                  </c:pt>
                  <c:pt idx="56">
                    <c:v>August 2023</c:v>
                  </c:pt>
                  <c:pt idx="57">
                    <c:v>September 2023</c:v>
                  </c:pt>
                  <c:pt idx="58">
                    <c:v>October 2023</c:v>
                  </c:pt>
                  <c:pt idx="59">
                    <c:v>November 2023</c:v>
                  </c:pt>
                  <c:pt idx="60">
                    <c:v>December 2023</c:v>
                  </c:pt>
                  <c:pt idx="61">
                    <c:v>January 2024</c:v>
                  </c:pt>
                  <c:pt idx="62">
                    <c:v>February 2024</c:v>
                  </c:pt>
                  <c:pt idx="63">
                    <c:v>March 2024</c:v>
                  </c:pt>
                  <c:pt idx="64">
                    <c:v>April 2024</c:v>
                  </c:pt>
                  <c:pt idx="65">
                    <c:v>May 2024</c:v>
                  </c:pt>
                  <c:pt idx="66">
                    <c:v>June 2024</c:v>
                  </c:pt>
                  <c:pt idx="67">
                    <c:v>July 2024</c:v>
                  </c:pt>
                  <c:pt idx="68">
                    <c:v>August 2024</c:v>
                  </c:pt>
                  <c:pt idx="69">
                    <c:v>September 2024</c:v>
                  </c:pt>
                  <c:pt idx="70">
                    <c:v>October 2024</c:v>
                  </c:pt>
                  <c:pt idx="71">
                    <c:v>November 2024</c:v>
                  </c:pt>
                  <c:pt idx="72">
                    <c:v>December 2024</c:v>
                  </c:pt>
                  <c:pt idx="73">
                    <c:v>January 2025</c:v>
                  </c:pt>
                  <c:pt idx="74">
                    <c:v>February 2025</c:v>
                  </c:pt>
                  <c:pt idx="75">
                    <c:v>March 2025</c:v>
                  </c:pt>
                  <c:pt idx="76">
                    <c:v>April 2025</c:v>
                  </c:pt>
                  <c:pt idx="77">
                    <c:v>May 2025</c:v>
                  </c:pt>
                  <c:pt idx="78">
                    <c:v>June 2025</c:v>
                  </c:pt>
                  <c:pt idx="79">
                    <c:v>July 2025</c:v>
                  </c:pt>
                  <c:pt idx="80">
                    <c:v>August 2025</c:v>
                  </c:pt>
                  <c:pt idx="81">
                    <c:v>September 2025</c:v>
                  </c:pt>
                  <c:pt idx="82">
                    <c:v>October 2025</c:v>
                  </c:pt>
                  <c:pt idx="83">
                    <c:v>November 2025</c:v>
                  </c:pt>
                  <c:pt idx="84">
                    <c:v>December 2025</c:v>
                  </c:pt>
                  <c:pt idx="85">
                    <c:v>January 2026</c:v>
                  </c:pt>
                  <c:pt idx="86">
                    <c:v>February 2026</c:v>
                  </c:pt>
                  <c:pt idx="87">
                    <c:v>March 2026</c:v>
                  </c:pt>
                  <c:pt idx="88">
                    <c:v>April 2026</c:v>
                  </c:pt>
                  <c:pt idx="89">
                    <c:v>May 2026</c:v>
                  </c:pt>
                  <c:pt idx="90">
                    <c:v>June 2026</c:v>
                  </c:pt>
                  <c:pt idx="91">
                    <c:v>July 2026</c:v>
                  </c:pt>
                  <c:pt idx="92">
                    <c:v>August 2026</c:v>
                  </c:pt>
                  <c:pt idx="93">
                    <c:v>September 2026</c:v>
                  </c:pt>
                  <c:pt idx="94">
                    <c:v>October 2026</c:v>
                  </c:pt>
                  <c:pt idx="95">
                    <c:v>November 2026</c:v>
                  </c:pt>
                  <c:pt idx="96">
                    <c:v>December 2026</c:v>
                  </c:pt>
                  <c:pt idx="97">
                    <c:v>January 2027</c:v>
                  </c:pt>
                  <c:pt idx="98">
                    <c:v>February 2027</c:v>
                  </c:pt>
                  <c:pt idx="99">
                    <c:v>March 2027</c:v>
                  </c:pt>
                  <c:pt idx="100">
                    <c:v>April 2027</c:v>
                  </c:pt>
                  <c:pt idx="101">
                    <c:v>May 2027</c:v>
                  </c:pt>
                  <c:pt idx="102">
                    <c:v>June 2027</c:v>
                  </c:pt>
                  <c:pt idx="103">
                    <c:v>July 2027</c:v>
                  </c:pt>
                  <c:pt idx="104">
                    <c:v>August 2027</c:v>
                  </c:pt>
                  <c:pt idx="105">
                    <c:v>September 2027</c:v>
                  </c:pt>
                  <c:pt idx="106">
                    <c:v>October 2027</c:v>
                  </c:pt>
                  <c:pt idx="107">
                    <c:v>November 2027</c:v>
                  </c:pt>
                  <c:pt idx="108">
                    <c:v>December 2027</c:v>
                  </c:pt>
                  <c:pt idx="109">
                    <c:v>January 2028</c:v>
                  </c:pt>
                  <c:pt idx="110">
                    <c:v>February 2028</c:v>
                  </c:pt>
                  <c:pt idx="111">
                    <c:v>March 2028</c:v>
                  </c:pt>
                  <c:pt idx="112">
                    <c:v>April 2028</c:v>
                  </c:pt>
                  <c:pt idx="113">
                    <c:v>May 2028</c:v>
                  </c:pt>
                  <c:pt idx="114">
                    <c:v>June 2028</c:v>
                  </c:pt>
                  <c:pt idx="115">
                    <c:v>July 2028</c:v>
                  </c:pt>
                  <c:pt idx="116">
                    <c:v>August 2028</c:v>
                  </c:pt>
                  <c:pt idx="117">
                    <c:v>September 2028</c:v>
                  </c:pt>
                  <c:pt idx="118">
                    <c:v>October 2028</c:v>
                  </c:pt>
                  <c:pt idx="119">
                    <c:v>November 2028</c:v>
                  </c:pt>
                  <c:pt idx="120">
                    <c:v>December 2028</c:v>
                  </c:pt>
                  <c:pt idx="121">
                    <c:v>January 2029</c:v>
                  </c:pt>
                  <c:pt idx="122">
                    <c:v>February 2029</c:v>
                  </c:pt>
                  <c:pt idx="123">
                    <c:v>March 2029</c:v>
                  </c:pt>
                  <c:pt idx="124">
                    <c:v>April 2029</c:v>
                  </c:pt>
                  <c:pt idx="125">
                    <c:v>May 2029</c:v>
                  </c:pt>
                  <c:pt idx="126">
                    <c:v>June 2029</c:v>
                  </c:pt>
                  <c:pt idx="127">
                    <c:v>July 2029</c:v>
                  </c:pt>
                  <c:pt idx="128">
                    <c:v>August 2029</c:v>
                  </c:pt>
                  <c:pt idx="129">
                    <c:v>September 2029</c:v>
                  </c:pt>
                  <c:pt idx="130">
                    <c:v>October 2029</c:v>
                  </c:pt>
                  <c:pt idx="131">
                    <c:v>November 2029</c:v>
                  </c:pt>
                  <c:pt idx="132">
                    <c:v>December 2029</c:v>
                  </c:pt>
                  <c:pt idx="133">
                    <c:v>January 2030</c:v>
                  </c:pt>
                  <c:pt idx="134">
                    <c:v>February 2030</c:v>
                  </c:pt>
                  <c:pt idx="135">
                    <c:v>March 2030</c:v>
                  </c:pt>
                  <c:pt idx="136">
                    <c:v>April 2030</c:v>
                  </c:pt>
                  <c:pt idx="137">
                    <c:v>May 2030</c:v>
                  </c:pt>
                  <c:pt idx="138">
                    <c:v>June 2030</c:v>
                  </c:pt>
                  <c:pt idx="139">
                    <c:v>July 2030</c:v>
                  </c:pt>
                  <c:pt idx="140">
                    <c:v>August 2030</c:v>
                  </c:pt>
                  <c:pt idx="141">
                    <c:v>September 2030</c:v>
                  </c:pt>
                  <c:pt idx="142">
                    <c:v>October 2030</c:v>
                  </c:pt>
                  <c:pt idx="143">
                    <c:v>November 2030</c:v>
                  </c:pt>
                  <c:pt idx="144">
                    <c:v>December 2030</c:v>
                  </c:pt>
                </c:lvl>
                <c:lvl>
                  <c:pt idx="1">
                    <c:v>2019-01-01</c:v>
                  </c:pt>
                  <c:pt idx="2">
                    <c:v>2019-02-01</c:v>
                  </c:pt>
                  <c:pt idx="3">
                    <c:v>2019-03-01</c:v>
                  </c:pt>
                  <c:pt idx="4">
                    <c:v>2019-04-01</c:v>
                  </c:pt>
                  <c:pt idx="5">
                    <c:v>2019-05-01</c:v>
                  </c:pt>
                  <c:pt idx="6">
                    <c:v>2019-06-01</c:v>
                  </c:pt>
                  <c:pt idx="7">
                    <c:v>2019-07-01</c:v>
                  </c:pt>
                  <c:pt idx="8">
                    <c:v>2019-08-01</c:v>
                  </c:pt>
                  <c:pt idx="9">
                    <c:v>2019-09-01</c:v>
                  </c:pt>
                  <c:pt idx="10">
                    <c:v>2019-10-01</c:v>
                  </c:pt>
                  <c:pt idx="11">
                    <c:v>2019-11-01</c:v>
                  </c:pt>
                  <c:pt idx="12">
                    <c:v>2019-12-01</c:v>
                  </c:pt>
                  <c:pt idx="13">
                    <c:v>2020-01-01</c:v>
                  </c:pt>
                  <c:pt idx="14">
                    <c:v>2020-02-01</c:v>
                  </c:pt>
                  <c:pt idx="15">
                    <c:v>2020-03-01</c:v>
                  </c:pt>
                  <c:pt idx="16">
                    <c:v>2020-04-01</c:v>
                  </c:pt>
                  <c:pt idx="17">
                    <c:v>2020-05-01</c:v>
                  </c:pt>
                  <c:pt idx="18">
                    <c:v>2020-06-01</c:v>
                  </c:pt>
                  <c:pt idx="19">
                    <c:v>2020-07-01</c:v>
                  </c:pt>
                  <c:pt idx="20">
                    <c:v>2020-08-01</c:v>
                  </c:pt>
                  <c:pt idx="21">
                    <c:v>2020-09-01</c:v>
                  </c:pt>
                  <c:pt idx="22">
                    <c:v>2020-10-01</c:v>
                  </c:pt>
                  <c:pt idx="23">
                    <c:v>2020-11-01</c:v>
                  </c:pt>
                  <c:pt idx="24">
                    <c:v>2020-12-01</c:v>
                  </c:pt>
                  <c:pt idx="25">
                    <c:v>2021-01-01</c:v>
                  </c:pt>
                  <c:pt idx="26">
                    <c:v>2021-02-01</c:v>
                  </c:pt>
                  <c:pt idx="27">
                    <c:v>2021-03-01</c:v>
                  </c:pt>
                  <c:pt idx="28">
                    <c:v>2021-04-01</c:v>
                  </c:pt>
                  <c:pt idx="29">
                    <c:v>2021-05-01</c:v>
                  </c:pt>
                  <c:pt idx="30">
                    <c:v>2021-06-01</c:v>
                  </c:pt>
                  <c:pt idx="31">
                    <c:v>2021-07-01</c:v>
                  </c:pt>
                  <c:pt idx="32">
                    <c:v>2021-08-01</c:v>
                  </c:pt>
                  <c:pt idx="33">
                    <c:v>2021-09-01</c:v>
                  </c:pt>
                  <c:pt idx="34">
                    <c:v>2021-10-01</c:v>
                  </c:pt>
                  <c:pt idx="35">
                    <c:v>2021-11-01</c:v>
                  </c:pt>
                  <c:pt idx="36">
                    <c:v>2021-12-01</c:v>
                  </c:pt>
                  <c:pt idx="37">
                    <c:v>2022-01-01</c:v>
                  </c:pt>
                  <c:pt idx="38">
                    <c:v>2022-02-01</c:v>
                  </c:pt>
                  <c:pt idx="39">
                    <c:v>2022-03-01</c:v>
                  </c:pt>
                  <c:pt idx="40">
                    <c:v>2022-04-01</c:v>
                  </c:pt>
                  <c:pt idx="41">
                    <c:v>2022-05-01</c:v>
                  </c:pt>
                  <c:pt idx="42">
                    <c:v>2022-06-01</c:v>
                  </c:pt>
                  <c:pt idx="43">
                    <c:v>2022-07-01</c:v>
                  </c:pt>
                  <c:pt idx="44">
                    <c:v>2022-08-01</c:v>
                  </c:pt>
                  <c:pt idx="45">
                    <c:v>2022-09-01</c:v>
                  </c:pt>
                  <c:pt idx="46">
                    <c:v>2022-10-01</c:v>
                  </c:pt>
                  <c:pt idx="47">
                    <c:v>2022-11-01</c:v>
                  </c:pt>
                  <c:pt idx="48">
                    <c:v>2022-12-01</c:v>
                  </c:pt>
                  <c:pt idx="49">
                    <c:v>2023-01-01</c:v>
                  </c:pt>
                  <c:pt idx="50">
                    <c:v>2023-02-01</c:v>
                  </c:pt>
                  <c:pt idx="51">
                    <c:v>2023-03-01</c:v>
                  </c:pt>
                  <c:pt idx="52">
                    <c:v>2023-04-01</c:v>
                  </c:pt>
                  <c:pt idx="53">
                    <c:v>2023-05-01</c:v>
                  </c:pt>
                  <c:pt idx="54">
                    <c:v>2023-06-01</c:v>
                  </c:pt>
                  <c:pt idx="55">
                    <c:v>2023-07-01</c:v>
                  </c:pt>
                  <c:pt idx="56">
                    <c:v>2023-08-01</c:v>
                  </c:pt>
                  <c:pt idx="57">
                    <c:v>2023-09-01</c:v>
                  </c:pt>
                  <c:pt idx="58">
                    <c:v>2023-10-01</c:v>
                  </c:pt>
                  <c:pt idx="59">
                    <c:v>2023-11-01</c:v>
                  </c:pt>
                  <c:pt idx="60">
                    <c:v>2023-12-01</c:v>
                  </c:pt>
                  <c:pt idx="61">
                    <c:v>2024-01-01</c:v>
                  </c:pt>
                  <c:pt idx="62">
                    <c:v>2024-02-01</c:v>
                  </c:pt>
                  <c:pt idx="63">
                    <c:v>2024-03-01</c:v>
                  </c:pt>
                  <c:pt idx="64">
                    <c:v>2024-04-01</c:v>
                  </c:pt>
                  <c:pt idx="65">
                    <c:v>2024-05-01</c:v>
                  </c:pt>
                  <c:pt idx="66">
                    <c:v>2024-06-01</c:v>
                  </c:pt>
                  <c:pt idx="67">
                    <c:v>2024-07-01</c:v>
                  </c:pt>
                  <c:pt idx="68">
                    <c:v>2024-08-01</c:v>
                  </c:pt>
                  <c:pt idx="69">
                    <c:v>2024-09-01</c:v>
                  </c:pt>
                  <c:pt idx="70">
                    <c:v>2024-10-01</c:v>
                  </c:pt>
                  <c:pt idx="71">
                    <c:v>2024-11-01</c:v>
                  </c:pt>
                  <c:pt idx="72">
                    <c:v>2024-12-01</c:v>
                  </c:pt>
                  <c:pt idx="73">
                    <c:v>2025-01-01</c:v>
                  </c:pt>
                  <c:pt idx="74">
                    <c:v>2025-02-01</c:v>
                  </c:pt>
                  <c:pt idx="75">
                    <c:v>2025-03-01</c:v>
                  </c:pt>
                  <c:pt idx="76">
                    <c:v>2025-04-01</c:v>
                  </c:pt>
                  <c:pt idx="77">
                    <c:v>2025-05-01</c:v>
                  </c:pt>
                  <c:pt idx="78">
                    <c:v>2025-06-01</c:v>
                  </c:pt>
                  <c:pt idx="79">
                    <c:v>2025-07-01</c:v>
                  </c:pt>
                  <c:pt idx="80">
                    <c:v>2025-08-01</c:v>
                  </c:pt>
                  <c:pt idx="81">
                    <c:v>2025-09-01</c:v>
                  </c:pt>
                  <c:pt idx="82">
                    <c:v>2025-10-01</c:v>
                  </c:pt>
                  <c:pt idx="83">
                    <c:v>2025-11-01</c:v>
                  </c:pt>
                  <c:pt idx="84">
                    <c:v>2025-12-01</c:v>
                  </c:pt>
                  <c:pt idx="85">
                    <c:v>2026-01-01</c:v>
                  </c:pt>
                  <c:pt idx="86">
                    <c:v>2026-02-01</c:v>
                  </c:pt>
                  <c:pt idx="87">
                    <c:v>2026-03-01</c:v>
                  </c:pt>
                  <c:pt idx="88">
                    <c:v>2026-04-01</c:v>
                  </c:pt>
                  <c:pt idx="89">
                    <c:v>2026-05-01</c:v>
                  </c:pt>
                  <c:pt idx="90">
                    <c:v>2026-06-01</c:v>
                  </c:pt>
                  <c:pt idx="91">
                    <c:v>2026-07-01</c:v>
                  </c:pt>
                  <c:pt idx="92">
                    <c:v>2026-08-01</c:v>
                  </c:pt>
                  <c:pt idx="93">
                    <c:v>2026-09-01</c:v>
                  </c:pt>
                  <c:pt idx="94">
                    <c:v>2026-10-01</c:v>
                  </c:pt>
                  <c:pt idx="95">
                    <c:v>2026-11-01</c:v>
                  </c:pt>
                  <c:pt idx="96">
                    <c:v>2026-12-01</c:v>
                  </c:pt>
                  <c:pt idx="97">
                    <c:v>2027-01-01</c:v>
                  </c:pt>
                  <c:pt idx="98">
                    <c:v>2027-02-01</c:v>
                  </c:pt>
                  <c:pt idx="99">
                    <c:v>2027-03-01</c:v>
                  </c:pt>
                  <c:pt idx="100">
                    <c:v>2027-04-01</c:v>
                  </c:pt>
                  <c:pt idx="101">
                    <c:v>2027-05-01</c:v>
                  </c:pt>
                  <c:pt idx="102">
                    <c:v>2027-06-01</c:v>
                  </c:pt>
                  <c:pt idx="103">
                    <c:v>2027-07-01</c:v>
                  </c:pt>
                  <c:pt idx="104">
                    <c:v>2027-08-01</c:v>
                  </c:pt>
                  <c:pt idx="105">
                    <c:v>2027-09-01</c:v>
                  </c:pt>
                  <c:pt idx="106">
                    <c:v>2027-10-01</c:v>
                  </c:pt>
                  <c:pt idx="107">
                    <c:v>2027-11-01</c:v>
                  </c:pt>
                  <c:pt idx="108">
                    <c:v>2027-12-01</c:v>
                  </c:pt>
                  <c:pt idx="109">
                    <c:v>2028-01-01</c:v>
                  </c:pt>
                  <c:pt idx="110">
                    <c:v>2028-02-01</c:v>
                  </c:pt>
                  <c:pt idx="111">
                    <c:v>2028-03-01</c:v>
                  </c:pt>
                  <c:pt idx="112">
                    <c:v>2028-04-01</c:v>
                  </c:pt>
                  <c:pt idx="113">
                    <c:v>2028-05-01</c:v>
                  </c:pt>
                  <c:pt idx="114">
                    <c:v>2028-06-01</c:v>
                  </c:pt>
                  <c:pt idx="115">
                    <c:v>2028-07-01</c:v>
                  </c:pt>
                  <c:pt idx="116">
                    <c:v>2028-08-01</c:v>
                  </c:pt>
                  <c:pt idx="117">
                    <c:v>2028-09-01</c:v>
                  </c:pt>
                  <c:pt idx="118">
                    <c:v>2028-10-01</c:v>
                  </c:pt>
                  <c:pt idx="119">
                    <c:v>2028-11-01</c:v>
                  </c:pt>
                  <c:pt idx="120">
                    <c:v>2028-12-01</c:v>
                  </c:pt>
                  <c:pt idx="121">
                    <c:v>2029-01-01</c:v>
                  </c:pt>
                  <c:pt idx="122">
                    <c:v>2029-02-01</c:v>
                  </c:pt>
                  <c:pt idx="123">
                    <c:v>2029-03-01</c:v>
                  </c:pt>
                  <c:pt idx="124">
                    <c:v>2029-04-01</c:v>
                  </c:pt>
                  <c:pt idx="125">
                    <c:v>2029-05-01</c:v>
                  </c:pt>
                  <c:pt idx="126">
                    <c:v>2029-06-01</c:v>
                  </c:pt>
                  <c:pt idx="127">
                    <c:v>2029-07-01</c:v>
                  </c:pt>
                  <c:pt idx="128">
                    <c:v>2029-08-01</c:v>
                  </c:pt>
                  <c:pt idx="129">
                    <c:v>2029-09-01</c:v>
                  </c:pt>
                  <c:pt idx="130">
                    <c:v>2029-10-01</c:v>
                  </c:pt>
                  <c:pt idx="131">
                    <c:v>2029-11-01</c:v>
                  </c:pt>
                  <c:pt idx="132">
                    <c:v>2029-12-01</c:v>
                  </c:pt>
                  <c:pt idx="133">
                    <c:v>2030-01-01</c:v>
                  </c:pt>
                  <c:pt idx="134">
                    <c:v>2030-02-01</c:v>
                  </c:pt>
                  <c:pt idx="135">
                    <c:v>2030-03-01</c:v>
                  </c:pt>
                  <c:pt idx="136">
                    <c:v>2030-04-01</c:v>
                  </c:pt>
                  <c:pt idx="137">
                    <c:v>2030-05-01</c:v>
                  </c:pt>
                  <c:pt idx="138">
                    <c:v>2030-06-01</c:v>
                  </c:pt>
                  <c:pt idx="139">
                    <c:v>2030-07-01</c:v>
                  </c:pt>
                  <c:pt idx="140">
                    <c:v>2030-08-01</c:v>
                  </c:pt>
                  <c:pt idx="141">
                    <c:v>2030-09-01</c:v>
                  </c:pt>
                  <c:pt idx="142">
                    <c:v>2030-10-01</c:v>
                  </c:pt>
                  <c:pt idx="143">
                    <c:v>2030-11-01</c:v>
                  </c:pt>
                  <c:pt idx="144">
                    <c:v>2030-12-01</c:v>
                  </c:pt>
                </c:lvl>
              </c:multiLvlStrCache>
            </c:multiLvlStrRef>
          </c:cat>
          <c:val>
            <c:numRef>
              <c:f>Overview!$N$3:$N$147</c:f>
              <c:numCache>
                <c:formatCode>_("$"* #,##0.00_);_("$"* \(#,##0.00\);_("$"* "-"??_);_(@_)</c:formatCode>
                <c:ptCount val="14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-1547.6399999999999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-192.31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-3.16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-44.14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</c:ser>
        <c:ser>
          <c:idx val="12"/>
          <c:order val="12"/>
          <c:tx>
            <c:strRef>
              <c:f>Overview!$O$2</c:f>
              <c:strCache>
                <c:ptCount val="1"/>
                <c:pt idx="0">
                  <c:v>Gifts</c:v>
                </c:pt>
              </c:strCache>
            </c:strRef>
          </c:tx>
          <c:spPr>
            <a:ln w="28575"/>
          </c:spPr>
          <c:invertIfNegative val="0"/>
          <c:cat>
            <c:multiLvlStrRef>
              <c:f>Overview!$A$3:$B$147</c:f>
              <c:multiLvlStrCache>
                <c:ptCount val="145"/>
                <c:lvl>
                  <c:pt idx="1">
                    <c:v>January 2019</c:v>
                  </c:pt>
                  <c:pt idx="2">
                    <c:v>February 2019</c:v>
                  </c:pt>
                  <c:pt idx="3">
                    <c:v>March 2019</c:v>
                  </c:pt>
                  <c:pt idx="4">
                    <c:v>April 2019</c:v>
                  </c:pt>
                  <c:pt idx="5">
                    <c:v>May 2019</c:v>
                  </c:pt>
                  <c:pt idx="6">
                    <c:v>June 2019</c:v>
                  </c:pt>
                  <c:pt idx="7">
                    <c:v>July 2019</c:v>
                  </c:pt>
                  <c:pt idx="8">
                    <c:v>August 2019</c:v>
                  </c:pt>
                  <c:pt idx="9">
                    <c:v>September 2019</c:v>
                  </c:pt>
                  <c:pt idx="10">
                    <c:v>October 2019</c:v>
                  </c:pt>
                  <c:pt idx="11">
                    <c:v>November 2019</c:v>
                  </c:pt>
                  <c:pt idx="12">
                    <c:v>December 2019</c:v>
                  </c:pt>
                  <c:pt idx="13">
                    <c:v>January 2020</c:v>
                  </c:pt>
                  <c:pt idx="14">
                    <c:v>February 2020</c:v>
                  </c:pt>
                  <c:pt idx="15">
                    <c:v>March 2020</c:v>
                  </c:pt>
                  <c:pt idx="16">
                    <c:v>April 2020</c:v>
                  </c:pt>
                  <c:pt idx="17">
                    <c:v>May 2020</c:v>
                  </c:pt>
                  <c:pt idx="18">
                    <c:v>June 2020</c:v>
                  </c:pt>
                  <c:pt idx="19">
                    <c:v>July 2020</c:v>
                  </c:pt>
                  <c:pt idx="20">
                    <c:v>August 2020</c:v>
                  </c:pt>
                  <c:pt idx="21">
                    <c:v>September 2020</c:v>
                  </c:pt>
                  <c:pt idx="22">
                    <c:v>October 2020</c:v>
                  </c:pt>
                  <c:pt idx="23">
                    <c:v>November 2020</c:v>
                  </c:pt>
                  <c:pt idx="24">
                    <c:v>December 2020</c:v>
                  </c:pt>
                  <c:pt idx="25">
                    <c:v>January 2021</c:v>
                  </c:pt>
                  <c:pt idx="26">
                    <c:v>February 2021</c:v>
                  </c:pt>
                  <c:pt idx="27">
                    <c:v>March 2021</c:v>
                  </c:pt>
                  <c:pt idx="28">
                    <c:v>April 2021</c:v>
                  </c:pt>
                  <c:pt idx="29">
                    <c:v>May 2021</c:v>
                  </c:pt>
                  <c:pt idx="30">
                    <c:v>June 2021</c:v>
                  </c:pt>
                  <c:pt idx="31">
                    <c:v>July 2021</c:v>
                  </c:pt>
                  <c:pt idx="32">
                    <c:v>August 2021</c:v>
                  </c:pt>
                  <c:pt idx="33">
                    <c:v>September 2021</c:v>
                  </c:pt>
                  <c:pt idx="34">
                    <c:v>October 2021</c:v>
                  </c:pt>
                  <c:pt idx="35">
                    <c:v>November 2021</c:v>
                  </c:pt>
                  <c:pt idx="36">
                    <c:v>December 2021</c:v>
                  </c:pt>
                  <c:pt idx="37">
                    <c:v>January 2022</c:v>
                  </c:pt>
                  <c:pt idx="38">
                    <c:v>February 2022</c:v>
                  </c:pt>
                  <c:pt idx="39">
                    <c:v>March 2022</c:v>
                  </c:pt>
                  <c:pt idx="40">
                    <c:v>April 2022</c:v>
                  </c:pt>
                  <c:pt idx="41">
                    <c:v>May 2022</c:v>
                  </c:pt>
                  <c:pt idx="42">
                    <c:v>June 2022</c:v>
                  </c:pt>
                  <c:pt idx="43">
                    <c:v>July 2022</c:v>
                  </c:pt>
                  <c:pt idx="44">
                    <c:v>August 2022</c:v>
                  </c:pt>
                  <c:pt idx="45">
                    <c:v>September 2022</c:v>
                  </c:pt>
                  <c:pt idx="46">
                    <c:v>October 2022</c:v>
                  </c:pt>
                  <c:pt idx="47">
                    <c:v>November 2022</c:v>
                  </c:pt>
                  <c:pt idx="48">
                    <c:v>December 2022</c:v>
                  </c:pt>
                  <c:pt idx="49">
                    <c:v>January 2023</c:v>
                  </c:pt>
                  <c:pt idx="50">
                    <c:v>February 2023</c:v>
                  </c:pt>
                  <c:pt idx="51">
                    <c:v>March 2023</c:v>
                  </c:pt>
                  <c:pt idx="52">
                    <c:v>April 2023</c:v>
                  </c:pt>
                  <c:pt idx="53">
                    <c:v>May 2023</c:v>
                  </c:pt>
                  <c:pt idx="54">
                    <c:v>June 2023</c:v>
                  </c:pt>
                  <c:pt idx="55">
                    <c:v>July 2023</c:v>
                  </c:pt>
                  <c:pt idx="56">
                    <c:v>August 2023</c:v>
                  </c:pt>
                  <c:pt idx="57">
                    <c:v>September 2023</c:v>
                  </c:pt>
                  <c:pt idx="58">
                    <c:v>October 2023</c:v>
                  </c:pt>
                  <c:pt idx="59">
                    <c:v>November 2023</c:v>
                  </c:pt>
                  <c:pt idx="60">
                    <c:v>December 2023</c:v>
                  </c:pt>
                  <c:pt idx="61">
                    <c:v>January 2024</c:v>
                  </c:pt>
                  <c:pt idx="62">
                    <c:v>February 2024</c:v>
                  </c:pt>
                  <c:pt idx="63">
                    <c:v>March 2024</c:v>
                  </c:pt>
                  <c:pt idx="64">
                    <c:v>April 2024</c:v>
                  </c:pt>
                  <c:pt idx="65">
                    <c:v>May 2024</c:v>
                  </c:pt>
                  <c:pt idx="66">
                    <c:v>June 2024</c:v>
                  </c:pt>
                  <c:pt idx="67">
                    <c:v>July 2024</c:v>
                  </c:pt>
                  <c:pt idx="68">
                    <c:v>August 2024</c:v>
                  </c:pt>
                  <c:pt idx="69">
                    <c:v>September 2024</c:v>
                  </c:pt>
                  <c:pt idx="70">
                    <c:v>October 2024</c:v>
                  </c:pt>
                  <c:pt idx="71">
                    <c:v>November 2024</c:v>
                  </c:pt>
                  <c:pt idx="72">
                    <c:v>December 2024</c:v>
                  </c:pt>
                  <c:pt idx="73">
                    <c:v>January 2025</c:v>
                  </c:pt>
                  <c:pt idx="74">
                    <c:v>February 2025</c:v>
                  </c:pt>
                  <c:pt idx="75">
                    <c:v>March 2025</c:v>
                  </c:pt>
                  <c:pt idx="76">
                    <c:v>April 2025</c:v>
                  </c:pt>
                  <c:pt idx="77">
                    <c:v>May 2025</c:v>
                  </c:pt>
                  <c:pt idx="78">
                    <c:v>June 2025</c:v>
                  </c:pt>
                  <c:pt idx="79">
                    <c:v>July 2025</c:v>
                  </c:pt>
                  <c:pt idx="80">
                    <c:v>August 2025</c:v>
                  </c:pt>
                  <c:pt idx="81">
                    <c:v>September 2025</c:v>
                  </c:pt>
                  <c:pt idx="82">
                    <c:v>October 2025</c:v>
                  </c:pt>
                  <c:pt idx="83">
                    <c:v>November 2025</c:v>
                  </c:pt>
                  <c:pt idx="84">
                    <c:v>December 2025</c:v>
                  </c:pt>
                  <c:pt idx="85">
                    <c:v>January 2026</c:v>
                  </c:pt>
                  <c:pt idx="86">
                    <c:v>February 2026</c:v>
                  </c:pt>
                  <c:pt idx="87">
                    <c:v>March 2026</c:v>
                  </c:pt>
                  <c:pt idx="88">
                    <c:v>April 2026</c:v>
                  </c:pt>
                  <c:pt idx="89">
                    <c:v>May 2026</c:v>
                  </c:pt>
                  <c:pt idx="90">
                    <c:v>June 2026</c:v>
                  </c:pt>
                  <c:pt idx="91">
                    <c:v>July 2026</c:v>
                  </c:pt>
                  <c:pt idx="92">
                    <c:v>August 2026</c:v>
                  </c:pt>
                  <c:pt idx="93">
                    <c:v>September 2026</c:v>
                  </c:pt>
                  <c:pt idx="94">
                    <c:v>October 2026</c:v>
                  </c:pt>
                  <c:pt idx="95">
                    <c:v>November 2026</c:v>
                  </c:pt>
                  <c:pt idx="96">
                    <c:v>December 2026</c:v>
                  </c:pt>
                  <c:pt idx="97">
                    <c:v>January 2027</c:v>
                  </c:pt>
                  <c:pt idx="98">
                    <c:v>February 2027</c:v>
                  </c:pt>
                  <c:pt idx="99">
                    <c:v>March 2027</c:v>
                  </c:pt>
                  <c:pt idx="100">
                    <c:v>April 2027</c:v>
                  </c:pt>
                  <c:pt idx="101">
                    <c:v>May 2027</c:v>
                  </c:pt>
                  <c:pt idx="102">
                    <c:v>June 2027</c:v>
                  </c:pt>
                  <c:pt idx="103">
                    <c:v>July 2027</c:v>
                  </c:pt>
                  <c:pt idx="104">
                    <c:v>August 2027</c:v>
                  </c:pt>
                  <c:pt idx="105">
                    <c:v>September 2027</c:v>
                  </c:pt>
                  <c:pt idx="106">
                    <c:v>October 2027</c:v>
                  </c:pt>
                  <c:pt idx="107">
                    <c:v>November 2027</c:v>
                  </c:pt>
                  <c:pt idx="108">
                    <c:v>December 2027</c:v>
                  </c:pt>
                  <c:pt idx="109">
                    <c:v>January 2028</c:v>
                  </c:pt>
                  <c:pt idx="110">
                    <c:v>February 2028</c:v>
                  </c:pt>
                  <c:pt idx="111">
                    <c:v>March 2028</c:v>
                  </c:pt>
                  <c:pt idx="112">
                    <c:v>April 2028</c:v>
                  </c:pt>
                  <c:pt idx="113">
                    <c:v>May 2028</c:v>
                  </c:pt>
                  <c:pt idx="114">
                    <c:v>June 2028</c:v>
                  </c:pt>
                  <c:pt idx="115">
                    <c:v>July 2028</c:v>
                  </c:pt>
                  <c:pt idx="116">
                    <c:v>August 2028</c:v>
                  </c:pt>
                  <c:pt idx="117">
                    <c:v>September 2028</c:v>
                  </c:pt>
                  <c:pt idx="118">
                    <c:v>October 2028</c:v>
                  </c:pt>
                  <c:pt idx="119">
                    <c:v>November 2028</c:v>
                  </c:pt>
                  <c:pt idx="120">
                    <c:v>December 2028</c:v>
                  </c:pt>
                  <c:pt idx="121">
                    <c:v>January 2029</c:v>
                  </c:pt>
                  <c:pt idx="122">
                    <c:v>February 2029</c:v>
                  </c:pt>
                  <c:pt idx="123">
                    <c:v>March 2029</c:v>
                  </c:pt>
                  <c:pt idx="124">
                    <c:v>April 2029</c:v>
                  </c:pt>
                  <c:pt idx="125">
                    <c:v>May 2029</c:v>
                  </c:pt>
                  <c:pt idx="126">
                    <c:v>June 2029</c:v>
                  </c:pt>
                  <c:pt idx="127">
                    <c:v>July 2029</c:v>
                  </c:pt>
                  <c:pt idx="128">
                    <c:v>August 2029</c:v>
                  </c:pt>
                  <c:pt idx="129">
                    <c:v>September 2029</c:v>
                  </c:pt>
                  <c:pt idx="130">
                    <c:v>October 2029</c:v>
                  </c:pt>
                  <c:pt idx="131">
                    <c:v>November 2029</c:v>
                  </c:pt>
                  <c:pt idx="132">
                    <c:v>December 2029</c:v>
                  </c:pt>
                  <c:pt idx="133">
                    <c:v>January 2030</c:v>
                  </c:pt>
                  <c:pt idx="134">
                    <c:v>February 2030</c:v>
                  </c:pt>
                  <c:pt idx="135">
                    <c:v>March 2030</c:v>
                  </c:pt>
                  <c:pt idx="136">
                    <c:v>April 2030</c:v>
                  </c:pt>
                  <c:pt idx="137">
                    <c:v>May 2030</c:v>
                  </c:pt>
                  <c:pt idx="138">
                    <c:v>June 2030</c:v>
                  </c:pt>
                  <c:pt idx="139">
                    <c:v>July 2030</c:v>
                  </c:pt>
                  <c:pt idx="140">
                    <c:v>August 2030</c:v>
                  </c:pt>
                  <c:pt idx="141">
                    <c:v>September 2030</c:v>
                  </c:pt>
                  <c:pt idx="142">
                    <c:v>October 2030</c:v>
                  </c:pt>
                  <c:pt idx="143">
                    <c:v>November 2030</c:v>
                  </c:pt>
                  <c:pt idx="144">
                    <c:v>December 2030</c:v>
                  </c:pt>
                </c:lvl>
                <c:lvl>
                  <c:pt idx="1">
                    <c:v>2019-01-01</c:v>
                  </c:pt>
                  <c:pt idx="2">
                    <c:v>2019-02-01</c:v>
                  </c:pt>
                  <c:pt idx="3">
                    <c:v>2019-03-01</c:v>
                  </c:pt>
                  <c:pt idx="4">
                    <c:v>2019-04-01</c:v>
                  </c:pt>
                  <c:pt idx="5">
                    <c:v>2019-05-01</c:v>
                  </c:pt>
                  <c:pt idx="6">
                    <c:v>2019-06-01</c:v>
                  </c:pt>
                  <c:pt idx="7">
                    <c:v>2019-07-01</c:v>
                  </c:pt>
                  <c:pt idx="8">
                    <c:v>2019-08-01</c:v>
                  </c:pt>
                  <c:pt idx="9">
                    <c:v>2019-09-01</c:v>
                  </c:pt>
                  <c:pt idx="10">
                    <c:v>2019-10-01</c:v>
                  </c:pt>
                  <c:pt idx="11">
                    <c:v>2019-11-01</c:v>
                  </c:pt>
                  <c:pt idx="12">
                    <c:v>2019-12-01</c:v>
                  </c:pt>
                  <c:pt idx="13">
                    <c:v>2020-01-01</c:v>
                  </c:pt>
                  <c:pt idx="14">
                    <c:v>2020-02-01</c:v>
                  </c:pt>
                  <c:pt idx="15">
                    <c:v>2020-03-01</c:v>
                  </c:pt>
                  <c:pt idx="16">
                    <c:v>2020-04-01</c:v>
                  </c:pt>
                  <c:pt idx="17">
                    <c:v>2020-05-01</c:v>
                  </c:pt>
                  <c:pt idx="18">
                    <c:v>2020-06-01</c:v>
                  </c:pt>
                  <c:pt idx="19">
                    <c:v>2020-07-01</c:v>
                  </c:pt>
                  <c:pt idx="20">
                    <c:v>2020-08-01</c:v>
                  </c:pt>
                  <c:pt idx="21">
                    <c:v>2020-09-01</c:v>
                  </c:pt>
                  <c:pt idx="22">
                    <c:v>2020-10-01</c:v>
                  </c:pt>
                  <c:pt idx="23">
                    <c:v>2020-11-01</c:v>
                  </c:pt>
                  <c:pt idx="24">
                    <c:v>2020-12-01</c:v>
                  </c:pt>
                  <c:pt idx="25">
                    <c:v>2021-01-01</c:v>
                  </c:pt>
                  <c:pt idx="26">
                    <c:v>2021-02-01</c:v>
                  </c:pt>
                  <c:pt idx="27">
                    <c:v>2021-03-01</c:v>
                  </c:pt>
                  <c:pt idx="28">
                    <c:v>2021-04-01</c:v>
                  </c:pt>
                  <c:pt idx="29">
                    <c:v>2021-05-01</c:v>
                  </c:pt>
                  <c:pt idx="30">
                    <c:v>2021-06-01</c:v>
                  </c:pt>
                  <c:pt idx="31">
                    <c:v>2021-07-01</c:v>
                  </c:pt>
                  <c:pt idx="32">
                    <c:v>2021-08-01</c:v>
                  </c:pt>
                  <c:pt idx="33">
                    <c:v>2021-09-01</c:v>
                  </c:pt>
                  <c:pt idx="34">
                    <c:v>2021-10-01</c:v>
                  </c:pt>
                  <c:pt idx="35">
                    <c:v>2021-11-01</c:v>
                  </c:pt>
                  <c:pt idx="36">
                    <c:v>2021-12-01</c:v>
                  </c:pt>
                  <c:pt idx="37">
                    <c:v>2022-01-01</c:v>
                  </c:pt>
                  <c:pt idx="38">
                    <c:v>2022-02-01</c:v>
                  </c:pt>
                  <c:pt idx="39">
                    <c:v>2022-03-01</c:v>
                  </c:pt>
                  <c:pt idx="40">
                    <c:v>2022-04-01</c:v>
                  </c:pt>
                  <c:pt idx="41">
                    <c:v>2022-05-01</c:v>
                  </c:pt>
                  <c:pt idx="42">
                    <c:v>2022-06-01</c:v>
                  </c:pt>
                  <c:pt idx="43">
                    <c:v>2022-07-01</c:v>
                  </c:pt>
                  <c:pt idx="44">
                    <c:v>2022-08-01</c:v>
                  </c:pt>
                  <c:pt idx="45">
                    <c:v>2022-09-01</c:v>
                  </c:pt>
                  <c:pt idx="46">
                    <c:v>2022-10-01</c:v>
                  </c:pt>
                  <c:pt idx="47">
                    <c:v>2022-11-01</c:v>
                  </c:pt>
                  <c:pt idx="48">
                    <c:v>2022-12-01</c:v>
                  </c:pt>
                  <c:pt idx="49">
                    <c:v>2023-01-01</c:v>
                  </c:pt>
                  <c:pt idx="50">
                    <c:v>2023-02-01</c:v>
                  </c:pt>
                  <c:pt idx="51">
                    <c:v>2023-03-01</c:v>
                  </c:pt>
                  <c:pt idx="52">
                    <c:v>2023-04-01</c:v>
                  </c:pt>
                  <c:pt idx="53">
                    <c:v>2023-05-01</c:v>
                  </c:pt>
                  <c:pt idx="54">
                    <c:v>2023-06-01</c:v>
                  </c:pt>
                  <c:pt idx="55">
                    <c:v>2023-07-01</c:v>
                  </c:pt>
                  <c:pt idx="56">
                    <c:v>2023-08-01</c:v>
                  </c:pt>
                  <c:pt idx="57">
                    <c:v>2023-09-01</c:v>
                  </c:pt>
                  <c:pt idx="58">
                    <c:v>2023-10-01</c:v>
                  </c:pt>
                  <c:pt idx="59">
                    <c:v>2023-11-01</c:v>
                  </c:pt>
                  <c:pt idx="60">
                    <c:v>2023-12-01</c:v>
                  </c:pt>
                  <c:pt idx="61">
                    <c:v>2024-01-01</c:v>
                  </c:pt>
                  <c:pt idx="62">
                    <c:v>2024-02-01</c:v>
                  </c:pt>
                  <c:pt idx="63">
                    <c:v>2024-03-01</c:v>
                  </c:pt>
                  <c:pt idx="64">
                    <c:v>2024-04-01</c:v>
                  </c:pt>
                  <c:pt idx="65">
                    <c:v>2024-05-01</c:v>
                  </c:pt>
                  <c:pt idx="66">
                    <c:v>2024-06-01</c:v>
                  </c:pt>
                  <c:pt idx="67">
                    <c:v>2024-07-01</c:v>
                  </c:pt>
                  <c:pt idx="68">
                    <c:v>2024-08-01</c:v>
                  </c:pt>
                  <c:pt idx="69">
                    <c:v>2024-09-01</c:v>
                  </c:pt>
                  <c:pt idx="70">
                    <c:v>2024-10-01</c:v>
                  </c:pt>
                  <c:pt idx="71">
                    <c:v>2024-11-01</c:v>
                  </c:pt>
                  <c:pt idx="72">
                    <c:v>2024-12-01</c:v>
                  </c:pt>
                  <c:pt idx="73">
                    <c:v>2025-01-01</c:v>
                  </c:pt>
                  <c:pt idx="74">
                    <c:v>2025-02-01</c:v>
                  </c:pt>
                  <c:pt idx="75">
                    <c:v>2025-03-01</c:v>
                  </c:pt>
                  <c:pt idx="76">
                    <c:v>2025-04-01</c:v>
                  </c:pt>
                  <c:pt idx="77">
                    <c:v>2025-05-01</c:v>
                  </c:pt>
                  <c:pt idx="78">
                    <c:v>2025-06-01</c:v>
                  </c:pt>
                  <c:pt idx="79">
                    <c:v>2025-07-01</c:v>
                  </c:pt>
                  <c:pt idx="80">
                    <c:v>2025-08-01</c:v>
                  </c:pt>
                  <c:pt idx="81">
                    <c:v>2025-09-01</c:v>
                  </c:pt>
                  <c:pt idx="82">
                    <c:v>2025-10-01</c:v>
                  </c:pt>
                  <c:pt idx="83">
                    <c:v>2025-11-01</c:v>
                  </c:pt>
                  <c:pt idx="84">
                    <c:v>2025-12-01</c:v>
                  </c:pt>
                  <c:pt idx="85">
                    <c:v>2026-01-01</c:v>
                  </c:pt>
                  <c:pt idx="86">
                    <c:v>2026-02-01</c:v>
                  </c:pt>
                  <c:pt idx="87">
                    <c:v>2026-03-01</c:v>
                  </c:pt>
                  <c:pt idx="88">
                    <c:v>2026-04-01</c:v>
                  </c:pt>
                  <c:pt idx="89">
                    <c:v>2026-05-01</c:v>
                  </c:pt>
                  <c:pt idx="90">
                    <c:v>2026-06-01</c:v>
                  </c:pt>
                  <c:pt idx="91">
                    <c:v>2026-07-01</c:v>
                  </c:pt>
                  <c:pt idx="92">
                    <c:v>2026-08-01</c:v>
                  </c:pt>
                  <c:pt idx="93">
                    <c:v>2026-09-01</c:v>
                  </c:pt>
                  <c:pt idx="94">
                    <c:v>2026-10-01</c:v>
                  </c:pt>
                  <c:pt idx="95">
                    <c:v>2026-11-01</c:v>
                  </c:pt>
                  <c:pt idx="96">
                    <c:v>2026-12-01</c:v>
                  </c:pt>
                  <c:pt idx="97">
                    <c:v>2027-01-01</c:v>
                  </c:pt>
                  <c:pt idx="98">
                    <c:v>2027-02-01</c:v>
                  </c:pt>
                  <c:pt idx="99">
                    <c:v>2027-03-01</c:v>
                  </c:pt>
                  <c:pt idx="100">
                    <c:v>2027-04-01</c:v>
                  </c:pt>
                  <c:pt idx="101">
                    <c:v>2027-05-01</c:v>
                  </c:pt>
                  <c:pt idx="102">
                    <c:v>2027-06-01</c:v>
                  </c:pt>
                  <c:pt idx="103">
                    <c:v>2027-07-01</c:v>
                  </c:pt>
                  <c:pt idx="104">
                    <c:v>2027-08-01</c:v>
                  </c:pt>
                  <c:pt idx="105">
                    <c:v>2027-09-01</c:v>
                  </c:pt>
                  <c:pt idx="106">
                    <c:v>2027-10-01</c:v>
                  </c:pt>
                  <c:pt idx="107">
                    <c:v>2027-11-01</c:v>
                  </c:pt>
                  <c:pt idx="108">
                    <c:v>2027-12-01</c:v>
                  </c:pt>
                  <c:pt idx="109">
                    <c:v>2028-01-01</c:v>
                  </c:pt>
                  <c:pt idx="110">
                    <c:v>2028-02-01</c:v>
                  </c:pt>
                  <c:pt idx="111">
                    <c:v>2028-03-01</c:v>
                  </c:pt>
                  <c:pt idx="112">
                    <c:v>2028-04-01</c:v>
                  </c:pt>
                  <c:pt idx="113">
                    <c:v>2028-05-01</c:v>
                  </c:pt>
                  <c:pt idx="114">
                    <c:v>2028-06-01</c:v>
                  </c:pt>
                  <c:pt idx="115">
                    <c:v>2028-07-01</c:v>
                  </c:pt>
                  <c:pt idx="116">
                    <c:v>2028-08-01</c:v>
                  </c:pt>
                  <c:pt idx="117">
                    <c:v>2028-09-01</c:v>
                  </c:pt>
                  <c:pt idx="118">
                    <c:v>2028-10-01</c:v>
                  </c:pt>
                  <c:pt idx="119">
                    <c:v>2028-11-01</c:v>
                  </c:pt>
                  <c:pt idx="120">
                    <c:v>2028-12-01</c:v>
                  </c:pt>
                  <c:pt idx="121">
                    <c:v>2029-01-01</c:v>
                  </c:pt>
                  <c:pt idx="122">
                    <c:v>2029-02-01</c:v>
                  </c:pt>
                  <c:pt idx="123">
                    <c:v>2029-03-01</c:v>
                  </c:pt>
                  <c:pt idx="124">
                    <c:v>2029-04-01</c:v>
                  </c:pt>
                  <c:pt idx="125">
                    <c:v>2029-05-01</c:v>
                  </c:pt>
                  <c:pt idx="126">
                    <c:v>2029-06-01</c:v>
                  </c:pt>
                  <c:pt idx="127">
                    <c:v>2029-07-01</c:v>
                  </c:pt>
                  <c:pt idx="128">
                    <c:v>2029-08-01</c:v>
                  </c:pt>
                  <c:pt idx="129">
                    <c:v>2029-09-01</c:v>
                  </c:pt>
                  <c:pt idx="130">
                    <c:v>2029-10-01</c:v>
                  </c:pt>
                  <c:pt idx="131">
                    <c:v>2029-11-01</c:v>
                  </c:pt>
                  <c:pt idx="132">
                    <c:v>2029-12-01</c:v>
                  </c:pt>
                  <c:pt idx="133">
                    <c:v>2030-01-01</c:v>
                  </c:pt>
                  <c:pt idx="134">
                    <c:v>2030-02-01</c:v>
                  </c:pt>
                  <c:pt idx="135">
                    <c:v>2030-03-01</c:v>
                  </c:pt>
                  <c:pt idx="136">
                    <c:v>2030-04-01</c:v>
                  </c:pt>
                  <c:pt idx="137">
                    <c:v>2030-05-01</c:v>
                  </c:pt>
                  <c:pt idx="138">
                    <c:v>2030-06-01</c:v>
                  </c:pt>
                  <c:pt idx="139">
                    <c:v>2030-07-01</c:v>
                  </c:pt>
                  <c:pt idx="140">
                    <c:v>2030-08-01</c:v>
                  </c:pt>
                  <c:pt idx="141">
                    <c:v>2030-09-01</c:v>
                  </c:pt>
                  <c:pt idx="142">
                    <c:v>2030-10-01</c:v>
                  </c:pt>
                  <c:pt idx="143">
                    <c:v>2030-11-01</c:v>
                  </c:pt>
                  <c:pt idx="144">
                    <c:v>2030-12-01</c:v>
                  </c:pt>
                </c:lvl>
              </c:multiLvlStrCache>
            </c:multiLvlStrRef>
          </c:cat>
          <c:val>
            <c:numRef>
              <c:f>Overview!$O$3:$O$147</c:f>
              <c:numCache>
                <c:formatCode>_("$"* #,##0.00_);_("$"* \(#,##0.00\);_("$"* "-"??_);_(@_)</c:formatCode>
                <c:ptCount val="14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-13.189999999999998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-36.75</c:v>
                </c:pt>
                <c:pt idx="34">
                  <c:v>0</c:v>
                </c:pt>
                <c:pt idx="35">
                  <c:v>-31.5</c:v>
                </c:pt>
                <c:pt idx="36">
                  <c:v>-74.529999999999987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-109.15</c:v>
                </c:pt>
                <c:pt idx="48">
                  <c:v>-34.96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-32.589999999999996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</c:ser>
        <c:ser>
          <c:idx val="13"/>
          <c:order val="13"/>
          <c:tx>
            <c:strRef>
              <c:f>Overview!$P$2</c:f>
              <c:strCache>
                <c:ptCount val="1"/>
                <c:pt idx="0">
                  <c:v>#N/A</c:v>
                </c:pt>
              </c:strCache>
            </c:strRef>
          </c:tx>
          <c:invertIfNegative val="0"/>
          <c:cat>
            <c:multiLvlStrRef>
              <c:f>Overview!$A$3:$B$147</c:f>
              <c:multiLvlStrCache>
                <c:ptCount val="145"/>
                <c:lvl>
                  <c:pt idx="1">
                    <c:v>January 2019</c:v>
                  </c:pt>
                  <c:pt idx="2">
                    <c:v>February 2019</c:v>
                  </c:pt>
                  <c:pt idx="3">
                    <c:v>March 2019</c:v>
                  </c:pt>
                  <c:pt idx="4">
                    <c:v>April 2019</c:v>
                  </c:pt>
                  <c:pt idx="5">
                    <c:v>May 2019</c:v>
                  </c:pt>
                  <c:pt idx="6">
                    <c:v>June 2019</c:v>
                  </c:pt>
                  <c:pt idx="7">
                    <c:v>July 2019</c:v>
                  </c:pt>
                  <c:pt idx="8">
                    <c:v>August 2019</c:v>
                  </c:pt>
                  <c:pt idx="9">
                    <c:v>September 2019</c:v>
                  </c:pt>
                  <c:pt idx="10">
                    <c:v>October 2019</c:v>
                  </c:pt>
                  <c:pt idx="11">
                    <c:v>November 2019</c:v>
                  </c:pt>
                  <c:pt idx="12">
                    <c:v>December 2019</c:v>
                  </c:pt>
                  <c:pt idx="13">
                    <c:v>January 2020</c:v>
                  </c:pt>
                  <c:pt idx="14">
                    <c:v>February 2020</c:v>
                  </c:pt>
                  <c:pt idx="15">
                    <c:v>March 2020</c:v>
                  </c:pt>
                  <c:pt idx="16">
                    <c:v>April 2020</c:v>
                  </c:pt>
                  <c:pt idx="17">
                    <c:v>May 2020</c:v>
                  </c:pt>
                  <c:pt idx="18">
                    <c:v>June 2020</c:v>
                  </c:pt>
                  <c:pt idx="19">
                    <c:v>July 2020</c:v>
                  </c:pt>
                  <c:pt idx="20">
                    <c:v>August 2020</c:v>
                  </c:pt>
                  <c:pt idx="21">
                    <c:v>September 2020</c:v>
                  </c:pt>
                  <c:pt idx="22">
                    <c:v>October 2020</c:v>
                  </c:pt>
                  <c:pt idx="23">
                    <c:v>November 2020</c:v>
                  </c:pt>
                  <c:pt idx="24">
                    <c:v>December 2020</c:v>
                  </c:pt>
                  <c:pt idx="25">
                    <c:v>January 2021</c:v>
                  </c:pt>
                  <c:pt idx="26">
                    <c:v>February 2021</c:v>
                  </c:pt>
                  <c:pt idx="27">
                    <c:v>March 2021</c:v>
                  </c:pt>
                  <c:pt idx="28">
                    <c:v>April 2021</c:v>
                  </c:pt>
                  <c:pt idx="29">
                    <c:v>May 2021</c:v>
                  </c:pt>
                  <c:pt idx="30">
                    <c:v>June 2021</c:v>
                  </c:pt>
                  <c:pt idx="31">
                    <c:v>July 2021</c:v>
                  </c:pt>
                  <c:pt idx="32">
                    <c:v>August 2021</c:v>
                  </c:pt>
                  <c:pt idx="33">
                    <c:v>September 2021</c:v>
                  </c:pt>
                  <c:pt idx="34">
                    <c:v>October 2021</c:v>
                  </c:pt>
                  <c:pt idx="35">
                    <c:v>November 2021</c:v>
                  </c:pt>
                  <c:pt idx="36">
                    <c:v>December 2021</c:v>
                  </c:pt>
                  <c:pt idx="37">
                    <c:v>January 2022</c:v>
                  </c:pt>
                  <c:pt idx="38">
                    <c:v>February 2022</c:v>
                  </c:pt>
                  <c:pt idx="39">
                    <c:v>March 2022</c:v>
                  </c:pt>
                  <c:pt idx="40">
                    <c:v>April 2022</c:v>
                  </c:pt>
                  <c:pt idx="41">
                    <c:v>May 2022</c:v>
                  </c:pt>
                  <c:pt idx="42">
                    <c:v>June 2022</c:v>
                  </c:pt>
                  <c:pt idx="43">
                    <c:v>July 2022</c:v>
                  </c:pt>
                  <c:pt idx="44">
                    <c:v>August 2022</c:v>
                  </c:pt>
                  <c:pt idx="45">
                    <c:v>September 2022</c:v>
                  </c:pt>
                  <c:pt idx="46">
                    <c:v>October 2022</c:v>
                  </c:pt>
                  <c:pt idx="47">
                    <c:v>November 2022</c:v>
                  </c:pt>
                  <c:pt idx="48">
                    <c:v>December 2022</c:v>
                  </c:pt>
                  <c:pt idx="49">
                    <c:v>January 2023</c:v>
                  </c:pt>
                  <c:pt idx="50">
                    <c:v>February 2023</c:v>
                  </c:pt>
                  <c:pt idx="51">
                    <c:v>March 2023</c:v>
                  </c:pt>
                  <c:pt idx="52">
                    <c:v>April 2023</c:v>
                  </c:pt>
                  <c:pt idx="53">
                    <c:v>May 2023</c:v>
                  </c:pt>
                  <c:pt idx="54">
                    <c:v>June 2023</c:v>
                  </c:pt>
                  <c:pt idx="55">
                    <c:v>July 2023</c:v>
                  </c:pt>
                  <c:pt idx="56">
                    <c:v>August 2023</c:v>
                  </c:pt>
                  <c:pt idx="57">
                    <c:v>September 2023</c:v>
                  </c:pt>
                  <c:pt idx="58">
                    <c:v>October 2023</c:v>
                  </c:pt>
                  <c:pt idx="59">
                    <c:v>November 2023</c:v>
                  </c:pt>
                  <c:pt idx="60">
                    <c:v>December 2023</c:v>
                  </c:pt>
                  <c:pt idx="61">
                    <c:v>January 2024</c:v>
                  </c:pt>
                  <c:pt idx="62">
                    <c:v>February 2024</c:v>
                  </c:pt>
                  <c:pt idx="63">
                    <c:v>March 2024</c:v>
                  </c:pt>
                  <c:pt idx="64">
                    <c:v>April 2024</c:v>
                  </c:pt>
                  <c:pt idx="65">
                    <c:v>May 2024</c:v>
                  </c:pt>
                  <c:pt idx="66">
                    <c:v>June 2024</c:v>
                  </c:pt>
                  <c:pt idx="67">
                    <c:v>July 2024</c:v>
                  </c:pt>
                  <c:pt idx="68">
                    <c:v>August 2024</c:v>
                  </c:pt>
                  <c:pt idx="69">
                    <c:v>September 2024</c:v>
                  </c:pt>
                  <c:pt idx="70">
                    <c:v>October 2024</c:v>
                  </c:pt>
                  <c:pt idx="71">
                    <c:v>November 2024</c:v>
                  </c:pt>
                  <c:pt idx="72">
                    <c:v>December 2024</c:v>
                  </c:pt>
                  <c:pt idx="73">
                    <c:v>January 2025</c:v>
                  </c:pt>
                  <c:pt idx="74">
                    <c:v>February 2025</c:v>
                  </c:pt>
                  <c:pt idx="75">
                    <c:v>March 2025</c:v>
                  </c:pt>
                  <c:pt idx="76">
                    <c:v>April 2025</c:v>
                  </c:pt>
                  <c:pt idx="77">
                    <c:v>May 2025</c:v>
                  </c:pt>
                  <c:pt idx="78">
                    <c:v>June 2025</c:v>
                  </c:pt>
                  <c:pt idx="79">
                    <c:v>July 2025</c:v>
                  </c:pt>
                  <c:pt idx="80">
                    <c:v>August 2025</c:v>
                  </c:pt>
                  <c:pt idx="81">
                    <c:v>September 2025</c:v>
                  </c:pt>
                  <c:pt idx="82">
                    <c:v>October 2025</c:v>
                  </c:pt>
                  <c:pt idx="83">
                    <c:v>November 2025</c:v>
                  </c:pt>
                  <c:pt idx="84">
                    <c:v>December 2025</c:v>
                  </c:pt>
                  <c:pt idx="85">
                    <c:v>January 2026</c:v>
                  </c:pt>
                  <c:pt idx="86">
                    <c:v>February 2026</c:v>
                  </c:pt>
                  <c:pt idx="87">
                    <c:v>March 2026</c:v>
                  </c:pt>
                  <c:pt idx="88">
                    <c:v>April 2026</c:v>
                  </c:pt>
                  <c:pt idx="89">
                    <c:v>May 2026</c:v>
                  </c:pt>
                  <c:pt idx="90">
                    <c:v>June 2026</c:v>
                  </c:pt>
                  <c:pt idx="91">
                    <c:v>July 2026</c:v>
                  </c:pt>
                  <c:pt idx="92">
                    <c:v>August 2026</c:v>
                  </c:pt>
                  <c:pt idx="93">
                    <c:v>September 2026</c:v>
                  </c:pt>
                  <c:pt idx="94">
                    <c:v>October 2026</c:v>
                  </c:pt>
                  <c:pt idx="95">
                    <c:v>November 2026</c:v>
                  </c:pt>
                  <c:pt idx="96">
                    <c:v>December 2026</c:v>
                  </c:pt>
                  <c:pt idx="97">
                    <c:v>January 2027</c:v>
                  </c:pt>
                  <c:pt idx="98">
                    <c:v>February 2027</c:v>
                  </c:pt>
                  <c:pt idx="99">
                    <c:v>March 2027</c:v>
                  </c:pt>
                  <c:pt idx="100">
                    <c:v>April 2027</c:v>
                  </c:pt>
                  <c:pt idx="101">
                    <c:v>May 2027</c:v>
                  </c:pt>
                  <c:pt idx="102">
                    <c:v>June 2027</c:v>
                  </c:pt>
                  <c:pt idx="103">
                    <c:v>July 2027</c:v>
                  </c:pt>
                  <c:pt idx="104">
                    <c:v>August 2027</c:v>
                  </c:pt>
                  <c:pt idx="105">
                    <c:v>September 2027</c:v>
                  </c:pt>
                  <c:pt idx="106">
                    <c:v>October 2027</c:v>
                  </c:pt>
                  <c:pt idx="107">
                    <c:v>November 2027</c:v>
                  </c:pt>
                  <c:pt idx="108">
                    <c:v>December 2027</c:v>
                  </c:pt>
                  <c:pt idx="109">
                    <c:v>January 2028</c:v>
                  </c:pt>
                  <c:pt idx="110">
                    <c:v>February 2028</c:v>
                  </c:pt>
                  <c:pt idx="111">
                    <c:v>March 2028</c:v>
                  </c:pt>
                  <c:pt idx="112">
                    <c:v>April 2028</c:v>
                  </c:pt>
                  <c:pt idx="113">
                    <c:v>May 2028</c:v>
                  </c:pt>
                  <c:pt idx="114">
                    <c:v>June 2028</c:v>
                  </c:pt>
                  <c:pt idx="115">
                    <c:v>July 2028</c:v>
                  </c:pt>
                  <c:pt idx="116">
                    <c:v>August 2028</c:v>
                  </c:pt>
                  <c:pt idx="117">
                    <c:v>September 2028</c:v>
                  </c:pt>
                  <c:pt idx="118">
                    <c:v>October 2028</c:v>
                  </c:pt>
                  <c:pt idx="119">
                    <c:v>November 2028</c:v>
                  </c:pt>
                  <c:pt idx="120">
                    <c:v>December 2028</c:v>
                  </c:pt>
                  <c:pt idx="121">
                    <c:v>January 2029</c:v>
                  </c:pt>
                  <c:pt idx="122">
                    <c:v>February 2029</c:v>
                  </c:pt>
                  <c:pt idx="123">
                    <c:v>March 2029</c:v>
                  </c:pt>
                  <c:pt idx="124">
                    <c:v>April 2029</c:v>
                  </c:pt>
                  <c:pt idx="125">
                    <c:v>May 2029</c:v>
                  </c:pt>
                  <c:pt idx="126">
                    <c:v>June 2029</c:v>
                  </c:pt>
                  <c:pt idx="127">
                    <c:v>July 2029</c:v>
                  </c:pt>
                  <c:pt idx="128">
                    <c:v>August 2029</c:v>
                  </c:pt>
                  <c:pt idx="129">
                    <c:v>September 2029</c:v>
                  </c:pt>
                  <c:pt idx="130">
                    <c:v>October 2029</c:v>
                  </c:pt>
                  <c:pt idx="131">
                    <c:v>November 2029</c:v>
                  </c:pt>
                  <c:pt idx="132">
                    <c:v>December 2029</c:v>
                  </c:pt>
                  <c:pt idx="133">
                    <c:v>January 2030</c:v>
                  </c:pt>
                  <c:pt idx="134">
                    <c:v>February 2030</c:v>
                  </c:pt>
                  <c:pt idx="135">
                    <c:v>March 2030</c:v>
                  </c:pt>
                  <c:pt idx="136">
                    <c:v>April 2030</c:v>
                  </c:pt>
                  <c:pt idx="137">
                    <c:v>May 2030</c:v>
                  </c:pt>
                  <c:pt idx="138">
                    <c:v>June 2030</c:v>
                  </c:pt>
                  <c:pt idx="139">
                    <c:v>July 2030</c:v>
                  </c:pt>
                  <c:pt idx="140">
                    <c:v>August 2030</c:v>
                  </c:pt>
                  <c:pt idx="141">
                    <c:v>September 2030</c:v>
                  </c:pt>
                  <c:pt idx="142">
                    <c:v>October 2030</c:v>
                  </c:pt>
                  <c:pt idx="143">
                    <c:v>November 2030</c:v>
                  </c:pt>
                  <c:pt idx="144">
                    <c:v>December 2030</c:v>
                  </c:pt>
                </c:lvl>
                <c:lvl>
                  <c:pt idx="1">
                    <c:v>2019-01-01</c:v>
                  </c:pt>
                  <c:pt idx="2">
                    <c:v>2019-02-01</c:v>
                  </c:pt>
                  <c:pt idx="3">
                    <c:v>2019-03-01</c:v>
                  </c:pt>
                  <c:pt idx="4">
                    <c:v>2019-04-01</c:v>
                  </c:pt>
                  <c:pt idx="5">
                    <c:v>2019-05-01</c:v>
                  </c:pt>
                  <c:pt idx="6">
                    <c:v>2019-06-01</c:v>
                  </c:pt>
                  <c:pt idx="7">
                    <c:v>2019-07-01</c:v>
                  </c:pt>
                  <c:pt idx="8">
                    <c:v>2019-08-01</c:v>
                  </c:pt>
                  <c:pt idx="9">
                    <c:v>2019-09-01</c:v>
                  </c:pt>
                  <c:pt idx="10">
                    <c:v>2019-10-01</c:v>
                  </c:pt>
                  <c:pt idx="11">
                    <c:v>2019-11-01</c:v>
                  </c:pt>
                  <c:pt idx="12">
                    <c:v>2019-12-01</c:v>
                  </c:pt>
                  <c:pt idx="13">
                    <c:v>2020-01-01</c:v>
                  </c:pt>
                  <c:pt idx="14">
                    <c:v>2020-02-01</c:v>
                  </c:pt>
                  <c:pt idx="15">
                    <c:v>2020-03-01</c:v>
                  </c:pt>
                  <c:pt idx="16">
                    <c:v>2020-04-01</c:v>
                  </c:pt>
                  <c:pt idx="17">
                    <c:v>2020-05-01</c:v>
                  </c:pt>
                  <c:pt idx="18">
                    <c:v>2020-06-01</c:v>
                  </c:pt>
                  <c:pt idx="19">
                    <c:v>2020-07-01</c:v>
                  </c:pt>
                  <c:pt idx="20">
                    <c:v>2020-08-01</c:v>
                  </c:pt>
                  <c:pt idx="21">
                    <c:v>2020-09-01</c:v>
                  </c:pt>
                  <c:pt idx="22">
                    <c:v>2020-10-01</c:v>
                  </c:pt>
                  <c:pt idx="23">
                    <c:v>2020-11-01</c:v>
                  </c:pt>
                  <c:pt idx="24">
                    <c:v>2020-12-01</c:v>
                  </c:pt>
                  <c:pt idx="25">
                    <c:v>2021-01-01</c:v>
                  </c:pt>
                  <c:pt idx="26">
                    <c:v>2021-02-01</c:v>
                  </c:pt>
                  <c:pt idx="27">
                    <c:v>2021-03-01</c:v>
                  </c:pt>
                  <c:pt idx="28">
                    <c:v>2021-04-01</c:v>
                  </c:pt>
                  <c:pt idx="29">
                    <c:v>2021-05-01</c:v>
                  </c:pt>
                  <c:pt idx="30">
                    <c:v>2021-06-01</c:v>
                  </c:pt>
                  <c:pt idx="31">
                    <c:v>2021-07-01</c:v>
                  </c:pt>
                  <c:pt idx="32">
                    <c:v>2021-08-01</c:v>
                  </c:pt>
                  <c:pt idx="33">
                    <c:v>2021-09-01</c:v>
                  </c:pt>
                  <c:pt idx="34">
                    <c:v>2021-10-01</c:v>
                  </c:pt>
                  <c:pt idx="35">
                    <c:v>2021-11-01</c:v>
                  </c:pt>
                  <c:pt idx="36">
                    <c:v>2021-12-01</c:v>
                  </c:pt>
                  <c:pt idx="37">
                    <c:v>2022-01-01</c:v>
                  </c:pt>
                  <c:pt idx="38">
                    <c:v>2022-02-01</c:v>
                  </c:pt>
                  <c:pt idx="39">
                    <c:v>2022-03-01</c:v>
                  </c:pt>
                  <c:pt idx="40">
                    <c:v>2022-04-01</c:v>
                  </c:pt>
                  <c:pt idx="41">
                    <c:v>2022-05-01</c:v>
                  </c:pt>
                  <c:pt idx="42">
                    <c:v>2022-06-01</c:v>
                  </c:pt>
                  <c:pt idx="43">
                    <c:v>2022-07-01</c:v>
                  </c:pt>
                  <c:pt idx="44">
                    <c:v>2022-08-01</c:v>
                  </c:pt>
                  <c:pt idx="45">
                    <c:v>2022-09-01</c:v>
                  </c:pt>
                  <c:pt idx="46">
                    <c:v>2022-10-01</c:v>
                  </c:pt>
                  <c:pt idx="47">
                    <c:v>2022-11-01</c:v>
                  </c:pt>
                  <c:pt idx="48">
                    <c:v>2022-12-01</c:v>
                  </c:pt>
                  <c:pt idx="49">
                    <c:v>2023-01-01</c:v>
                  </c:pt>
                  <c:pt idx="50">
                    <c:v>2023-02-01</c:v>
                  </c:pt>
                  <c:pt idx="51">
                    <c:v>2023-03-01</c:v>
                  </c:pt>
                  <c:pt idx="52">
                    <c:v>2023-04-01</c:v>
                  </c:pt>
                  <c:pt idx="53">
                    <c:v>2023-05-01</c:v>
                  </c:pt>
                  <c:pt idx="54">
                    <c:v>2023-06-01</c:v>
                  </c:pt>
                  <c:pt idx="55">
                    <c:v>2023-07-01</c:v>
                  </c:pt>
                  <c:pt idx="56">
                    <c:v>2023-08-01</c:v>
                  </c:pt>
                  <c:pt idx="57">
                    <c:v>2023-09-01</c:v>
                  </c:pt>
                  <c:pt idx="58">
                    <c:v>2023-10-01</c:v>
                  </c:pt>
                  <c:pt idx="59">
                    <c:v>2023-11-01</c:v>
                  </c:pt>
                  <c:pt idx="60">
                    <c:v>2023-12-01</c:v>
                  </c:pt>
                  <c:pt idx="61">
                    <c:v>2024-01-01</c:v>
                  </c:pt>
                  <c:pt idx="62">
                    <c:v>2024-02-01</c:v>
                  </c:pt>
                  <c:pt idx="63">
                    <c:v>2024-03-01</c:v>
                  </c:pt>
                  <c:pt idx="64">
                    <c:v>2024-04-01</c:v>
                  </c:pt>
                  <c:pt idx="65">
                    <c:v>2024-05-01</c:v>
                  </c:pt>
                  <c:pt idx="66">
                    <c:v>2024-06-01</c:v>
                  </c:pt>
                  <c:pt idx="67">
                    <c:v>2024-07-01</c:v>
                  </c:pt>
                  <c:pt idx="68">
                    <c:v>2024-08-01</c:v>
                  </c:pt>
                  <c:pt idx="69">
                    <c:v>2024-09-01</c:v>
                  </c:pt>
                  <c:pt idx="70">
                    <c:v>2024-10-01</c:v>
                  </c:pt>
                  <c:pt idx="71">
                    <c:v>2024-11-01</c:v>
                  </c:pt>
                  <c:pt idx="72">
                    <c:v>2024-12-01</c:v>
                  </c:pt>
                  <c:pt idx="73">
                    <c:v>2025-01-01</c:v>
                  </c:pt>
                  <c:pt idx="74">
                    <c:v>2025-02-01</c:v>
                  </c:pt>
                  <c:pt idx="75">
                    <c:v>2025-03-01</c:v>
                  </c:pt>
                  <c:pt idx="76">
                    <c:v>2025-04-01</c:v>
                  </c:pt>
                  <c:pt idx="77">
                    <c:v>2025-05-01</c:v>
                  </c:pt>
                  <c:pt idx="78">
                    <c:v>2025-06-01</c:v>
                  </c:pt>
                  <c:pt idx="79">
                    <c:v>2025-07-01</c:v>
                  </c:pt>
                  <c:pt idx="80">
                    <c:v>2025-08-01</c:v>
                  </c:pt>
                  <c:pt idx="81">
                    <c:v>2025-09-01</c:v>
                  </c:pt>
                  <c:pt idx="82">
                    <c:v>2025-10-01</c:v>
                  </c:pt>
                  <c:pt idx="83">
                    <c:v>2025-11-01</c:v>
                  </c:pt>
                  <c:pt idx="84">
                    <c:v>2025-12-01</c:v>
                  </c:pt>
                  <c:pt idx="85">
                    <c:v>2026-01-01</c:v>
                  </c:pt>
                  <c:pt idx="86">
                    <c:v>2026-02-01</c:v>
                  </c:pt>
                  <c:pt idx="87">
                    <c:v>2026-03-01</c:v>
                  </c:pt>
                  <c:pt idx="88">
                    <c:v>2026-04-01</c:v>
                  </c:pt>
                  <c:pt idx="89">
                    <c:v>2026-05-01</c:v>
                  </c:pt>
                  <c:pt idx="90">
                    <c:v>2026-06-01</c:v>
                  </c:pt>
                  <c:pt idx="91">
                    <c:v>2026-07-01</c:v>
                  </c:pt>
                  <c:pt idx="92">
                    <c:v>2026-08-01</c:v>
                  </c:pt>
                  <c:pt idx="93">
                    <c:v>2026-09-01</c:v>
                  </c:pt>
                  <c:pt idx="94">
                    <c:v>2026-10-01</c:v>
                  </c:pt>
                  <c:pt idx="95">
                    <c:v>2026-11-01</c:v>
                  </c:pt>
                  <c:pt idx="96">
                    <c:v>2026-12-01</c:v>
                  </c:pt>
                  <c:pt idx="97">
                    <c:v>2027-01-01</c:v>
                  </c:pt>
                  <c:pt idx="98">
                    <c:v>2027-02-01</c:v>
                  </c:pt>
                  <c:pt idx="99">
                    <c:v>2027-03-01</c:v>
                  </c:pt>
                  <c:pt idx="100">
                    <c:v>2027-04-01</c:v>
                  </c:pt>
                  <c:pt idx="101">
                    <c:v>2027-05-01</c:v>
                  </c:pt>
                  <c:pt idx="102">
                    <c:v>2027-06-01</c:v>
                  </c:pt>
                  <c:pt idx="103">
                    <c:v>2027-07-01</c:v>
                  </c:pt>
                  <c:pt idx="104">
                    <c:v>2027-08-01</c:v>
                  </c:pt>
                  <c:pt idx="105">
                    <c:v>2027-09-01</c:v>
                  </c:pt>
                  <c:pt idx="106">
                    <c:v>2027-10-01</c:v>
                  </c:pt>
                  <c:pt idx="107">
                    <c:v>2027-11-01</c:v>
                  </c:pt>
                  <c:pt idx="108">
                    <c:v>2027-12-01</c:v>
                  </c:pt>
                  <c:pt idx="109">
                    <c:v>2028-01-01</c:v>
                  </c:pt>
                  <c:pt idx="110">
                    <c:v>2028-02-01</c:v>
                  </c:pt>
                  <c:pt idx="111">
                    <c:v>2028-03-01</c:v>
                  </c:pt>
                  <c:pt idx="112">
                    <c:v>2028-04-01</c:v>
                  </c:pt>
                  <c:pt idx="113">
                    <c:v>2028-05-01</c:v>
                  </c:pt>
                  <c:pt idx="114">
                    <c:v>2028-06-01</c:v>
                  </c:pt>
                  <c:pt idx="115">
                    <c:v>2028-07-01</c:v>
                  </c:pt>
                  <c:pt idx="116">
                    <c:v>2028-08-01</c:v>
                  </c:pt>
                  <c:pt idx="117">
                    <c:v>2028-09-01</c:v>
                  </c:pt>
                  <c:pt idx="118">
                    <c:v>2028-10-01</c:v>
                  </c:pt>
                  <c:pt idx="119">
                    <c:v>2028-11-01</c:v>
                  </c:pt>
                  <c:pt idx="120">
                    <c:v>2028-12-01</c:v>
                  </c:pt>
                  <c:pt idx="121">
                    <c:v>2029-01-01</c:v>
                  </c:pt>
                  <c:pt idx="122">
                    <c:v>2029-02-01</c:v>
                  </c:pt>
                  <c:pt idx="123">
                    <c:v>2029-03-01</c:v>
                  </c:pt>
                  <c:pt idx="124">
                    <c:v>2029-04-01</c:v>
                  </c:pt>
                  <c:pt idx="125">
                    <c:v>2029-05-01</c:v>
                  </c:pt>
                  <c:pt idx="126">
                    <c:v>2029-06-01</c:v>
                  </c:pt>
                  <c:pt idx="127">
                    <c:v>2029-07-01</c:v>
                  </c:pt>
                  <c:pt idx="128">
                    <c:v>2029-08-01</c:v>
                  </c:pt>
                  <c:pt idx="129">
                    <c:v>2029-09-01</c:v>
                  </c:pt>
                  <c:pt idx="130">
                    <c:v>2029-10-01</c:v>
                  </c:pt>
                  <c:pt idx="131">
                    <c:v>2029-11-01</c:v>
                  </c:pt>
                  <c:pt idx="132">
                    <c:v>2029-12-01</c:v>
                  </c:pt>
                  <c:pt idx="133">
                    <c:v>2030-01-01</c:v>
                  </c:pt>
                  <c:pt idx="134">
                    <c:v>2030-02-01</c:v>
                  </c:pt>
                  <c:pt idx="135">
                    <c:v>2030-03-01</c:v>
                  </c:pt>
                  <c:pt idx="136">
                    <c:v>2030-04-01</c:v>
                  </c:pt>
                  <c:pt idx="137">
                    <c:v>2030-05-01</c:v>
                  </c:pt>
                  <c:pt idx="138">
                    <c:v>2030-06-01</c:v>
                  </c:pt>
                  <c:pt idx="139">
                    <c:v>2030-07-01</c:v>
                  </c:pt>
                  <c:pt idx="140">
                    <c:v>2030-08-01</c:v>
                  </c:pt>
                  <c:pt idx="141">
                    <c:v>2030-09-01</c:v>
                  </c:pt>
                  <c:pt idx="142">
                    <c:v>2030-10-01</c:v>
                  </c:pt>
                  <c:pt idx="143">
                    <c:v>2030-11-01</c:v>
                  </c:pt>
                  <c:pt idx="144">
                    <c:v>2030-12-01</c:v>
                  </c:pt>
                </c:lvl>
              </c:multiLvlStrCache>
            </c:multiLvlStrRef>
          </c:cat>
          <c:val>
            <c:numRef>
              <c:f>Overview!$P$3:$P$147</c:f>
              <c:numCache>
                <c:formatCode>_("$"* #,##0.00_);_("$"* \(#,##0.00\);_("$"* "-"??_);_(@_)</c:formatCode>
                <c:ptCount val="14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</c:ser>
        <c:ser>
          <c:idx val="14"/>
          <c:order val="14"/>
          <c:tx>
            <c:strRef>
              <c:f>Overview!$Q$2</c:f>
              <c:strCache>
                <c:ptCount val="1"/>
                <c:pt idx="0">
                  <c:v>Power</c:v>
                </c:pt>
              </c:strCache>
            </c:strRef>
          </c:tx>
          <c:invertIfNegative val="0"/>
          <c:cat>
            <c:multiLvlStrRef>
              <c:f>Overview!$A$3:$B$147</c:f>
              <c:multiLvlStrCache>
                <c:ptCount val="145"/>
                <c:lvl>
                  <c:pt idx="1">
                    <c:v>January 2019</c:v>
                  </c:pt>
                  <c:pt idx="2">
                    <c:v>February 2019</c:v>
                  </c:pt>
                  <c:pt idx="3">
                    <c:v>March 2019</c:v>
                  </c:pt>
                  <c:pt idx="4">
                    <c:v>April 2019</c:v>
                  </c:pt>
                  <c:pt idx="5">
                    <c:v>May 2019</c:v>
                  </c:pt>
                  <c:pt idx="6">
                    <c:v>June 2019</c:v>
                  </c:pt>
                  <c:pt idx="7">
                    <c:v>July 2019</c:v>
                  </c:pt>
                  <c:pt idx="8">
                    <c:v>August 2019</c:v>
                  </c:pt>
                  <c:pt idx="9">
                    <c:v>September 2019</c:v>
                  </c:pt>
                  <c:pt idx="10">
                    <c:v>October 2019</c:v>
                  </c:pt>
                  <c:pt idx="11">
                    <c:v>November 2019</c:v>
                  </c:pt>
                  <c:pt idx="12">
                    <c:v>December 2019</c:v>
                  </c:pt>
                  <c:pt idx="13">
                    <c:v>January 2020</c:v>
                  </c:pt>
                  <c:pt idx="14">
                    <c:v>February 2020</c:v>
                  </c:pt>
                  <c:pt idx="15">
                    <c:v>March 2020</c:v>
                  </c:pt>
                  <c:pt idx="16">
                    <c:v>April 2020</c:v>
                  </c:pt>
                  <c:pt idx="17">
                    <c:v>May 2020</c:v>
                  </c:pt>
                  <c:pt idx="18">
                    <c:v>June 2020</c:v>
                  </c:pt>
                  <c:pt idx="19">
                    <c:v>July 2020</c:v>
                  </c:pt>
                  <c:pt idx="20">
                    <c:v>August 2020</c:v>
                  </c:pt>
                  <c:pt idx="21">
                    <c:v>September 2020</c:v>
                  </c:pt>
                  <c:pt idx="22">
                    <c:v>October 2020</c:v>
                  </c:pt>
                  <c:pt idx="23">
                    <c:v>November 2020</c:v>
                  </c:pt>
                  <c:pt idx="24">
                    <c:v>December 2020</c:v>
                  </c:pt>
                  <c:pt idx="25">
                    <c:v>January 2021</c:v>
                  </c:pt>
                  <c:pt idx="26">
                    <c:v>February 2021</c:v>
                  </c:pt>
                  <c:pt idx="27">
                    <c:v>March 2021</c:v>
                  </c:pt>
                  <c:pt idx="28">
                    <c:v>April 2021</c:v>
                  </c:pt>
                  <c:pt idx="29">
                    <c:v>May 2021</c:v>
                  </c:pt>
                  <c:pt idx="30">
                    <c:v>June 2021</c:v>
                  </c:pt>
                  <c:pt idx="31">
                    <c:v>July 2021</c:v>
                  </c:pt>
                  <c:pt idx="32">
                    <c:v>August 2021</c:v>
                  </c:pt>
                  <c:pt idx="33">
                    <c:v>September 2021</c:v>
                  </c:pt>
                  <c:pt idx="34">
                    <c:v>October 2021</c:v>
                  </c:pt>
                  <c:pt idx="35">
                    <c:v>November 2021</c:v>
                  </c:pt>
                  <c:pt idx="36">
                    <c:v>December 2021</c:v>
                  </c:pt>
                  <c:pt idx="37">
                    <c:v>January 2022</c:v>
                  </c:pt>
                  <c:pt idx="38">
                    <c:v>February 2022</c:v>
                  </c:pt>
                  <c:pt idx="39">
                    <c:v>March 2022</c:v>
                  </c:pt>
                  <c:pt idx="40">
                    <c:v>April 2022</c:v>
                  </c:pt>
                  <c:pt idx="41">
                    <c:v>May 2022</c:v>
                  </c:pt>
                  <c:pt idx="42">
                    <c:v>June 2022</c:v>
                  </c:pt>
                  <c:pt idx="43">
                    <c:v>July 2022</c:v>
                  </c:pt>
                  <c:pt idx="44">
                    <c:v>August 2022</c:v>
                  </c:pt>
                  <c:pt idx="45">
                    <c:v>September 2022</c:v>
                  </c:pt>
                  <c:pt idx="46">
                    <c:v>October 2022</c:v>
                  </c:pt>
                  <c:pt idx="47">
                    <c:v>November 2022</c:v>
                  </c:pt>
                  <c:pt idx="48">
                    <c:v>December 2022</c:v>
                  </c:pt>
                  <c:pt idx="49">
                    <c:v>January 2023</c:v>
                  </c:pt>
                  <c:pt idx="50">
                    <c:v>February 2023</c:v>
                  </c:pt>
                  <c:pt idx="51">
                    <c:v>March 2023</c:v>
                  </c:pt>
                  <c:pt idx="52">
                    <c:v>April 2023</c:v>
                  </c:pt>
                  <c:pt idx="53">
                    <c:v>May 2023</c:v>
                  </c:pt>
                  <c:pt idx="54">
                    <c:v>June 2023</c:v>
                  </c:pt>
                  <c:pt idx="55">
                    <c:v>July 2023</c:v>
                  </c:pt>
                  <c:pt idx="56">
                    <c:v>August 2023</c:v>
                  </c:pt>
                  <c:pt idx="57">
                    <c:v>September 2023</c:v>
                  </c:pt>
                  <c:pt idx="58">
                    <c:v>October 2023</c:v>
                  </c:pt>
                  <c:pt idx="59">
                    <c:v>November 2023</c:v>
                  </c:pt>
                  <c:pt idx="60">
                    <c:v>December 2023</c:v>
                  </c:pt>
                  <c:pt idx="61">
                    <c:v>January 2024</c:v>
                  </c:pt>
                  <c:pt idx="62">
                    <c:v>February 2024</c:v>
                  </c:pt>
                  <c:pt idx="63">
                    <c:v>March 2024</c:v>
                  </c:pt>
                  <c:pt idx="64">
                    <c:v>April 2024</c:v>
                  </c:pt>
                  <c:pt idx="65">
                    <c:v>May 2024</c:v>
                  </c:pt>
                  <c:pt idx="66">
                    <c:v>June 2024</c:v>
                  </c:pt>
                  <c:pt idx="67">
                    <c:v>July 2024</c:v>
                  </c:pt>
                  <c:pt idx="68">
                    <c:v>August 2024</c:v>
                  </c:pt>
                  <c:pt idx="69">
                    <c:v>September 2024</c:v>
                  </c:pt>
                  <c:pt idx="70">
                    <c:v>October 2024</c:v>
                  </c:pt>
                  <c:pt idx="71">
                    <c:v>November 2024</c:v>
                  </c:pt>
                  <c:pt idx="72">
                    <c:v>December 2024</c:v>
                  </c:pt>
                  <c:pt idx="73">
                    <c:v>January 2025</c:v>
                  </c:pt>
                  <c:pt idx="74">
                    <c:v>February 2025</c:v>
                  </c:pt>
                  <c:pt idx="75">
                    <c:v>March 2025</c:v>
                  </c:pt>
                  <c:pt idx="76">
                    <c:v>April 2025</c:v>
                  </c:pt>
                  <c:pt idx="77">
                    <c:v>May 2025</c:v>
                  </c:pt>
                  <c:pt idx="78">
                    <c:v>June 2025</c:v>
                  </c:pt>
                  <c:pt idx="79">
                    <c:v>July 2025</c:v>
                  </c:pt>
                  <c:pt idx="80">
                    <c:v>August 2025</c:v>
                  </c:pt>
                  <c:pt idx="81">
                    <c:v>September 2025</c:v>
                  </c:pt>
                  <c:pt idx="82">
                    <c:v>October 2025</c:v>
                  </c:pt>
                  <c:pt idx="83">
                    <c:v>November 2025</c:v>
                  </c:pt>
                  <c:pt idx="84">
                    <c:v>December 2025</c:v>
                  </c:pt>
                  <c:pt idx="85">
                    <c:v>January 2026</c:v>
                  </c:pt>
                  <c:pt idx="86">
                    <c:v>February 2026</c:v>
                  </c:pt>
                  <c:pt idx="87">
                    <c:v>March 2026</c:v>
                  </c:pt>
                  <c:pt idx="88">
                    <c:v>April 2026</c:v>
                  </c:pt>
                  <c:pt idx="89">
                    <c:v>May 2026</c:v>
                  </c:pt>
                  <c:pt idx="90">
                    <c:v>June 2026</c:v>
                  </c:pt>
                  <c:pt idx="91">
                    <c:v>July 2026</c:v>
                  </c:pt>
                  <c:pt idx="92">
                    <c:v>August 2026</c:v>
                  </c:pt>
                  <c:pt idx="93">
                    <c:v>September 2026</c:v>
                  </c:pt>
                  <c:pt idx="94">
                    <c:v>October 2026</c:v>
                  </c:pt>
                  <c:pt idx="95">
                    <c:v>November 2026</c:v>
                  </c:pt>
                  <c:pt idx="96">
                    <c:v>December 2026</c:v>
                  </c:pt>
                  <c:pt idx="97">
                    <c:v>January 2027</c:v>
                  </c:pt>
                  <c:pt idx="98">
                    <c:v>February 2027</c:v>
                  </c:pt>
                  <c:pt idx="99">
                    <c:v>March 2027</c:v>
                  </c:pt>
                  <c:pt idx="100">
                    <c:v>April 2027</c:v>
                  </c:pt>
                  <c:pt idx="101">
                    <c:v>May 2027</c:v>
                  </c:pt>
                  <c:pt idx="102">
                    <c:v>June 2027</c:v>
                  </c:pt>
                  <c:pt idx="103">
                    <c:v>July 2027</c:v>
                  </c:pt>
                  <c:pt idx="104">
                    <c:v>August 2027</c:v>
                  </c:pt>
                  <c:pt idx="105">
                    <c:v>September 2027</c:v>
                  </c:pt>
                  <c:pt idx="106">
                    <c:v>October 2027</c:v>
                  </c:pt>
                  <c:pt idx="107">
                    <c:v>November 2027</c:v>
                  </c:pt>
                  <c:pt idx="108">
                    <c:v>December 2027</c:v>
                  </c:pt>
                  <c:pt idx="109">
                    <c:v>January 2028</c:v>
                  </c:pt>
                  <c:pt idx="110">
                    <c:v>February 2028</c:v>
                  </c:pt>
                  <c:pt idx="111">
                    <c:v>March 2028</c:v>
                  </c:pt>
                  <c:pt idx="112">
                    <c:v>April 2028</c:v>
                  </c:pt>
                  <c:pt idx="113">
                    <c:v>May 2028</c:v>
                  </c:pt>
                  <c:pt idx="114">
                    <c:v>June 2028</c:v>
                  </c:pt>
                  <c:pt idx="115">
                    <c:v>July 2028</c:v>
                  </c:pt>
                  <c:pt idx="116">
                    <c:v>August 2028</c:v>
                  </c:pt>
                  <c:pt idx="117">
                    <c:v>September 2028</c:v>
                  </c:pt>
                  <c:pt idx="118">
                    <c:v>October 2028</c:v>
                  </c:pt>
                  <c:pt idx="119">
                    <c:v>November 2028</c:v>
                  </c:pt>
                  <c:pt idx="120">
                    <c:v>December 2028</c:v>
                  </c:pt>
                  <c:pt idx="121">
                    <c:v>January 2029</c:v>
                  </c:pt>
                  <c:pt idx="122">
                    <c:v>February 2029</c:v>
                  </c:pt>
                  <c:pt idx="123">
                    <c:v>March 2029</c:v>
                  </c:pt>
                  <c:pt idx="124">
                    <c:v>April 2029</c:v>
                  </c:pt>
                  <c:pt idx="125">
                    <c:v>May 2029</c:v>
                  </c:pt>
                  <c:pt idx="126">
                    <c:v>June 2029</c:v>
                  </c:pt>
                  <c:pt idx="127">
                    <c:v>July 2029</c:v>
                  </c:pt>
                  <c:pt idx="128">
                    <c:v>August 2029</c:v>
                  </c:pt>
                  <c:pt idx="129">
                    <c:v>September 2029</c:v>
                  </c:pt>
                  <c:pt idx="130">
                    <c:v>October 2029</c:v>
                  </c:pt>
                  <c:pt idx="131">
                    <c:v>November 2029</c:v>
                  </c:pt>
                  <c:pt idx="132">
                    <c:v>December 2029</c:v>
                  </c:pt>
                  <c:pt idx="133">
                    <c:v>January 2030</c:v>
                  </c:pt>
                  <c:pt idx="134">
                    <c:v>February 2030</c:v>
                  </c:pt>
                  <c:pt idx="135">
                    <c:v>March 2030</c:v>
                  </c:pt>
                  <c:pt idx="136">
                    <c:v>April 2030</c:v>
                  </c:pt>
                  <c:pt idx="137">
                    <c:v>May 2030</c:v>
                  </c:pt>
                  <c:pt idx="138">
                    <c:v>June 2030</c:v>
                  </c:pt>
                  <c:pt idx="139">
                    <c:v>July 2030</c:v>
                  </c:pt>
                  <c:pt idx="140">
                    <c:v>August 2030</c:v>
                  </c:pt>
                  <c:pt idx="141">
                    <c:v>September 2030</c:v>
                  </c:pt>
                  <c:pt idx="142">
                    <c:v>October 2030</c:v>
                  </c:pt>
                  <c:pt idx="143">
                    <c:v>November 2030</c:v>
                  </c:pt>
                  <c:pt idx="144">
                    <c:v>December 2030</c:v>
                  </c:pt>
                </c:lvl>
                <c:lvl>
                  <c:pt idx="1">
                    <c:v>2019-01-01</c:v>
                  </c:pt>
                  <c:pt idx="2">
                    <c:v>2019-02-01</c:v>
                  </c:pt>
                  <c:pt idx="3">
                    <c:v>2019-03-01</c:v>
                  </c:pt>
                  <c:pt idx="4">
                    <c:v>2019-04-01</c:v>
                  </c:pt>
                  <c:pt idx="5">
                    <c:v>2019-05-01</c:v>
                  </c:pt>
                  <c:pt idx="6">
                    <c:v>2019-06-01</c:v>
                  </c:pt>
                  <c:pt idx="7">
                    <c:v>2019-07-01</c:v>
                  </c:pt>
                  <c:pt idx="8">
                    <c:v>2019-08-01</c:v>
                  </c:pt>
                  <c:pt idx="9">
                    <c:v>2019-09-01</c:v>
                  </c:pt>
                  <c:pt idx="10">
                    <c:v>2019-10-01</c:v>
                  </c:pt>
                  <c:pt idx="11">
                    <c:v>2019-11-01</c:v>
                  </c:pt>
                  <c:pt idx="12">
                    <c:v>2019-12-01</c:v>
                  </c:pt>
                  <c:pt idx="13">
                    <c:v>2020-01-01</c:v>
                  </c:pt>
                  <c:pt idx="14">
                    <c:v>2020-02-01</c:v>
                  </c:pt>
                  <c:pt idx="15">
                    <c:v>2020-03-01</c:v>
                  </c:pt>
                  <c:pt idx="16">
                    <c:v>2020-04-01</c:v>
                  </c:pt>
                  <c:pt idx="17">
                    <c:v>2020-05-01</c:v>
                  </c:pt>
                  <c:pt idx="18">
                    <c:v>2020-06-01</c:v>
                  </c:pt>
                  <c:pt idx="19">
                    <c:v>2020-07-01</c:v>
                  </c:pt>
                  <c:pt idx="20">
                    <c:v>2020-08-01</c:v>
                  </c:pt>
                  <c:pt idx="21">
                    <c:v>2020-09-01</c:v>
                  </c:pt>
                  <c:pt idx="22">
                    <c:v>2020-10-01</c:v>
                  </c:pt>
                  <c:pt idx="23">
                    <c:v>2020-11-01</c:v>
                  </c:pt>
                  <c:pt idx="24">
                    <c:v>2020-12-01</c:v>
                  </c:pt>
                  <c:pt idx="25">
                    <c:v>2021-01-01</c:v>
                  </c:pt>
                  <c:pt idx="26">
                    <c:v>2021-02-01</c:v>
                  </c:pt>
                  <c:pt idx="27">
                    <c:v>2021-03-01</c:v>
                  </c:pt>
                  <c:pt idx="28">
                    <c:v>2021-04-01</c:v>
                  </c:pt>
                  <c:pt idx="29">
                    <c:v>2021-05-01</c:v>
                  </c:pt>
                  <c:pt idx="30">
                    <c:v>2021-06-01</c:v>
                  </c:pt>
                  <c:pt idx="31">
                    <c:v>2021-07-01</c:v>
                  </c:pt>
                  <c:pt idx="32">
                    <c:v>2021-08-01</c:v>
                  </c:pt>
                  <c:pt idx="33">
                    <c:v>2021-09-01</c:v>
                  </c:pt>
                  <c:pt idx="34">
                    <c:v>2021-10-01</c:v>
                  </c:pt>
                  <c:pt idx="35">
                    <c:v>2021-11-01</c:v>
                  </c:pt>
                  <c:pt idx="36">
                    <c:v>2021-12-01</c:v>
                  </c:pt>
                  <c:pt idx="37">
                    <c:v>2022-01-01</c:v>
                  </c:pt>
                  <c:pt idx="38">
                    <c:v>2022-02-01</c:v>
                  </c:pt>
                  <c:pt idx="39">
                    <c:v>2022-03-01</c:v>
                  </c:pt>
                  <c:pt idx="40">
                    <c:v>2022-04-01</c:v>
                  </c:pt>
                  <c:pt idx="41">
                    <c:v>2022-05-01</c:v>
                  </c:pt>
                  <c:pt idx="42">
                    <c:v>2022-06-01</c:v>
                  </c:pt>
                  <c:pt idx="43">
                    <c:v>2022-07-01</c:v>
                  </c:pt>
                  <c:pt idx="44">
                    <c:v>2022-08-01</c:v>
                  </c:pt>
                  <c:pt idx="45">
                    <c:v>2022-09-01</c:v>
                  </c:pt>
                  <c:pt idx="46">
                    <c:v>2022-10-01</c:v>
                  </c:pt>
                  <c:pt idx="47">
                    <c:v>2022-11-01</c:v>
                  </c:pt>
                  <c:pt idx="48">
                    <c:v>2022-12-01</c:v>
                  </c:pt>
                  <c:pt idx="49">
                    <c:v>2023-01-01</c:v>
                  </c:pt>
                  <c:pt idx="50">
                    <c:v>2023-02-01</c:v>
                  </c:pt>
                  <c:pt idx="51">
                    <c:v>2023-03-01</c:v>
                  </c:pt>
                  <c:pt idx="52">
                    <c:v>2023-04-01</c:v>
                  </c:pt>
                  <c:pt idx="53">
                    <c:v>2023-05-01</c:v>
                  </c:pt>
                  <c:pt idx="54">
                    <c:v>2023-06-01</c:v>
                  </c:pt>
                  <c:pt idx="55">
                    <c:v>2023-07-01</c:v>
                  </c:pt>
                  <c:pt idx="56">
                    <c:v>2023-08-01</c:v>
                  </c:pt>
                  <c:pt idx="57">
                    <c:v>2023-09-01</c:v>
                  </c:pt>
                  <c:pt idx="58">
                    <c:v>2023-10-01</c:v>
                  </c:pt>
                  <c:pt idx="59">
                    <c:v>2023-11-01</c:v>
                  </c:pt>
                  <c:pt idx="60">
                    <c:v>2023-12-01</c:v>
                  </c:pt>
                  <c:pt idx="61">
                    <c:v>2024-01-01</c:v>
                  </c:pt>
                  <c:pt idx="62">
                    <c:v>2024-02-01</c:v>
                  </c:pt>
                  <c:pt idx="63">
                    <c:v>2024-03-01</c:v>
                  </c:pt>
                  <c:pt idx="64">
                    <c:v>2024-04-01</c:v>
                  </c:pt>
                  <c:pt idx="65">
                    <c:v>2024-05-01</c:v>
                  </c:pt>
                  <c:pt idx="66">
                    <c:v>2024-06-01</c:v>
                  </c:pt>
                  <c:pt idx="67">
                    <c:v>2024-07-01</c:v>
                  </c:pt>
                  <c:pt idx="68">
                    <c:v>2024-08-01</c:v>
                  </c:pt>
                  <c:pt idx="69">
                    <c:v>2024-09-01</c:v>
                  </c:pt>
                  <c:pt idx="70">
                    <c:v>2024-10-01</c:v>
                  </c:pt>
                  <c:pt idx="71">
                    <c:v>2024-11-01</c:v>
                  </c:pt>
                  <c:pt idx="72">
                    <c:v>2024-12-01</c:v>
                  </c:pt>
                  <c:pt idx="73">
                    <c:v>2025-01-01</c:v>
                  </c:pt>
                  <c:pt idx="74">
                    <c:v>2025-02-01</c:v>
                  </c:pt>
                  <c:pt idx="75">
                    <c:v>2025-03-01</c:v>
                  </c:pt>
                  <c:pt idx="76">
                    <c:v>2025-04-01</c:v>
                  </c:pt>
                  <c:pt idx="77">
                    <c:v>2025-05-01</c:v>
                  </c:pt>
                  <c:pt idx="78">
                    <c:v>2025-06-01</c:v>
                  </c:pt>
                  <c:pt idx="79">
                    <c:v>2025-07-01</c:v>
                  </c:pt>
                  <c:pt idx="80">
                    <c:v>2025-08-01</c:v>
                  </c:pt>
                  <c:pt idx="81">
                    <c:v>2025-09-01</c:v>
                  </c:pt>
                  <c:pt idx="82">
                    <c:v>2025-10-01</c:v>
                  </c:pt>
                  <c:pt idx="83">
                    <c:v>2025-11-01</c:v>
                  </c:pt>
                  <c:pt idx="84">
                    <c:v>2025-12-01</c:v>
                  </c:pt>
                  <c:pt idx="85">
                    <c:v>2026-01-01</c:v>
                  </c:pt>
                  <c:pt idx="86">
                    <c:v>2026-02-01</c:v>
                  </c:pt>
                  <c:pt idx="87">
                    <c:v>2026-03-01</c:v>
                  </c:pt>
                  <c:pt idx="88">
                    <c:v>2026-04-01</c:v>
                  </c:pt>
                  <c:pt idx="89">
                    <c:v>2026-05-01</c:v>
                  </c:pt>
                  <c:pt idx="90">
                    <c:v>2026-06-01</c:v>
                  </c:pt>
                  <c:pt idx="91">
                    <c:v>2026-07-01</c:v>
                  </c:pt>
                  <c:pt idx="92">
                    <c:v>2026-08-01</c:v>
                  </c:pt>
                  <c:pt idx="93">
                    <c:v>2026-09-01</c:v>
                  </c:pt>
                  <c:pt idx="94">
                    <c:v>2026-10-01</c:v>
                  </c:pt>
                  <c:pt idx="95">
                    <c:v>2026-11-01</c:v>
                  </c:pt>
                  <c:pt idx="96">
                    <c:v>2026-12-01</c:v>
                  </c:pt>
                  <c:pt idx="97">
                    <c:v>2027-01-01</c:v>
                  </c:pt>
                  <c:pt idx="98">
                    <c:v>2027-02-01</c:v>
                  </c:pt>
                  <c:pt idx="99">
                    <c:v>2027-03-01</c:v>
                  </c:pt>
                  <c:pt idx="100">
                    <c:v>2027-04-01</c:v>
                  </c:pt>
                  <c:pt idx="101">
                    <c:v>2027-05-01</c:v>
                  </c:pt>
                  <c:pt idx="102">
                    <c:v>2027-06-01</c:v>
                  </c:pt>
                  <c:pt idx="103">
                    <c:v>2027-07-01</c:v>
                  </c:pt>
                  <c:pt idx="104">
                    <c:v>2027-08-01</c:v>
                  </c:pt>
                  <c:pt idx="105">
                    <c:v>2027-09-01</c:v>
                  </c:pt>
                  <c:pt idx="106">
                    <c:v>2027-10-01</c:v>
                  </c:pt>
                  <c:pt idx="107">
                    <c:v>2027-11-01</c:v>
                  </c:pt>
                  <c:pt idx="108">
                    <c:v>2027-12-01</c:v>
                  </c:pt>
                  <c:pt idx="109">
                    <c:v>2028-01-01</c:v>
                  </c:pt>
                  <c:pt idx="110">
                    <c:v>2028-02-01</c:v>
                  </c:pt>
                  <c:pt idx="111">
                    <c:v>2028-03-01</c:v>
                  </c:pt>
                  <c:pt idx="112">
                    <c:v>2028-04-01</c:v>
                  </c:pt>
                  <c:pt idx="113">
                    <c:v>2028-05-01</c:v>
                  </c:pt>
                  <c:pt idx="114">
                    <c:v>2028-06-01</c:v>
                  </c:pt>
                  <c:pt idx="115">
                    <c:v>2028-07-01</c:v>
                  </c:pt>
                  <c:pt idx="116">
                    <c:v>2028-08-01</c:v>
                  </c:pt>
                  <c:pt idx="117">
                    <c:v>2028-09-01</c:v>
                  </c:pt>
                  <c:pt idx="118">
                    <c:v>2028-10-01</c:v>
                  </c:pt>
                  <c:pt idx="119">
                    <c:v>2028-11-01</c:v>
                  </c:pt>
                  <c:pt idx="120">
                    <c:v>2028-12-01</c:v>
                  </c:pt>
                  <c:pt idx="121">
                    <c:v>2029-01-01</c:v>
                  </c:pt>
                  <c:pt idx="122">
                    <c:v>2029-02-01</c:v>
                  </c:pt>
                  <c:pt idx="123">
                    <c:v>2029-03-01</c:v>
                  </c:pt>
                  <c:pt idx="124">
                    <c:v>2029-04-01</c:v>
                  </c:pt>
                  <c:pt idx="125">
                    <c:v>2029-05-01</c:v>
                  </c:pt>
                  <c:pt idx="126">
                    <c:v>2029-06-01</c:v>
                  </c:pt>
                  <c:pt idx="127">
                    <c:v>2029-07-01</c:v>
                  </c:pt>
                  <c:pt idx="128">
                    <c:v>2029-08-01</c:v>
                  </c:pt>
                  <c:pt idx="129">
                    <c:v>2029-09-01</c:v>
                  </c:pt>
                  <c:pt idx="130">
                    <c:v>2029-10-01</c:v>
                  </c:pt>
                  <c:pt idx="131">
                    <c:v>2029-11-01</c:v>
                  </c:pt>
                  <c:pt idx="132">
                    <c:v>2029-12-01</c:v>
                  </c:pt>
                  <c:pt idx="133">
                    <c:v>2030-01-01</c:v>
                  </c:pt>
                  <c:pt idx="134">
                    <c:v>2030-02-01</c:v>
                  </c:pt>
                  <c:pt idx="135">
                    <c:v>2030-03-01</c:v>
                  </c:pt>
                  <c:pt idx="136">
                    <c:v>2030-04-01</c:v>
                  </c:pt>
                  <c:pt idx="137">
                    <c:v>2030-05-01</c:v>
                  </c:pt>
                  <c:pt idx="138">
                    <c:v>2030-06-01</c:v>
                  </c:pt>
                  <c:pt idx="139">
                    <c:v>2030-07-01</c:v>
                  </c:pt>
                  <c:pt idx="140">
                    <c:v>2030-08-01</c:v>
                  </c:pt>
                  <c:pt idx="141">
                    <c:v>2030-09-01</c:v>
                  </c:pt>
                  <c:pt idx="142">
                    <c:v>2030-10-01</c:v>
                  </c:pt>
                  <c:pt idx="143">
                    <c:v>2030-11-01</c:v>
                  </c:pt>
                  <c:pt idx="144">
                    <c:v>2030-12-01</c:v>
                  </c:pt>
                </c:lvl>
              </c:multiLvlStrCache>
            </c:multiLvlStrRef>
          </c:cat>
          <c:val>
            <c:numRef>
              <c:f>Overview!$Q$3:$Q$147</c:f>
              <c:numCache>
                <c:formatCode>_("$"* #,##0.00_);_("$"* \(#,##0.00\);_("$"* "-"??_);_(@_)</c:formatCode>
                <c:ptCount val="14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-117.26</c:v>
                </c:pt>
                <c:pt idx="22">
                  <c:v>-118.13</c:v>
                </c:pt>
                <c:pt idx="23">
                  <c:v>-40</c:v>
                </c:pt>
                <c:pt idx="24">
                  <c:v>-135.34</c:v>
                </c:pt>
                <c:pt idx="25">
                  <c:v>-192.89999999999998</c:v>
                </c:pt>
                <c:pt idx="26">
                  <c:v>-124.41</c:v>
                </c:pt>
                <c:pt idx="27">
                  <c:v>-131.15</c:v>
                </c:pt>
                <c:pt idx="28">
                  <c:v>0</c:v>
                </c:pt>
                <c:pt idx="29">
                  <c:v>0</c:v>
                </c:pt>
                <c:pt idx="30">
                  <c:v>-137.88999999999999</c:v>
                </c:pt>
                <c:pt idx="31">
                  <c:v>0</c:v>
                </c:pt>
                <c:pt idx="32">
                  <c:v>0</c:v>
                </c:pt>
                <c:pt idx="33">
                  <c:v>-22.74</c:v>
                </c:pt>
                <c:pt idx="34">
                  <c:v>-11.55</c:v>
                </c:pt>
                <c:pt idx="35">
                  <c:v>0</c:v>
                </c:pt>
                <c:pt idx="36">
                  <c:v>-112.49</c:v>
                </c:pt>
                <c:pt idx="37">
                  <c:v>0</c:v>
                </c:pt>
                <c:pt idx="38">
                  <c:v>-8.34</c:v>
                </c:pt>
                <c:pt idx="39">
                  <c:v>0</c:v>
                </c:pt>
                <c:pt idx="40">
                  <c:v>-80.569999999999993</c:v>
                </c:pt>
                <c:pt idx="41">
                  <c:v>-54.48</c:v>
                </c:pt>
                <c:pt idx="42">
                  <c:v>-62.97</c:v>
                </c:pt>
                <c:pt idx="43">
                  <c:v>-36.47</c:v>
                </c:pt>
                <c:pt idx="44">
                  <c:v>-68.27</c:v>
                </c:pt>
                <c:pt idx="45">
                  <c:v>-61.94</c:v>
                </c:pt>
                <c:pt idx="46">
                  <c:v>-64.069999999999993</c:v>
                </c:pt>
                <c:pt idx="47">
                  <c:v>-62.14</c:v>
                </c:pt>
                <c:pt idx="48">
                  <c:v>-57.56</c:v>
                </c:pt>
                <c:pt idx="49">
                  <c:v>-49.91</c:v>
                </c:pt>
                <c:pt idx="50">
                  <c:v>-56.06</c:v>
                </c:pt>
                <c:pt idx="51">
                  <c:v>-57.88</c:v>
                </c:pt>
                <c:pt idx="52">
                  <c:v>-72.3</c:v>
                </c:pt>
                <c:pt idx="53">
                  <c:v>-64.31</c:v>
                </c:pt>
                <c:pt idx="54">
                  <c:v>-68.34</c:v>
                </c:pt>
                <c:pt idx="55">
                  <c:v>-148.47</c:v>
                </c:pt>
                <c:pt idx="56">
                  <c:v>-74.010000000000005</c:v>
                </c:pt>
                <c:pt idx="57">
                  <c:v>-70.34</c:v>
                </c:pt>
                <c:pt idx="58">
                  <c:v>-139.91</c:v>
                </c:pt>
                <c:pt idx="59">
                  <c:v>-69.17</c:v>
                </c:pt>
                <c:pt idx="60">
                  <c:v>-55.56</c:v>
                </c:pt>
                <c:pt idx="61">
                  <c:v>-161.46</c:v>
                </c:pt>
                <c:pt idx="62">
                  <c:v>-74.319999999999993</c:v>
                </c:pt>
                <c:pt idx="63">
                  <c:v>-62.34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</c:ser>
        <c:ser>
          <c:idx val="15"/>
          <c:order val="15"/>
          <c:tx>
            <c:strRef>
              <c:f>Overview!$R$2</c:f>
              <c:strCache>
                <c:ptCount val="1"/>
                <c:pt idx="0">
                  <c:v>Rent</c:v>
                </c:pt>
              </c:strCache>
            </c:strRef>
          </c:tx>
          <c:invertIfNegative val="0"/>
          <c:cat>
            <c:multiLvlStrRef>
              <c:f>Overview!$A$3:$B$147</c:f>
              <c:multiLvlStrCache>
                <c:ptCount val="145"/>
                <c:lvl>
                  <c:pt idx="1">
                    <c:v>January 2019</c:v>
                  </c:pt>
                  <c:pt idx="2">
                    <c:v>February 2019</c:v>
                  </c:pt>
                  <c:pt idx="3">
                    <c:v>March 2019</c:v>
                  </c:pt>
                  <c:pt idx="4">
                    <c:v>April 2019</c:v>
                  </c:pt>
                  <c:pt idx="5">
                    <c:v>May 2019</c:v>
                  </c:pt>
                  <c:pt idx="6">
                    <c:v>June 2019</c:v>
                  </c:pt>
                  <c:pt idx="7">
                    <c:v>July 2019</c:v>
                  </c:pt>
                  <c:pt idx="8">
                    <c:v>August 2019</c:v>
                  </c:pt>
                  <c:pt idx="9">
                    <c:v>September 2019</c:v>
                  </c:pt>
                  <c:pt idx="10">
                    <c:v>October 2019</c:v>
                  </c:pt>
                  <c:pt idx="11">
                    <c:v>November 2019</c:v>
                  </c:pt>
                  <c:pt idx="12">
                    <c:v>December 2019</c:v>
                  </c:pt>
                  <c:pt idx="13">
                    <c:v>January 2020</c:v>
                  </c:pt>
                  <c:pt idx="14">
                    <c:v>February 2020</c:v>
                  </c:pt>
                  <c:pt idx="15">
                    <c:v>March 2020</c:v>
                  </c:pt>
                  <c:pt idx="16">
                    <c:v>April 2020</c:v>
                  </c:pt>
                  <c:pt idx="17">
                    <c:v>May 2020</c:v>
                  </c:pt>
                  <c:pt idx="18">
                    <c:v>June 2020</c:v>
                  </c:pt>
                  <c:pt idx="19">
                    <c:v>July 2020</c:v>
                  </c:pt>
                  <c:pt idx="20">
                    <c:v>August 2020</c:v>
                  </c:pt>
                  <c:pt idx="21">
                    <c:v>September 2020</c:v>
                  </c:pt>
                  <c:pt idx="22">
                    <c:v>October 2020</c:v>
                  </c:pt>
                  <c:pt idx="23">
                    <c:v>November 2020</c:v>
                  </c:pt>
                  <c:pt idx="24">
                    <c:v>December 2020</c:v>
                  </c:pt>
                  <c:pt idx="25">
                    <c:v>January 2021</c:v>
                  </c:pt>
                  <c:pt idx="26">
                    <c:v>February 2021</c:v>
                  </c:pt>
                  <c:pt idx="27">
                    <c:v>March 2021</c:v>
                  </c:pt>
                  <c:pt idx="28">
                    <c:v>April 2021</c:v>
                  </c:pt>
                  <c:pt idx="29">
                    <c:v>May 2021</c:v>
                  </c:pt>
                  <c:pt idx="30">
                    <c:v>June 2021</c:v>
                  </c:pt>
                  <c:pt idx="31">
                    <c:v>July 2021</c:v>
                  </c:pt>
                  <c:pt idx="32">
                    <c:v>August 2021</c:v>
                  </c:pt>
                  <c:pt idx="33">
                    <c:v>September 2021</c:v>
                  </c:pt>
                  <c:pt idx="34">
                    <c:v>October 2021</c:v>
                  </c:pt>
                  <c:pt idx="35">
                    <c:v>November 2021</c:v>
                  </c:pt>
                  <c:pt idx="36">
                    <c:v>December 2021</c:v>
                  </c:pt>
                  <c:pt idx="37">
                    <c:v>January 2022</c:v>
                  </c:pt>
                  <c:pt idx="38">
                    <c:v>February 2022</c:v>
                  </c:pt>
                  <c:pt idx="39">
                    <c:v>March 2022</c:v>
                  </c:pt>
                  <c:pt idx="40">
                    <c:v>April 2022</c:v>
                  </c:pt>
                  <c:pt idx="41">
                    <c:v>May 2022</c:v>
                  </c:pt>
                  <c:pt idx="42">
                    <c:v>June 2022</c:v>
                  </c:pt>
                  <c:pt idx="43">
                    <c:v>July 2022</c:v>
                  </c:pt>
                  <c:pt idx="44">
                    <c:v>August 2022</c:v>
                  </c:pt>
                  <c:pt idx="45">
                    <c:v>September 2022</c:v>
                  </c:pt>
                  <c:pt idx="46">
                    <c:v>October 2022</c:v>
                  </c:pt>
                  <c:pt idx="47">
                    <c:v>November 2022</c:v>
                  </c:pt>
                  <c:pt idx="48">
                    <c:v>December 2022</c:v>
                  </c:pt>
                  <c:pt idx="49">
                    <c:v>January 2023</c:v>
                  </c:pt>
                  <c:pt idx="50">
                    <c:v>February 2023</c:v>
                  </c:pt>
                  <c:pt idx="51">
                    <c:v>March 2023</c:v>
                  </c:pt>
                  <c:pt idx="52">
                    <c:v>April 2023</c:v>
                  </c:pt>
                  <c:pt idx="53">
                    <c:v>May 2023</c:v>
                  </c:pt>
                  <c:pt idx="54">
                    <c:v>June 2023</c:v>
                  </c:pt>
                  <c:pt idx="55">
                    <c:v>July 2023</c:v>
                  </c:pt>
                  <c:pt idx="56">
                    <c:v>August 2023</c:v>
                  </c:pt>
                  <c:pt idx="57">
                    <c:v>September 2023</c:v>
                  </c:pt>
                  <c:pt idx="58">
                    <c:v>October 2023</c:v>
                  </c:pt>
                  <c:pt idx="59">
                    <c:v>November 2023</c:v>
                  </c:pt>
                  <c:pt idx="60">
                    <c:v>December 2023</c:v>
                  </c:pt>
                  <c:pt idx="61">
                    <c:v>January 2024</c:v>
                  </c:pt>
                  <c:pt idx="62">
                    <c:v>February 2024</c:v>
                  </c:pt>
                  <c:pt idx="63">
                    <c:v>March 2024</c:v>
                  </c:pt>
                  <c:pt idx="64">
                    <c:v>April 2024</c:v>
                  </c:pt>
                  <c:pt idx="65">
                    <c:v>May 2024</c:v>
                  </c:pt>
                  <c:pt idx="66">
                    <c:v>June 2024</c:v>
                  </c:pt>
                  <c:pt idx="67">
                    <c:v>July 2024</c:v>
                  </c:pt>
                  <c:pt idx="68">
                    <c:v>August 2024</c:v>
                  </c:pt>
                  <c:pt idx="69">
                    <c:v>September 2024</c:v>
                  </c:pt>
                  <c:pt idx="70">
                    <c:v>October 2024</c:v>
                  </c:pt>
                  <c:pt idx="71">
                    <c:v>November 2024</c:v>
                  </c:pt>
                  <c:pt idx="72">
                    <c:v>December 2024</c:v>
                  </c:pt>
                  <c:pt idx="73">
                    <c:v>January 2025</c:v>
                  </c:pt>
                  <c:pt idx="74">
                    <c:v>February 2025</c:v>
                  </c:pt>
                  <c:pt idx="75">
                    <c:v>March 2025</c:v>
                  </c:pt>
                  <c:pt idx="76">
                    <c:v>April 2025</c:v>
                  </c:pt>
                  <c:pt idx="77">
                    <c:v>May 2025</c:v>
                  </c:pt>
                  <c:pt idx="78">
                    <c:v>June 2025</c:v>
                  </c:pt>
                  <c:pt idx="79">
                    <c:v>July 2025</c:v>
                  </c:pt>
                  <c:pt idx="80">
                    <c:v>August 2025</c:v>
                  </c:pt>
                  <c:pt idx="81">
                    <c:v>September 2025</c:v>
                  </c:pt>
                  <c:pt idx="82">
                    <c:v>October 2025</c:v>
                  </c:pt>
                  <c:pt idx="83">
                    <c:v>November 2025</c:v>
                  </c:pt>
                  <c:pt idx="84">
                    <c:v>December 2025</c:v>
                  </c:pt>
                  <c:pt idx="85">
                    <c:v>January 2026</c:v>
                  </c:pt>
                  <c:pt idx="86">
                    <c:v>February 2026</c:v>
                  </c:pt>
                  <c:pt idx="87">
                    <c:v>March 2026</c:v>
                  </c:pt>
                  <c:pt idx="88">
                    <c:v>April 2026</c:v>
                  </c:pt>
                  <c:pt idx="89">
                    <c:v>May 2026</c:v>
                  </c:pt>
                  <c:pt idx="90">
                    <c:v>June 2026</c:v>
                  </c:pt>
                  <c:pt idx="91">
                    <c:v>July 2026</c:v>
                  </c:pt>
                  <c:pt idx="92">
                    <c:v>August 2026</c:v>
                  </c:pt>
                  <c:pt idx="93">
                    <c:v>September 2026</c:v>
                  </c:pt>
                  <c:pt idx="94">
                    <c:v>October 2026</c:v>
                  </c:pt>
                  <c:pt idx="95">
                    <c:v>November 2026</c:v>
                  </c:pt>
                  <c:pt idx="96">
                    <c:v>December 2026</c:v>
                  </c:pt>
                  <c:pt idx="97">
                    <c:v>January 2027</c:v>
                  </c:pt>
                  <c:pt idx="98">
                    <c:v>February 2027</c:v>
                  </c:pt>
                  <c:pt idx="99">
                    <c:v>March 2027</c:v>
                  </c:pt>
                  <c:pt idx="100">
                    <c:v>April 2027</c:v>
                  </c:pt>
                  <c:pt idx="101">
                    <c:v>May 2027</c:v>
                  </c:pt>
                  <c:pt idx="102">
                    <c:v>June 2027</c:v>
                  </c:pt>
                  <c:pt idx="103">
                    <c:v>July 2027</c:v>
                  </c:pt>
                  <c:pt idx="104">
                    <c:v>August 2027</c:v>
                  </c:pt>
                  <c:pt idx="105">
                    <c:v>September 2027</c:v>
                  </c:pt>
                  <c:pt idx="106">
                    <c:v>October 2027</c:v>
                  </c:pt>
                  <c:pt idx="107">
                    <c:v>November 2027</c:v>
                  </c:pt>
                  <c:pt idx="108">
                    <c:v>December 2027</c:v>
                  </c:pt>
                  <c:pt idx="109">
                    <c:v>January 2028</c:v>
                  </c:pt>
                  <c:pt idx="110">
                    <c:v>February 2028</c:v>
                  </c:pt>
                  <c:pt idx="111">
                    <c:v>March 2028</c:v>
                  </c:pt>
                  <c:pt idx="112">
                    <c:v>April 2028</c:v>
                  </c:pt>
                  <c:pt idx="113">
                    <c:v>May 2028</c:v>
                  </c:pt>
                  <c:pt idx="114">
                    <c:v>June 2028</c:v>
                  </c:pt>
                  <c:pt idx="115">
                    <c:v>July 2028</c:v>
                  </c:pt>
                  <c:pt idx="116">
                    <c:v>August 2028</c:v>
                  </c:pt>
                  <c:pt idx="117">
                    <c:v>September 2028</c:v>
                  </c:pt>
                  <c:pt idx="118">
                    <c:v>October 2028</c:v>
                  </c:pt>
                  <c:pt idx="119">
                    <c:v>November 2028</c:v>
                  </c:pt>
                  <c:pt idx="120">
                    <c:v>December 2028</c:v>
                  </c:pt>
                  <c:pt idx="121">
                    <c:v>January 2029</c:v>
                  </c:pt>
                  <c:pt idx="122">
                    <c:v>February 2029</c:v>
                  </c:pt>
                  <c:pt idx="123">
                    <c:v>March 2029</c:v>
                  </c:pt>
                  <c:pt idx="124">
                    <c:v>April 2029</c:v>
                  </c:pt>
                  <c:pt idx="125">
                    <c:v>May 2029</c:v>
                  </c:pt>
                  <c:pt idx="126">
                    <c:v>June 2029</c:v>
                  </c:pt>
                  <c:pt idx="127">
                    <c:v>July 2029</c:v>
                  </c:pt>
                  <c:pt idx="128">
                    <c:v>August 2029</c:v>
                  </c:pt>
                  <c:pt idx="129">
                    <c:v>September 2029</c:v>
                  </c:pt>
                  <c:pt idx="130">
                    <c:v>October 2029</c:v>
                  </c:pt>
                  <c:pt idx="131">
                    <c:v>November 2029</c:v>
                  </c:pt>
                  <c:pt idx="132">
                    <c:v>December 2029</c:v>
                  </c:pt>
                  <c:pt idx="133">
                    <c:v>January 2030</c:v>
                  </c:pt>
                  <c:pt idx="134">
                    <c:v>February 2030</c:v>
                  </c:pt>
                  <c:pt idx="135">
                    <c:v>March 2030</c:v>
                  </c:pt>
                  <c:pt idx="136">
                    <c:v>April 2030</c:v>
                  </c:pt>
                  <c:pt idx="137">
                    <c:v>May 2030</c:v>
                  </c:pt>
                  <c:pt idx="138">
                    <c:v>June 2030</c:v>
                  </c:pt>
                  <c:pt idx="139">
                    <c:v>July 2030</c:v>
                  </c:pt>
                  <c:pt idx="140">
                    <c:v>August 2030</c:v>
                  </c:pt>
                  <c:pt idx="141">
                    <c:v>September 2030</c:v>
                  </c:pt>
                  <c:pt idx="142">
                    <c:v>October 2030</c:v>
                  </c:pt>
                  <c:pt idx="143">
                    <c:v>November 2030</c:v>
                  </c:pt>
                  <c:pt idx="144">
                    <c:v>December 2030</c:v>
                  </c:pt>
                </c:lvl>
                <c:lvl>
                  <c:pt idx="1">
                    <c:v>2019-01-01</c:v>
                  </c:pt>
                  <c:pt idx="2">
                    <c:v>2019-02-01</c:v>
                  </c:pt>
                  <c:pt idx="3">
                    <c:v>2019-03-01</c:v>
                  </c:pt>
                  <c:pt idx="4">
                    <c:v>2019-04-01</c:v>
                  </c:pt>
                  <c:pt idx="5">
                    <c:v>2019-05-01</c:v>
                  </c:pt>
                  <c:pt idx="6">
                    <c:v>2019-06-01</c:v>
                  </c:pt>
                  <c:pt idx="7">
                    <c:v>2019-07-01</c:v>
                  </c:pt>
                  <c:pt idx="8">
                    <c:v>2019-08-01</c:v>
                  </c:pt>
                  <c:pt idx="9">
                    <c:v>2019-09-01</c:v>
                  </c:pt>
                  <c:pt idx="10">
                    <c:v>2019-10-01</c:v>
                  </c:pt>
                  <c:pt idx="11">
                    <c:v>2019-11-01</c:v>
                  </c:pt>
                  <c:pt idx="12">
                    <c:v>2019-12-01</c:v>
                  </c:pt>
                  <c:pt idx="13">
                    <c:v>2020-01-01</c:v>
                  </c:pt>
                  <c:pt idx="14">
                    <c:v>2020-02-01</c:v>
                  </c:pt>
                  <c:pt idx="15">
                    <c:v>2020-03-01</c:v>
                  </c:pt>
                  <c:pt idx="16">
                    <c:v>2020-04-01</c:v>
                  </c:pt>
                  <c:pt idx="17">
                    <c:v>2020-05-01</c:v>
                  </c:pt>
                  <c:pt idx="18">
                    <c:v>2020-06-01</c:v>
                  </c:pt>
                  <c:pt idx="19">
                    <c:v>2020-07-01</c:v>
                  </c:pt>
                  <c:pt idx="20">
                    <c:v>2020-08-01</c:v>
                  </c:pt>
                  <c:pt idx="21">
                    <c:v>2020-09-01</c:v>
                  </c:pt>
                  <c:pt idx="22">
                    <c:v>2020-10-01</c:v>
                  </c:pt>
                  <c:pt idx="23">
                    <c:v>2020-11-01</c:v>
                  </c:pt>
                  <c:pt idx="24">
                    <c:v>2020-12-01</c:v>
                  </c:pt>
                  <c:pt idx="25">
                    <c:v>2021-01-01</c:v>
                  </c:pt>
                  <c:pt idx="26">
                    <c:v>2021-02-01</c:v>
                  </c:pt>
                  <c:pt idx="27">
                    <c:v>2021-03-01</c:v>
                  </c:pt>
                  <c:pt idx="28">
                    <c:v>2021-04-01</c:v>
                  </c:pt>
                  <c:pt idx="29">
                    <c:v>2021-05-01</c:v>
                  </c:pt>
                  <c:pt idx="30">
                    <c:v>2021-06-01</c:v>
                  </c:pt>
                  <c:pt idx="31">
                    <c:v>2021-07-01</c:v>
                  </c:pt>
                  <c:pt idx="32">
                    <c:v>2021-08-01</c:v>
                  </c:pt>
                  <c:pt idx="33">
                    <c:v>2021-09-01</c:v>
                  </c:pt>
                  <c:pt idx="34">
                    <c:v>2021-10-01</c:v>
                  </c:pt>
                  <c:pt idx="35">
                    <c:v>2021-11-01</c:v>
                  </c:pt>
                  <c:pt idx="36">
                    <c:v>2021-12-01</c:v>
                  </c:pt>
                  <c:pt idx="37">
                    <c:v>2022-01-01</c:v>
                  </c:pt>
                  <c:pt idx="38">
                    <c:v>2022-02-01</c:v>
                  </c:pt>
                  <c:pt idx="39">
                    <c:v>2022-03-01</c:v>
                  </c:pt>
                  <c:pt idx="40">
                    <c:v>2022-04-01</c:v>
                  </c:pt>
                  <c:pt idx="41">
                    <c:v>2022-05-01</c:v>
                  </c:pt>
                  <c:pt idx="42">
                    <c:v>2022-06-01</c:v>
                  </c:pt>
                  <c:pt idx="43">
                    <c:v>2022-07-01</c:v>
                  </c:pt>
                  <c:pt idx="44">
                    <c:v>2022-08-01</c:v>
                  </c:pt>
                  <c:pt idx="45">
                    <c:v>2022-09-01</c:v>
                  </c:pt>
                  <c:pt idx="46">
                    <c:v>2022-10-01</c:v>
                  </c:pt>
                  <c:pt idx="47">
                    <c:v>2022-11-01</c:v>
                  </c:pt>
                  <c:pt idx="48">
                    <c:v>2022-12-01</c:v>
                  </c:pt>
                  <c:pt idx="49">
                    <c:v>2023-01-01</c:v>
                  </c:pt>
                  <c:pt idx="50">
                    <c:v>2023-02-01</c:v>
                  </c:pt>
                  <c:pt idx="51">
                    <c:v>2023-03-01</c:v>
                  </c:pt>
                  <c:pt idx="52">
                    <c:v>2023-04-01</c:v>
                  </c:pt>
                  <c:pt idx="53">
                    <c:v>2023-05-01</c:v>
                  </c:pt>
                  <c:pt idx="54">
                    <c:v>2023-06-01</c:v>
                  </c:pt>
                  <c:pt idx="55">
                    <c:v>2023-07-01</c:v>
                  </c:pt>
                  <c:pt idx="56">
                    <c:v>2023-08-01</c:v>
                  </c:pt>
                  <c:pt idx="57">
                    <c:v>2023-09-01</c:v>
                  </c:pt>
                  <c:pt idx="58">
                    <c:v>2023-10-01</c:v>
                  </c:pt>
                  <c:pt idx="59">
                    <c:v>2023-11-01</c:v>
                  </c:pt>
                  <c:pt idx="60">
                    <c:v>2023-12-01</c:v>
                  </c:pt>
                  <c:pt idx="61">
                    <c:v>2024-01-01</c:v>
                  </c:pt>
                  <c:pt idx="62">
                    <c:v>2024-02-01</c:v>
                  </c:pt>
                  <c:pt idx="63">
                    <c:v>2024-03-01</c:v>
                  </c:pt>
                  <c:pt idx="64">
                    <c:v>2024-04-01</c:v>
                  </c:pt>
                  <c:pt idx="65">
                    <c:v>2024-05-01</c:v>
                  </c:pt>
                  <c:pt idx="66">
                    <c:v>2024-06-01</c:v>
                  </c:pt>
                  <c:pt idx="67">
                    <c:v>2024-07-01</c:v>
                  </c:pt>
                  <c:pt idx="68">
                    <c:v>2024-08-01</c:v>
                  </c:pt>
                  <c:pt idx="69">
                    <c:v>2024-09-01</c:v>
                  </c:pt>
                  <c:pt idx="70">
                    <c:v>2024-10-01</c:v>
                  </c:pt>
                  <c:pt idx="71">
                    <c:v>2024-11-01</c:v>
                  </c:pt>
                  <c:pt idx="72">
                    <c:v>2024-12-01</c:v>
                  </c:pt>
                  <c:pt idx="73">
                    <c:v>2025-01-01</c:v>
                  </c:pt>
                  <c:pt idx="74">
                    <c:v>2025-02-01</c:v>
                  </c:pt>
                  <c:pt idx="75">
                    <c:v>2025-03-01</c:v>
                  </c:pt>
                  <c:pt idx="76">
                    <c:v>2025-04-01</c:v>
                  </c:pt>
                  <c:pt idx="77">
                    <c:v>2025-05-01</c:v>
                  </c:pt>
                  <c:pt idx="78">
                    <c:v>2025-06-01</c:v>
                  </c:pt>
                  <c:pt idx="79">
                    <c:v>2025-07-01</c:v>
                  </c:pt>
                  <c:pt idx="80">
                    <c:v>2025-08-01</c:v>
                  </c:pt>
                  <c:pt idx="81">
                    <c:v>2025-09-01</c:v>
                  </c:pt>
                  <c:pt idx="82">
                    <c:v>2025-10-01</c:v>
                  </c:pt>
                  <c:pt idx="83">
                    <c:v>2025-11-01</c:v>
                  </c:pt>
                  <c:pt idx="84">
                    <c:v>2025-12-01</c:v>
                  </c:pt>
                  <c:pt idx="85">
                    <c:v>2026-01-01</c:v>
                  </c:pt>
                  <c:pt idx="86">
                    <c:v>2026-02-01</c:v>
                  </c:pt>
                  <c:pt idx="87">
                    <c:v>2026-03-01</c:v>
                  </c:pt>
                  <c:pt idx="88">
                    <c:v>2026-04-01</c:v>
                  </c:pt>
                  <c:pt idx="89">
                    <c:v>2026-05-01</c:v>
                  </c:pt>
                  <c:pt idx="90">
                    <c:v>2026-06-01</c:v>
                  </c:pt>
                  <c:pt idx="91">
                    <c:v>2026-07-01</c:v>
                  </c:pt>
                  <c:pt idx="92">
                    <c:v>2026-08-01</c:v>
                  </c:pt>
                  <c:pt idx="93">
                    <c:v>2026-09-01</c:v>
                  </c:pt>
                  <c:pt idx="94">
                    <c:v>2026-10-01</c:v>
                  </c:pt>
                  <c:pt idx="95">
                    <c:v>2026-11-01</c:v>
                  </c:pt>
                  <c:pt idx="96">
                    <c:v>2026-12-01</c:v>
                  </c:pt>
                  <c:pt idx="97">
                    <c:v>2027-01-01</c:v>
                  </c:pt>
                  <c:pt idx="98">
                    <c:v>2027-02-01</c:v>
                  </c:pt>
                  <c:pt idx="99">
                    <c:v>2027-03-01</c:v>
                  </c:pt>
                  <c:pt idx="100">
                    <c:v>2027-04-01</c:v>
                  </c:pt>
                  <c:pt idx="101">
                    <c:v>2027-05-01</c:v>
                  </c:pt>
                  <c:pt idx="102">
                    <c:v>2027-06-01</c:v>
                  </c:pt>
                  <c:pt idx="103">
                    <c:v>2027-07-01</c:v>
                  </c:pt>
                  <c:pt idx="104">
                    <c:v>2027-08-01</c:v>
                  </c:pt>
                  <c:pt idx="105">
                    <c:v>2027-09-01</c:v>
                  </c:pt>
                  <c:pt idx="106">
                    <c:v>2027-10-01</c:v>
                  </c:pt>
                  <c:pt idx="107">
                    <c:v>2027-11-01</c:v>
                  </c:pt>
                  <c:pt idx="108">
                    <c:v>2027-12-01</c:v>
                  </c:pt>
                  <c:pt idx="109">
                    <c:v>2028-01-01</c:v>
                  </c:pt>
                  <c:pt idx="110">
                    <c:v>2028-02-01</c:v>
                  </c:pt>
                  <c:pt idx="111">
                    <c:v>2028-03-01</c:v>
                  </c:pt>
                  <c:pt idx="112">
                    <c:v>2028-04-01</c:v>
                  </c:pt>
                  <c:pt idx="113">
                    <c:v>2028-05-01</c:v>
                  </c:pt>
                  <c:pt idx="114">
                    <c:v>2028-06-01</c:v>
                  </c:pt>
                  <c:pt idx="115">
                    <c:v>2028-07-01</c:v>
                  </c:pt>
                  <c:pt idx="116">
                    <c:v>2028-08-01</c:v>
                  </c:pt>
                  <c:pt idx="117">
                    <c:v>2028-09-01</c:v>
                  </c:pt>
                  <c:pt idx="118">
                    <c:v>2028-10-01</c:v>
                  </c:pt>
                  <c:pt idx="119">
                    <c:v>2028-11-01</c:v>
                  </c:pt>
                  <c:pt idx="120">
                    <c:v>2028-12-01</c:v>
                  </c:pt>
                  <c:pt idx="121">
                    <c:v>2029-01-01</c:v>
                  </c:pt>
                  <c:pt idx="122">
                    <c:v>2029-02-01</c:v>
                  </c:pt>
                  <c:pt idx="123">
                    <c:v>2029-03-01</c:v>
                  </c:pt>
                  <c:pt idx="124">
                    <c:v>2029-04-01</c:v>
                  </c:pt>
                  <c:pt idx="125">
                    <c:v>2029-05-01</c:v>
                  </c:pt>
                  <c:pt idx="126">
                    <c:v>2029-06-01</c:v>
                  </c:pt>
                  <c:pt idx="127">
                    <c:v>2029-07-01</c:v>
                  </c:pt>
                  <c:pt idx="128">
                    <c:v>2029-08-01</c:v>
                  </c:pt>
                  <c:pt idx="129">
                    <c:v>2029-09-01</c:v>
                  </c:pt>
                  <c:pt idx="130">
                    <c:v>2029-10-01</c:v>
                  </c:pt>
                  <c:pt idx="131">
                    <c:v>2029-11-01</c:v>
                  </c:pt>
                  <c:pt idx="132">
                    <c:v>2029-12-01</c:v>
                  </c:pt>
                  <c:pt idx="133">
                    <c:v>2030-01-01</c:v>
                  </c:pt>
                  <c:pt idx="134">
                    <c:v>2030-02-01</c:v>
                  </c:pt>
                  <c:pt idx="135">
                    <c:v>2030-03-01</c:v>
                  </c:pt>
                  <c:pt idx="136">
                    <c:v>2030-04-01</c:v>
                  </c:pt>
                  <c:pt idx="137">
                    <c:v>2030-05-01</c:v>
                  </c:pt>
                  <c:pt idx="138">
                    <c:v>2030-06-01</c:v>
                  </c:pt>
                  <c:pt idx="139">
                    <c:v>2030-07-01</c:v>
                  </c:pt>
                  <c:pt idx="140">
                    <c:v>2030-08-01</c:v>
                  </c:pt>
                  <c:pt idx="141">
                    <c:v>2030-09-01</c:v>
                  </c:pt>
                  <c:pt idx="142">
                    <c:v>2030-10-01</c:v>
                  </c:pt>
                  <c:pt idx="143">
                    <c:v>2030-11-01</c:v>
                  </c:pt>
                  <c:pt idx="144">
                    <c:v>2030-12-01</c:v>
                  </c:pt>
                </c:lvl>
              </c:multiLvlStrCache>
            </c:multiLvlStrRef>
          </c:cat>
          <c:val>
            <c:numRef>
              <c:f>Overview!$R$3:$R$147</c:f>
              <c:numCache>
                <c:formatCode>_("$"* #,##0.00_);_("$"* \(#,##0.00\);_("$"* "-"??_);_(@_)</c:formatCode>
                <c:ptCount val="14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-1200</c:v>
                </c:pt>
                <c:pt idx="22">
                  <c:v>-1200</c:v>
                </c:pt>
                <c:pt idx="23">
                  <c:v>-1200</c:v>
                </c:pt>
                <c:pt idx="24">
                  <c:v>-1200</c:v>
                </c:pt>
                <c:pt idx="25">
                  <c:v>-1255</c:v>
                </c:pt>
                <c:pt idx="26">
                  <c:v>-1200</c:v>
                </c:pt>
                <c:pt idx="27">
                  <c:v>-1200</c:v>
                </c:pt>
                <c:pt idx="28">
                  <c:v>-1200</c:v>
                </c:pt>
                <c:pt idx="29">
                  <c:v>-1200</c:v>
                </c:pt>
                <c:pt idx="30">
                  <c:v>-1200</c:v>
                </c:pt>
                <c:pt idx="31">
                  <c:v>-1200</c:v>
                </c:pt>
                <c:pt idx="32">
                  <c:v>-1200</c:v>
                </c:pt>
                <c:pt idx="33">
                  <c:v>-1235</c:v>
                </c:pt>
                <c:pt idx="34">
                  <c:v>-1235</c:v>
                </c:pt>
                <c:pt idx="35">
                  <c:v>-1235</c:v>
                </c:pt>
                <c:pt idx="36">
                  <c:v>-1235</c:v>
                </c:pt>
                <c:pt idx="37">
                  <c:v>-1235</c:v>
                </c:pt>
                <c:pt idx="38">
                  <c:v>-1235</c:v>
                </c:pt>
                <c:pt idx="39">
                  <c:v>-1235</c:v>
                </c:pt>
                <c:pt idx="40">
                  <c:v>-1235</c:v>
                </c:pt>
                <c:pt idx="41">
                  <c:v>-1235</c:v>
                </c:pt>
                <c:pt idx="42">
                  <c:v>-1235</c:v>
                </c:pt>
                <c:pt idx="43">
                  <c:v>-1235</c:v>
                </c:pt>
                <c:pt idx="44">
                  <c:v>-1235</c:v>
                </c:pt>
                <c:pt idx="45">
                  <c:v>-1325</c:v>
                </c:pt>
                <c:pt idx="46">
                  <c:v>-1325</c:v>
                </c:pt>
                <c:pt idx="47">
                  <c:v>-1325</c:v>
                </c:pt>
                <c:pt idx="48">
                  <c:v>-1325</c:v>
                </c:pt>
                <c:pt idx="49">
                  <c:v>-1325</c:v>
                </c:pt>
                <c:pt idx="50">
                  <c:v>-1325</c:v>
                </c:pt>
                <c:pt idx="51">
                  <c:v>-1325</c:v>
                </c:pt>
                <c:pt idx="52">
                  <c:v>-1325</c:v>
                </c:pt>
                <c:pt idx="53">
                  <c:v>-1325</c:v>
                </c:pt>
                <c:pt idx="54">
                  <c:v>-1325</c:v>
                </c:pt>
                <c:pt idx="55">
                  <c:v>-1325</c:v>
                </c:pt>
                <c:pt idx="56">
                  <c:v>-1325</c:v>
                </c:pt>
                <c:pt idx="57">
                  <c:v>-1425</c:v>
                </c:pt>
                <c:pt idx="58">
                  <c:v>-1425</c:v>
                </c:pt>
                <c:pt idx="59">
                  <c:v>-1425</c:v>
                </c:pt>
                <c:pt idx="60">
                  <c:v>-1425</c:v>
                </c:pt>
                <c:pt idx="61">
                  <c:v>-1425</c:v>
                </c:pt>
                <c:pt idx="62">
                  <c:v>-1425</c:v>
                </c:pt>
                <c:pt idx="63">
                  <c:v>-1425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</c:ser>
        <c:ser>
          <c:idx val="16"/>
          <c:order val="16"/>
          <c:tx>
            <c:strRef>
              <c:f>Overview!$S$2</c:f>
              <c:strCache>
                <c:ptCount val="1"/>
                <c:pt idx="0">
                  <c:v>Sasktel</c:v>
                </c:pt>
              </c:strCache>
            </c:strRef>
          </c:tx>
          <c:invertIfNegative val="0"/>
          <c:cat>
            <c:multiLvlStrRef>
              <c:f>Overview!$A$3:$B$147</c:f>
              <c:multiLvlStrCache>
                <c:ptCount val="145"/>
                <c:lvl>
                  <c:pt idx="1">
                    <c:v>January 2019</c:v>
                  </c:pt>
                  <c:pt idx="2">
                    <c:v>February 2019</c:v>
                  </c:pt>
                  <c:pt idx="3">
                    <c:v>March 2019</c:v>
                  </c:pt>
                  <c:pt idx="4">
                    <c:v>April 2019</c:v>
                  </c:pt>
                  <c:pt idx="5">
                    <c:v>May 2019</c:v>
                  </c:pt>
                  <c:pt idx="6">
                    <c:v>June 2019</c:v>
                  </c:pt>
                  <c:pt idx="7">
                    <c:v>July 2019</c:v>
                  </c:pt>
                  <c:pt idx="8">
                    <c:v>August 2019</c:v>
                  </c:pt>
                  <c:pt idx="9">
                    <c:v>September 2019</c:v>
                  </c:pt>
                  <c:pt idx="10">
                    <c:v>October 2019</c:v>
                  </c:pt>
                  <c:pt idx="11">
                    <c:v>November 2019</c:v>
                  </c:pt>
                  <c:pt idx="12">
                    <c:v>December 2019</c:v>
                  </c:pt>
                  <c:pt idx="13">
                    <c:v>January 2020</c:v>
                  </c:pt>
                  <c:pt idx="14">
                    <c:v>February 2020</c:v>
                  </c:pt>
                  <c:pt idx="15">
                    <c:v>March 2020</c:v>
                  </c:pt>
                  <c:pt idx="16">
                    <c:v>April 2020</c:v>
                  </c:pt>
                  <c:pt idx="17">
                    <c:v>May 2020</c:v>
                  </c:pt>
                  <c:pt idx="18">
                    <c:v>June 2020</c:v>
                  </c:pt>
                  <c:pt idx="19">
                    <c:v>July 2020</c:v>
                  </c:pt>
                  <c:pt idx="20">
                    <c:v>August 2020</c:v>
                  </c:pt>
                  <c:pt idx="21">
                    <c:v>September 2020</c:v>
                  </c:pt>
                  <c:pt idx="22">
                    <c:v>October 2020</c:v>
                  </c:pt>
                  <c:pt idx="23">
                    <c:v>November 2020</c:v>
                  </c:pt>
                  <c:pt idx="24">
                    <c:v>December 2020</c:v>
                  </c:pt>
                  <c:pt idx="25">
                    <c:v>January 2021</c:v>
                  </c:pt>
                  <c:pt idx="26">
                    <c:v>February 2021</c:v>
                  </c:pt>
                  <c:pt idx="27">
                    <c:v>March 2021</c:v>
                  </c:pt>
                  <c:pt idx="28">
                    <c:v>April 2021</c:v>
                  </c:pt>
                  <c:pt idx="29">
                    <c:v>May 2021</c:v>
                  </c:pt>
                  <c:pt idx="30">
                    <c:v>June 2021</c:v>
                  </c:pt>
                  <c:pt idx="31">
                    <c:v>July 2021</c:v>
                  </c:pt>
                  <c:pt idx="32">
                    <c:v>August 2021</c:v>
                  </c:pt>
                  <c:pt idx="33">
                    <c:v>September 2021</c:v>
                  </c:pt>
                  <c:pt idx="34">
                    <c:v>October 2021</c:v>
                  </c:pt>
                  <c:pt idx="35">
                    <c:v>November 2021</c:v>
                  </c:pt>
                  <c:pt idx="36">
                    <c:v>December 2021</c:v>
                  </c:pt>
                  <c:pt idx="37">
                    <c:v>January 2022</c:v>
                  </c:pt>
                  <c:pt idx="38">
                    <c:v>February 2022</c:v>
                  </c:pt>
                  <c:pt idx="39">
                    <c:v>March 2022</c:v>
                  </c:pt>
                  <c:pt idx="40">
                    <c:v>April 2022</c:v>
                  </c:pt>
                  <c:pt idx="41">
                    <c:v>May 2022</c:v>
                  </c:pt>
                  <c:pt idx="42">
                    <c:v>June 2022</c:v>
                  </c:pt>
                  <c:pt idx="43">
                    <c:v>July 2022</c:v>
                  </c:pt>
                  <c:pt idx="44">
                    <c:v>August 2022</c:v>
                  </c:pt>
                  <c:pt idx="45">
                    <c:v>September 2022</c:v>
                  </c:pt>
                  <c:pt idx="46">
                    <c:v>October 2022</c:v>
                  </c:pt>
                  <c:pt idx="47">
                    <c:v>November 2022</c:v>
                  </c:pt>
                  <c:pt idx="48">
                    <c:v>December 2022</c:v>
                  </c:pt>
                  <c:pt idx="49">
                    <c:v>January 2023</c:v>
                  </c:pt>
                  <c:pt idx="50">
                    <c:v>February 2023</c:v>
                  </c:pt>
                  <c:pt idx="51">
                    <c:v>March 2023</c:v>
                  </c:pt>
                  <c:pt idx="52">
                    <c:v>April 2023</c:v>
                  </c:pt>
                  <c:pt idx="53">
                    <c:v>May 2023</c:v>
                  </c:pt>
                  <c:pt idx="54">
                    <c:v>June 2023</c:v>
                  </c:pt>
                  <c:pt idx="55">
                    <c:v>July 2023</c:v>
                  </c:pt>
                  <c:pt idx="56">
                    <c:v>August 2023</c:v>
                  </c:pt>
                  <c:pt idx="57">
                    <c:v>September 2023</c:v>
                  </c:pt>
                  <c:pt idx="58">
                    <c:v>October 2023</c:v>
                  </c:pt>
                  <c:pt idx="59">
                    <c:v>November 2023</c:v>
                  </c:pt>
                  <c:pt idx="60">
                    <c:v>December 2023</c:v>
                  </c:pt>
                  <c:pt idx="61">
                    <c:v>January 2024</c:v>
                  </c:pt>
                  <c:pt idx="62">
                    <c:v>February 2024</c:v>
                  </c:pt>
                  <c:pt idx="63">
                    <c:v>March 2024</c:v>
                  </c:pt>
                  <c:pt idx="64">
                    <c:v>April 2024</c:v>
                  </c:pt>
                  <c:pt idx="65">
                    <c:v>May 2024</c:v>
                  </c:pt>
                  <c:pt idx="66">
                    <c:v>June 2024</c:v>
                  </c:pt>
                  <c:pt idx="67">
                    <c:v>July 2024</c:v>
                  </c:pt>
                  <c:pt idx="68">
                    <c:v>August 2024</c:v>
                  </c:pt>
                  <c:pt idx="69">
                    <c:v>September 2024</c:v>
                  </c:pt>
                  <c:pt idx="70">
                    <c:v>October 2024</c:v>
                  </c:pt>
                  <c:pt idx="71">
                    <c:v>November 2024</c:v>
                  </c:pt>
                  <c:pt idx="72">
                    <c:v>December 2024</c:v>
                  </c:pt>
                  <c:pt idx="73">
                    <c:v>January 2025</c:v>
                  </c:pt>
                  <c:pt idx="74">
                    <c:v>February 2025</c:v>
                  </c:pt>
                  <c:pt idx="75">
                    <c:v>March 2025</c:v>
                  </c:pt>
                  <c:pt idx="76">
                    <c:v>April 2025</c:v>
                  </c:pt>
                  <c:pt idx="77">
                    <c:v>May 2025</c:v>
                  </c:pt>
                  <c:pt idx="78">
                    <c:v>June 2025</c:v>
                  </c:pt>
                  <c:pt idx="79">
                    <c:v>July 2025</c:v>
                  </c:pt>
                  <c:pt idx="80">
                    <c:v>August 2025</c:v>
                  </c:pt>
                  <c:pt idx="81">
                    <c:v>September 2025</c:v>
                  </c:pt>
                  <c:pt idx="82">
                    <c:v>October 2025</c:v>
                  </c:pt>
                  <c:pt idx="83">
                    <c:v>November 2025</c:v>
                  </c:pt>
                  <c:pt idx="84">
                    <c:v>December 2025</c:v>
                  </c:pt>
                  <c:pt idx="85">
                    <c:v>January 2026</c:v>
                  </c:pt>
                  <c:pt idx="86">
                    <c:v>February 2026</c:v>
                  </c:pt>
                  <c:pt idx="87">
                    <c:v>March 2026</c:v>
                  </c:pt>
                  <c:pt idx="88">
                    <c:v>April 2026</c:v>
                  </c:pt>
                  <c:pt idx="89">
                    <c:v>May 2026</c:v>
                  </c:pt>
                  <c:pt idx="90">
                    <c:v>June 2026</c:v>
                  </c:pt>
                  <c:pt idx="91">
                    <c:v>July 2026</c:v>
                  </c:pt>
                  <c:pt idx="92">
                    <c:v>August 2026</c:v>
                  </c:pt>
                  <c:pt idx="93">
                    <c:v>September 2026</c:v>
                  </c:pt>
                  <c:pt idx="94">
                    <c:v>October 2026</c:v>
                  </c:pt>
                  <c:pt idx="95">
                    <c:v>November 2026</c:v>
                  </c:pt>
                  <c:pt idx="96">
                    <c:v>December 2026</c:v>
                  </c:pt>
                  <c:pt idx="97">
                    <c:v>January 2027</c:v>
                  </c:pt>
                  <c:pt idx="98">
                    <c:v>February 2027</c:v>
                  </c:pt>
                  <c:pt idx="99">
                    <c:v>March 2027</c:v>
                  </c:pt>
                  <c:pt idx="100">
                    <c:v>April 2027</c:v>
                  </c:pt>
                  <c:pt idx="101">
                    <c:v>May 2027</c:v>
                  </c:pt>
                  <c:pt idx="102">
                    <c:v>June 2027</c:v>
                  </c:pt>
                  <c:pt idx="103">
                    <c:v>July 2027</c:v>
                  </c:pt>
                  <c:pt idx="104">
                    <c:v>August 2027</c:v>
                  </c:pt>
                  <c:pt idx="105">
                    <c:v>September 2027</c:v>
                  </c:pt>
                  <c:pt idx="106">
                    <c:v>October 2027</c:v>
                  </c:pt>
                  <c:pt idx="107">
                    <c:v>November 2027</c:v>
                  </c:pt>
                  <c:pt idx="108">
                    <c:v>December 2027</c:v>
                  </c:pt>
                  <c:pt idx="109">
                    <c:v>January 2028</c:v>
                  </c:pt>
                  <c:pt idx="110">
                    <c:v>February 2028</c:v>
                  </c:pt>
                  <c:pt idx="111">
                    <c:v>March 2028</c:v>
                  </c:pt>
                  <c:pt idx="112">
                    <c:v>April 2028</c:v>
                  </c:pt>
                  <c:pt idx="113">
                    <c:v>May 2028</c:v>
                  </c:pt>
                  <c:pt idx="114">
                    <c:v>June 2028</c:v>
                  </c:pt>
                  <c:pt idx="115">
                    <c:v>July 2028</c:v>
                  </c:pt>
                  <c:pt idx="116">
                    <c:v>August 2028</c:v>
                  </c:pt>
                  <c:pt idx="117">
                    <c:v>September 2028</c:v>
                  </c:pt>
                  <c:pt idx="118">
                    <c:v>October 2028</c:v>
                  </c:pt>
                  <c:pt idx="119">
                    <c:v>November 2028</c:v>
                  </c:pt>
                  <c:pt idx="120">
                    <c:v>December 2028</c:v>
                  </c:pt>
                  <c:pt idx="121">
                    <c:v>January 2029</c:v>
                  </c:pt>
                  <c:pt idx="122">
                    <c:v>February 2029</c:v>
                  </c:pt>
                  <c:pt idx="123">
                    <c:v>March 2029</c:v>
                  </c:pt>
                  <c:pt idx="124">
                    <c:v>April 2029</c:v>
                  </c:pt>
                  <c:pt idx="125">
                    <c:v>May 2029</c:v>
                  </c:pt>
                  <c:pt idx="126">
                    <c:v>June 2029</c:v>
                  </c:pt>
                  <c:pt idx="127">
                    <c:v>July 2029</c:v>
                  </c:pt>
                  <c:pt idx="128">
                    <c:v>August 2029</c:v>
                  </c:pt>
                  <c:pt idx="129">
                    <c:v>September 2029</c:v>
                  </c:pt>
                  <c:pt idx="130">
                    <c:v>October 2029</c:v>
                  </c:pt>
                  <c:pt idx="131">
                    <c:v>November 2029</c:v>
                  </c:pt>
                  <c:pt idx="132">
                    <c:v>December 2029</c:v>
                  </c:pt>
                  <c:pt idx="133">
                    <c:v>January 2030</c:v>
                  </c:pt>
                  <c:pt idx="134">
                    <c:v>February 2030</c:v>
                  </c:pt>
                  <c:pt idx="135">
                    <c:v>March 2030</c:v>
                  </c:pt>
                  <c:pt idx="136">
                    <c:v>April 2030</c:v>
                  </c:pt>
                  <c:pt idx="137">
                    <c:v>May 2030</c:v>
                  </c:pt>
                  <c:pt idx="138">
                    <c:v>June 2030</c:v>
                  </c:pt>
                  <c:pt idx="139">
                    <c:v>July 2030</c:v>
                  </c:pt>
                  <c:pt idx="140">
                    <c:v>August 2030</c:v>
                  </c:pt>
                  <c:pt idx="141">
                    <c:v>September 2030</c:v>
                  </c:pt>
                  <c:pt idx="142">
                    <c:v>October 2030</c:v>
                  </c:pt>
                  <c:pt idx="143">
                    <c:v>November 2030</c:v>
                  </c:pt>
                  <c:pt idx="144">
                    <c:v>December 2030</c:v>
                  </c:pt>
                </c:lvl>
                <c:lvl>
                  <c:pt idx="1">
                    <c:v>2019-01-01</c:v>
                  </c:pt>
                  <c:pt idx="2">
                    <c:v>2019-02-01</c:v>
                  </c:pt>
                  <c:pt idx="3">
                    <c:v>2019-03-01</c:v>
                  </c:pt>
                  <c:pt idx="4">
                    <c:v>2019-04-01</c:v>
                  </c:pt>
                  <c:pt idx="5">
                    <c:v>2019-05-01</c:v>
                  </c:pt>
                  <c:pt idx="6">
                    <c:v>2019-06-01</c:v>
                  </c:pt>
                  <c:pt idx="7">
                    <c:v>2019-07-01</c:v>
                  </c:pt>
                  <c:pt idx="8">
                    <c:v>2019-08-01</c:v>
                  </c:pt>
                  <c:pt idx="9">
                    <c:v>2019-09-01</c:v>
                  </c:pt>
                  <c:pt idx="10">
                    <c:v>2019-10-01</c:v>
                  </c:pt>
                  <c:pt idx="11">
                    <c:v>2019-11-01</c:v>
                  </c:pt>
                  <c:pt idx="12">
                    <c:v>2019-12-01</c:v>
                  </c:pt>
                  <c:pt idx="13">
                    <c:v>2020-01-01</c:v>
                  </c:pt>
                  <c:pt idx="14">
                    <c:v>2020-02-01</c:v>
                  </c:pt>
                  <c:pt idx="15">
                    <c:v>2020-03-01</c:v>
                  </c:pt>
                  <c:pt idx="16">
                    <c:v>2020-04-01</c:v>
                  </c:pt>
                  <c:pt idx="17">
                    <c:v>2020-05-01</c:v>
                  </c:pt>
                  <c:pt idx="18">
                    <c:v>2020-06-01</c:v>
                  </c:pt>
                  <c:pt idx="19">
                    <c:v>2020-07-01</c:v>
                  </c:pt>
                  <c:pt idx="20">
                    <c:v>2020-08-01</c:v>
                  </c:pt>
                  <c:pt idx="21">
                    <c:v>2020-09-01</c:v>
                  </c:pt>
                  <c:pt idx="22">
                    <c:v>2020-10-01</c:v>
                  </c:pt>
                  <c:pt idx="23">
                    <c:v>2020-11-01</c:v>
                  </c:pt>
                  <c:pt idx="24">
                    <c:v>2020-12-01</c:v>
                  </c:pt>
                  <c:pt idx="25">
                    <c:v>2021-01-01</c:v>
                  </c:pt>
                  <c:pt idx="26">
                    <c:v>2021-02-01</c:v>
                  </c:pt>
                  <c:pt idx="27">
                    <c:v>2021-03-01</c:v>
                  </c:pt>
                  <c:pt idx="28">
                    <c:v>2021-04-01</c:v>
                  </c:pt>
                  <c:pt idx="29">
                    <c:v>2021-05-01</c:v>
                  </c:pt>
                  <c:pt idx="30">
                    <c:v>2021-06-01</c:v>
                  </c:pt>
                  <c:pt idx="31">
                    <c:v>2021-07-01</c:v>
                  </c:pt>
                  <c:pt idx="32">
                    <c:v>2021-08-01</c:v>
                  </c:pt>
                  <c:pt idx="33">
                    <c:v>2021-09-01</c:v>
                  </c:pt>
                  <c:pt idx="34">
                    <c:v>2021-10-01</c:v>
                  </c:pt>
                  <c:pt idx="35">
                    <c:v>2021-11-01</c:v>
                  </c:pt>
                  <c:pt idx="36">
                    <c:v>2021-12-01</c:v>
                  </c:pt>
                  <c:pt idx="37">
                    <c:v>2022-01-01</c:v>
                  </c:pt>
                  <c:pt idx="38">
                    <c:v>2022-02-01</c:v>
                  </c:pt>
                  <c:pt idx="39">
                    <c:v>2022-03-01</c:v>
                  </c:pt>
                  <c:pt idx="40">
                    <c:v>2022-04-01</c:v>
                  </c:pt>
                  <c:pt idx="41">
                    <c:v>2022-05-01</c:v>
                  </c:pt>
                  <c:pt idx="42">
                    <c:v>2022-06-01</c:v>
                  </c:pt>
                  <c:pt idx="43">
                    <c:v>2022-07-01</c:v>
                  </c:pt>
                  <c:pt idx="44">
                    <c:v>2022-08-01</c:v>
                  </c:pt>
                  <c:pt idx="45">
                    <c:v>2022-09-01</c:v>
                  </c:pt>
                  <c:pt idx="46">
                    <c:v>2022-10-01</c:v>
                  </c:pt>
                  <c:pt idx="47">
                    <c:v>2022-11-01</c:v>
                  </c:pt>
                  <c:pt idx="48">
                    <c:v>2022-12-01</c:v>
                  </c:pt>
                  <c:pt idx="49">
                    <c:v>2023-01-01</c:v>
                  </c:pt>
                  <c:pt idx="50">
                    <c:v>2023-02-01</c:v>
                  </c:pt>
                  <c:pt idx="51">
                    <c:v>2023-03-01</c:v>
                  </c:pt>
                  <c:pt idx="52">
                    <c:v>2023-04-01</c:v>
                  </c:pt>
                  <c:pt idx="53">
                    <c:v>2023-05-01</c:v>
                  </c:pt>
                  <c:pt idx="54">
                    <c:v>2023-06-01</c:v>
                  </c:pt>
                  <c:pt idx="55">
                    <c:v>2023-07-01</c:v>
                  </c:pt>
                  <c:pt idx="56">
                    <c:v>2023-08-01</c:v>
                  </c:pt>
                  <c:pt idx="57">
                    <c:v>2023-09-01</c:v>
                  </c:pt>
                  <c:pt idx="58">
                    <c:v>2023-10-01</c:v>
                  </c:pt>
                  <c:pt idx="59">
                    <c:v>2023-11-01</c:v>
                  </c:pt>
                  <c:pt idx="60">
                    <c:v>2023-12-01</c:v>
                  </c:pt>
                  <c:pt idx="61">
                    <c:v>2024-01-01</c:v>
                  </c:pt>
                  <c:pt idx="62">
                    <c:v>2024-02-01</c:v>
                  </c:pt>
                  <c:pt idx="63">
                    <c:v>2024-03-01</c:v>
                  </c:pt>
                  <c:pt idx="64">
                    <c:v>2024-04-01</c:v>
                  </c:pt>
                  <c:pt idx="65">
                    <c:v>2024-05-01</c:v>
                  </c:pt>
                  <c:pt idx="66">
                    <c:v>2024-06-01</c:v>
                  </c:pt>
                  <c:pt idx="67">
                    <c:v>2024-07-01</c:v>
                  </c:pt>
                  <c:pt idx="68">
                    <c:v>2024-08-01</c:v>
                  </c:pt>
                  <c:pt idx="69">
                    <c:v>2024-09-01</c:v>
                  </c:pt>
                  <c:pt idx="70">
                    <c:v>2024-10-01</c:v>
                  </c:pt>
                  <c:pt idx="71">
                    <c:v>2024-11-01</c:v>
                  </c:pt>
                  <c:pt idx="72">
                    <c:v>2024-12-01</c:v>
                  </c:pt>
                  <c:pt idx="73">
                    <c:v>2025-01-01</c:v>
                  </c:pt>
                  <c:pt idx="74">
                    <c:v>2025-02-01</c:v>
                  </c:pt>
                  <c:pt idx="75">
                    <c:v>2025-03-01</c:v>
                  </c:pt>
                  <c:pt idx="76">
                    <c:v>2025-04-01</c:v>
                  </c:pt>
                  <c:pt idx="77">
                    <c:v>2025-05-01</c:v>
                  </c:pt>
                  <c:pt idx="78">
                    <c:v>2025-06-01</c:v>
                  </c:pt>
                  <c:pt idx="79">
                    <c:v>2025-07-01</c:v>
                  </c:pt>
                  <c:pt idx="80">
                    <c:v>2025-08-01</c:v>
                  </c:pt>
                  <c:pt idx="81">
                    <c:v>2025-09-01</c:v>
                  </c:pt>
                  <c:pt idx="82">
                    <c:v>2025-10-01</c:v>
                  </c:pt>
                  <c:pt idx="83">
                    <c:v>2025-11-01</c:v>
                  </c:pt>
                  <c:pt idx="84">
                    <c:v>2025-12-01</c:v>
                  </c:pt>
                  <c:pt idx="85">
                    <c:v>2026-01-01</c:v>
                  </c:pt>
                  <c:pt idx="86">
                    <c:v>2026-02-01</c:v>
                  </c:pt>
                  <c:pt idx="87">
                    <c:v>2026-03-01</c:v>
                  </c:pt>
                  <c:pt idx="88">
                    <c:v>2026-04-01</c:v>
                  </c:pt>
                  <c:pt idx="89">
                    <c:v>2026-05-01</c:v>
                  </c:pt>
                  <c:pt idx="90">
                    <c:v>2026-06-01</c:v>
                  </c:pt>
                  <c:pt idx="91">
                    <c:v>2026-07-01</c:v>
                  </c:pt>
                  <c:pt idx="92">
                    <c:v>2026-08-01</c:v>
                  </c:pt>
                  <c:pt idx="93">
                    <c:v>2026-09-01</c:v>
                  </c:pt>
                  <c:pt idx="94">
                    <c:v>2026-10-01</c:v>
                  </c:pt>
                  <c:pt idx="95">
                    <c:v>2026-11-01</c:v>
                  </c:pt>
                  <c:pt idx="96">
                    <c:v>2026-12-01</c:v>
                  </c:pt>
                  <c:pt idx="97">
                    <c:v>2027-01-01</c:v>
                  </c:pt>
                  <c:pt idx="98">
                    <c:v>2027-02-01</c:v>
                  </c:pt>
                  <c:pt idx="99">
                    <c:v>2027-03-01</c:v>
                  </c:pt>
                  <c:pt idx="100">
                    <c:v>2027-04-01</c:v>
                  </c:pt>
                  <c:pt idx="101">
                    <c:v>2027-05-01</c:v>
                  </c:pt>
                  <c:pt idx="102">
                    <c:v>2027-06-01</c:v>
                  </c:pt>
                  <c:pt idx="103">
                    <c:v>2027-07-01</c:v>
                  </c:pt>
                  <c:pt idx="104">
                    <c:v>2027-08-01</c:v>
                  </c:pt>
                  <c:pt idx="105">
                    <c:v>2027-09-01</c:v>
                  </c:pt>
                  <c:pt idx="106">
                    <c:v>2027-10-01</c:v>
                  </c:pt>
                  <c:pt idx="107">
                    <c:v>2027-11-01</c:v>
                  </c:pt>
                  <c:pt idx="108">
                    <c:v>2027-12-01</c:v>
                  </c:pt>
                  <c:pt idx="109">
                    <c:v>2028-01-01</c:v>
                  </c:pt>
                  <c:pt idx="110">
                    <c:v>2028-02-01</c:v>
                  </c:pt>
                  <c:pt idx="111">
                    <c:v>2028-03-01</c:v>
                  </c:pt>
                  <c:pt idx="112">
                    <c:v>2028-04-01</c:v>
                  </c:pt>
                  <c:pt idx="113">
                    <c:v>2028-05-01</c:v>
                  </c:pt>
                  <c:pt idx="114">
                    <c:v>2028-06-01</c:v>
                  </c:pt>
                  <c:pt idx="115">
                    <c:v>2028-07-01</c:v>
                  </c:pt>
                  <c:pt idx="116">
                    <c:v>2028-08-01</c:v>
                  </c:pt>
                  <c:pt idx="117">
                    <c:v>2028-09-01</c:v>
                  </c:pt>
                  <c:pt idx="118">
                    <c:v>2028-10-01</c:v>
                  </c:pt>
                  <c:pt idx="119">
                    <c:v>2028-11-01</c:v>
                  </c:pt>
                  <c:pt idx="120">
                    <c:v>2028-12-01</c:v>
                  </c:pt>
                  <c:pt idx="121">
                    <c:v>2029-01-01</c:v>
                  </c:pt>
                  <c:pt idx="122">
                    <c:v>2029-02-01</c:v>
                  </c:pt>
                  <c:pt idx="123">
                    <c:v>2029-03-01</c:v>
                  </c:pt>
                  <c:pt idx="124">
                    <c:v>2029-04-01</c:v>
                  </c:pt>
                  <c:pt idx="125">
                    <c:v>2029-05-01</c:v>
                  </c:pt>
                  <c:pt idx="126">
                    <c:v>2029-06-01</c:v>
                  </c:pt>
                  <c:pt idx="127">
                    <c:v>2029-07-01</c:v>
                  </c:pt>
                  <c:pt idx="128">
                    <c:v>2029-08-01</c:v>
                  </c:pt>
                  <c:pt idx="129">
                    <c:v>2029-09-01</c:v>
                  </c:pt>
                  <c:pt idx="130">
                    <c:v>2029-10-01</c:v>
                  </c:pt>
                  <c:pt idx="131">
                    <c:v>2029-11-01</c:v>
                  </c:pt>
                  <c:pt idx="132">
                    <c:v>2029-12-01</c:v>
                  </c:pt>
                  <c:pt idx="133">
                    <c:v>2030-01-01</c:v>
                  </c:pt>
                  <c:pt idx="134">
                    <c:v>2030-02-01</c:v>
                  </c:pt>
                  <c:pt idx="135">
                    <c:v>2030-03-01</c:v>
                  </c:pt>
                  <c:pt idx="136">
                    <c:v>2030-04-01</c:v>
                  </c:pt>
                  <c:pt idx="137">
                    <c:v>2030-05-01</c:v>
                  </c:pt>
                  <c:pt idx="138">
                    <c:v>2030-06-01</c:v>
                  </c:pt>
                  <c:pt idx="139">
                    <c:v>2030-07-01</c:v>
                  </c:pt>
                  <c:pt idx="140">
                    <c:v>2030-08-01</c:v>
                  </c:pt>
                  <c:pt idx="141">
                    <c:v>2030-09-01</c:v>
                  </c:pt>
                  <c:pt idx="142">
                    <c:v>2030-10-01</c:v>
                  </c:pt>
                  <c:pt idx="143">
                    <c:v>2030-11-01</c:v>
                  </c:pt>
                  <c:pt idx="144">
                    <c:v>2030-12-01</c:v>
                  </c:pt>
                </c:lvl>
              </c:multiLvlStrCache>
            </c:multiLvlStrRef>
          </c:cat>
          <c:val>
            <c:numRef>
              <c:f>Overview!$S$3:$S$147</c:f>
              <c:numCache>
                <c:formatCode>_("$"* #,##0.00_);_("$"* \(#,##0.00\);_("$"* "-"??_);_(@_)</c:formatCode>
                <c:ptCount val="14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-65.94</c:v>
                </c:pt>
                <c:pt idx="16">
                  <c:v>-56.78</c:v>
                </c:pt>
                <c:pt idx="17">
                  <c:v>-56.78</c:v>
                </c:pt>
                <c:pt idx="18">
                  <c:v>-56.78</c:v>
                </c:pt>
                <c:pt idx="19">
                  <c:v>-56.78</c:v>
                </c:pt>
                <c:pt idx="20">
                  <c:v>-106.73</c:v>
                </c:pt>
                <c:pt idx="21">
                  <c:v>-56.78</c:v>
                </c:pt>
                <c:pt idx="22">
                  <c:v>-154.49</c:v>
                </c:pt>
                <c:pt idx="23">
                  <c:v>-117.78</c:v>
                </c:pt>
                <c:pt idx="24">
                  <c:v>-162.18</c:v>
                </c:pt>
                <c:pt idx="25">
                  <c:v>-117.78</c:v>
                </c:pt>
                <c:pt idx="26">
                  <c:v>-117.78</c:v>
                </c:pt>
                <c:pt idx="27">
                  <c:v>-117.78</c:v>
                </c:pt>
                <c:pt idx="28">
                  <c:v>-117.78</c:v>
                </c:pt>
                <c:pt idx="29">
                  <c:v>-117.78</c:v>
                </c:pt>
                <c:pt idx="30">
                  <c:v>-118.81</c:v>
                </c:pt>
                <c:pt idx="31">
                  <c:v>-118.81</c:v>
                </c:pt>
                <c:pt idx="32">
                  <c:v>-118.81</c:v>
                </c:pt>
                <c:pt idx="33">
                  <c:v>-124.36</c:v>
                </c:pt>
                <c:pt idx="34">
                  <c:v>-126.39</c:v>
                </c:pt>
                <c:pt idx="35">
                  <c:v>-124.36</c:v>
                </c:pt>
                <c:pt idx="36">
                  <c:v>-124.36</c:v>
                </c:pt>
                <c:pt idx="37">
                  <c:v>-124.36</c:v>
                </c:pt>
                <c:pt idx="38">
                  <c:v>-119.15</c:v>
                </c:pt>
                <c:pt idx="39">
                  <c:v>0</c:v>
                </c:pt>
                <c:pt idx="40">
                  <c:v>-244.63</c:v>
                </c:pt>
                <c:pt idx="41">
                  <c:v>-123.08</c:v>
                </c:pt>
                <c:pt idx="42">
                  <c:v>-138.09</c:v>
                </c:pt>
                <c:pt idx="43">
                  <c:v>-121.53</c:v>
                </c:pt>
                <c:pt idx="44">
                  <c:v>-165.93</c:v>
                </c:pt>
                <c:pt idx="45">
                  <c:v>-127.08</c:v>
                </c:pt>
                <c:pt idx="46">
                  <c:v>-177.03</c:v>
                </c:pt>
                <c:pt idx="47">
                  <c:v>-121.53</c:v>
                </c:pt>
                <c:pt idx="48">
                  <c:v>-121.53</c:v>
                </c:pt>
                <c:pt idx="49">
                  <c:v>-121.53</c:v>
                </c:pt>
                <c:pt idx="50">
                  <c:v>-177.03</c:v>
                </c:pt>
                <c:pt idx="51">
                  <c:v>-121.53</c:v>
                </c:pt>
                <c:pt idx="52">
                  <c:v>-143.73000000000002</c:v>
                </c:pt>
                <c:pt idx="53">
                  <c:v>-121.88</c:v>
                </c:pt>
                <c:pt idx="54">
                  <c:v>-154.95999999999998</c:v>
                </c:pt>
                <c:pt idx="55">
                  <c:v>-66.55</c:v>
                </c:pt>
                <c:pt idx="56">
                  <c:v>-276.67</c:v>
                </c:pt>
                <c:pt idx="57">
                  <c:v>-177.16</c:v>
                </c:pt>
                <c:pt idx="58">
                  <c:v>-202.22</c:v>
                </c:pt>
                <c:pt idx="59">
                  <c:v>-160.51</c:v>
                </c:pt>
                <c:pt idx="60">
                  <c:v>-182.70999999999998</c:v>
                </c:pt>
                <c:pt idx="61">
                  <c:v>-164.51999999999998</c:v>
                </c:pt>
                <c:pt idx="62">
                  <c:v>-160.26</c:v>
                </c:pt>
                <c:pt idx="63">
                  <c:v>-195.7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9897600"/>
        <c:axId val="239915776"/>
      </c:barChart>
      <c:catAx>
        <c:axId val="239897600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in"/>
        <c:tickLblPos val="low"/>
        <c:crossAx val="239915776"/>
        <c:crosses val="autoZero"/>
        <c:auto val="1"/>
        <c:lblAlgn val="ctr"/>
        <c:lblOffset val="100"/>
        <c:tickMarkSkip val="1"/>
        <c:noMultiLvlLbl val="1"/>
      </c:catAx>
      <c:valAx>
        <c:axId val="2399157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</a:t>
                </a:r>
              </a:p>
            </c:rich>
          </c:tx>
          <c:overlay val="0"/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ln w="12700"/>
        </c:spPr>
        <c:crossAx val="2398976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Budget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Overview!$C$2</c:f>
              <c:strCache>
                <c:ptCount val="1"/>
                <c:pt idx="0">
                  <c:v>Job</c:v>
                </c:pt>
              </c:strCache>
            </c:strRef>
          </c:tx>
          <c:marker>
            <c:symbol val="none"/>
          </c:marker>
          <c:dPt>
            <c:idx val="3"/>
            <c:bubble3D val="0"/>
            <c:spPr>
              <a:ln w="28575"/>
            </c:spPr>
          </c:dPt>
          <c:cat>
            <c:multiLvlStrRef>
              <c:f>Overview!$A$3:$B$147</c:f>
              <c:multiLvlStrCache>
                <c:ptCount val="145"/>
                <c:lvl>
                  <c:pt idx="1">
                    <c:v>January 2019</c:v>
                  </c:pt>
                  <c:pt idx="2">
                    <c:v>February 2019</c:v>
                  </c:pt>
                  <c:pt idx="3">
                    <c:v>March 2019</c:v>
                  </c:pt>
                  <c:pt idx="4">
                    <c:v>April 2019</c:v>
                  </c:pt>
                  <c:pt idx="5">
                    <c:v>May 2019</c:v>
                  </c:pt>
                  <c:pt idx="6">
                    <c:v>June 2019</c:v>
                  </c:pt>
                  <c:pt idx="7">
                    <c:v>July 2019</c:v>
                  </c:pt>
                  <c:pt idx="8">
                    <c:v>August 2019</c:v>
                  </c:pt>
                  <c:pt idx="9">
                    <c:v>September 2019</c:v>
                  </c:pt>
                  <c:pt idx="10">
                    <c:v>October 2019</c:v>
                  </c:pt>
                  <c:pt idx="11">
                    <c:v>November 2019</c:v>
                  </c:pt>
                  <c:pt idx="12">
                    <c:v>December 2019</c:v>
                  </c:pt>
                  <c:pt idx="13">
                    <c:v>January 2020</c:v>
                  </c:pt>
                  <c:pt idx="14">
                    <c:v>February 2020</c:v>
                  </c:pt>
                  <c:pt idx="15">
                    <c:v>March 2020</c:v>
                  </c:pt>
                  <c:pt idx="16">
                    <c:v>April 2020</c:v>
                  </c:pt>
                  <c:pt idx="17">
                    <c:v>May 2020</c:v>
                  </c:pt>
                  <c:pt idx="18">
                    <c:v>June 2020</c:v>
                  </c:pt>
                  <c:pt idx="19">
                    <c:v>July 2020</c:v>
                  </c:pt>
                  <c:pt idx="20">
                    <c:v>August 2020</c:v>
                  </c:pt>
                  <c:pt idx="21">
                    <c:v>September 2020</c:v>
                  </c:pt>
                  <c:pt idx="22">
                    <c:v>October 2020</c:v>
                  </c:pt>
                  <c:pt idx="23">
                    <c:v>November 2020</c:v>
                  </c:pt>
                  <c:pt idx="24">
                    <c:v>December 2020</c:v>
                  </c:pt>
                  <c:pt idx="25">
                    <c:v>January 2021</c:v>
                  </c:pt>
                  <c:pt idx="26">
                    <c:v>February 2021</c:v>
                  </c:pt>
                  <c:pt idx="27">
                    <c:v>March 2021</c:v>
                  </c:pt>
                  <c:pt idx="28">
                    <c:v>April 2021</c:v>
                  </c:pt>
                  <c:pt idx="29">
                    <c:v>May 2021</c:v>
                  </c:pt>
                  <c:pt idx="30">
                    <c:v>June 2021</c:v>
                  </c:pt>
                  <c:pt idx="31">
                    <c:v>July 2021</c:v>
                  </c:pt>
                  <c:pt idx="32">
                    <c:v>August 2021</c:v>
                  </c:pt>
                  <c:pt idx="33">
                    <c:v>September 2021</c:v>
                  </c:pt>
                  <c:pt idx="34">
                    <c:v>October 2021</c:v>
                  </c:pt>
                  <c:pt idx="35">
                    <c:v>November 2021</c:v>
                  </c:pt>
                  <c:pt idx="36">
                    <c:v>December 2021</c:v>
                  </c:pt>
                  <c:pt idx="37">
                    <c:v>January 2022</c:v>
                  </c:pt>
                  <c:pt idx="38">
                    <c:v>February 2022</c:v>
                  </c:pt>
                  <c:pt idx="39">
                    <c:v>March 2022</c:v>
                  </c:pt>
                  <c:pt idx="40">
                    <c:v>April 2022</c:v>
                  </c:pt>
                  <c:pt idx="41">
                    <c:v>May 2022</c:v>
                  </c:pt>
                  <c:pt idx="42">
                    <c:v>June 2022</c:v>
                  </c:pt>
                  <c:pt idx="43">
                    <c:v>July 2022</c:v>
                  </c:pt>
                  <c:pt idx="44">
                    <c:v>August 2022</c:v>
                  </c:pt>
                  <c:pt idx="45">
                    <c:v>September 2022</c:v>
                  </c:pt>
                  <c:pt idx="46">
                    <c:v>October 2022</c:v>
                  </c:pt>
                  <c:pt idx="47">
                    <c:v>November 2022</c:v>
                  </c:pt>
                  <c:pt idx="48">
                    <c:v>December 2022</c:v>
                  </c:pt>
                  <c:pt idx="49">
                    <c:v>January 2023</c:v>
                  </c:pt>
                  <c:pt idx="50">
                    <c:v>February 2023</c:v>
                  </c:pt>
                  <c:pt idx="51">
                    <c:v>March 2023</c:v>
                  </c:pt>
                  <c:pt idx="52">
                    <c:v>April 2023</c:v>
                  </c:pt>
                  <c:pt idx="53">
                    <c:v>May 2023</c:v>
                  </c:pt>
                  <c:pt idx="54">
                    <c:v>June 2023</c:v>
                  </c:pt>
                  <c:pt idx="55">
                    <c:v>July 2023</c:v>
                  </c:pt>
                  <c:pt idx="56">
                    <c:v>August 2023</c:v>
                  </c:pt>
                  <c:pt idx="57">
                    <c:v>September 2023</c:v>
                  </c:pt>
                  <c:pt idx="58">
                    <c:v>October 2023</c:v>
                  </c:pt>
                  <c:pt idx="59">
                    <c:v>November 2023</c:v>
                  </c:pt>
                  <c:pt idx="60">
                    <c:v>December 2023</c:v>
                  </c:pt>
                  <c:pt idx="61">
                    <c:v>January 2024</c:v>
                  </c:pt>
                  <c:pt idx="62">
                    <c:v>February 2024</c:v>
                  </c:pt>
                  <c:pt idx="63">
                    <c:v>March 2024</c:v>
                  </c:pt>
                  <c:pt idx="64">
                    <c:v>April 2024</c:v>
                  </c:pt>
                  <c:pt idx="65">
                    <c:v>May 2024</c:v>
                  </c:pt>
                  <c:pt idx="66">
                    <c:v>June 2024</c:v>
                  </c:pt>
                  <c:pt idx="67">
                    <c:v>July 2024</c:v>
                  </c:pt>
                  <c:pt idx="68">
                    <c:v>August 2024</c:v>
                  </c:pt>
                  <c:pt idx="69">
                    <c:v>September 2024</c:v>
                  </c:pt>
                  <c:pt idx="70">
                    <c:v>October 2024</c:v>
                  </c:pt>
                  <c:pt idx="71">
                    <c:v>November 2024</c:v>
                  </c:pt>
                  <c:pt idx="72">
                    <c:v>December 2024</c:v>
                  </c:pt>
                  <c:pt idx="73">
                    <c:v>January 2025</c:v>
                  </c:pt>
                  <c:pt idx="74">
                    <c:v>February 2025</c:v>
                  </c:pt>
                  <c:pt idx="75">
                    <c:v>March 2025</c:v>
                  </c:pt>
                  <c:pt idx="76">
                    <c:v>April 2025</c:v>
                  </c:pt>
                  <c:pt idx="77">
                    <c:v>May 2025</c:v>
                  </c:pt>
                  <c:pt idx="78">
                    <c:v>June 2025</c:v>
                  </c:pt>
                  <c:pt idx="79">
                    <c:v>July 2025</c:v>
                  </c:pt>
                  <c:pt idx="80">
                    <c:v>August 2025</c:v>
                  </c:pt>
                  <c:pt idx="81">
                    <c:v>September 2025</c:v>
                  </c:pt>
                  <c:pt idx="82">
                    <c:v>October 2025</c:v>
                  </c:pt>
                  <c:pt idx="83">
                    <c:v>November 2025</c:v>
                  </c:pt>
                  <c:pt idx="84">
                    <c:v>December 2025</c:v>
                  </c:pt>
                  <c:pt idx="85">
                    <c:v>January 2026</c:v>
                  </c:pt>
                  <c:pt idx="86">
                    <c:v>February 2026</c:v>
                  </c:pt>
                  <c:pt idx="87">
                    <c:v>March 2026</c:v>
                  </c:pt>
                  <c:pt idx="88">
                    <c:v>April 2026</c:v>
                  </c:pt>
                  <c:pt idx="89">
                    <c:v>May 2026</c:v>
                  </c:pt>
                  <c:pt idx="90">
                    <c:v>June 2026</c:v>
                  </c:pt>
                  <c:pt idx="91">
                    <c:v>July 2026</c:v>
                  </c:pt>
                  <c:pt idx="92">
                    <c:v>August 2026</c:v>
                  </c:pt>
                  <c:pt idx="93">
                    <c:v>September 2026</c:v>
                  </c:pt>
                  <c:pt idx="94">
                    <c:v>October 2026</c:v>
                  </c:pt>
                  <c:pt idx="95">
                    <c:v>November 2026</c:v>
                  </c:pt>
                  <c:pt idx="96">
                    <c:v>December 2026</c:v>
                  </c:pt>
                  <c:pt idx="97">
                    <c:v>January 2027</c:v>
                  </c:pt>
                  <c:pt idx="98">
                    <c:v>February 2027</c:v>
                  </c:pt>
                  <c:pt idx="99">
                    <c:v>March 2027</c:v>
                  </c:pt>
                  <c:pt idx="100">
                    <c:v>April 2027</c:v>
                  </c:pt>
                  <c:pt idx="101">
                    <c:v>May 2027</c:v>
                  </c:pt>
                  <c:pt idx="102">
                    <c:v>June 2027</c:v>
                  </c:pt>
                  <c:pt idx="103">
                    <c:v>July 2027</c:v>
                  </c:pt>
                  <c:pt idx="104">
                    <c:v>August 2027</c:v>
                  </c:pt>
                  <c:pt idx="105">
                    <c:v>September 2027</c:v>
                  </c:pt>
                  <c:pt idx="106">
                    <c:v>October 2027</c:v>
                  </c:pt>
                  <c:pt idx="107">
                    <c:v>November 2027</c:v>
                  </c:pt>
                  <c:pt idx="108">
                    <c:v>December 2027</c:v>
                  </c:pt>
                  <c:pt idx="109">
                    <c:v>January 2028</c:v>
                  </c:pt>
                  <c:pt idx="110">
                    <c:v>February 2028</c:v>
                  </c:pt>
                  <c:pt idx="111">
                    <c:v>March 2028</c:v>
                  </c:pt>
                  <c:pt idx="112">
                    <c:v>April 2028</c:v>
                  </c:pt>
                  <c:pt idx="113">
                    <c:v>May 2028</c:v>
                  </c:pt>
                  <c:pt idx="114">
                    <c:v>June 2028</c:v>
                  </c:pt>
                  <c:pt idx="115">
                    <c:v>July 2028</c:v>
                  </c:pt>
                  <c:pt idx="116">
                    <c:v>August 2028</c:v>
                  </c:pt>
                  <c:pt idx="117">
                    <c:v>September 2028</c:v>
                  </c:pt>
                  <c:pt idx="118">
                    <c:v>October 2028</c:v>
                  </c:pt>
                  <c:pt idx="119">
                    <c:v>November 2028</c:v>
                  </c:pt>
                  <c:pt idx="120">
                    <c:v>December 2028</c:v>
                  </c:pt>
                  <c:pt idx="121">
                    <c:v>January 2029</c:v>
                  </c:pt>
                  <c:pt idx="122">
                    <c:v>February 2029</c:v>
                  </c:pt>
                  <c:pt idx="123">
                    <c:v>March 2029</c:v>
                  </c:pt>
                  <c:pt idx="124">
                    <c:v>April 2029</c:v>
                  </c:pt>
                  <c:pt idx="125">
                    <c:v>May 2029</c:v>
                  </c:pt>
                  <c:pt idx="126">
                    <c:v>June 2029</c:v>
                  </c:pt>
                  <c:pt idx="127">
                    <c:v>July 2029</c:v>
                  </c:pt>
                  <c:pt idx="128">
                    <c:v>August 2029</c:v>
                  </c:pt>
                  <c:pt idx="129">
                    <c:v>September 2029</c:v>
                  </c:pt>
                  <c:pt idx="130">
                    <c:v>October 2029</c:v>
                  </c:pt>
                  <c:pt idx="131">
                    <c:v>November 2029</c:v>
                  </c:pt>
                  <c:pt idx="132">
                    <c:v>December 2029</c:v>
                  </c:pt>
                  <c:pt idx="133">
                    <c:v>January 2030</c:v>
                  </c:pt>
                  <c:pt idx="134">
                    <c:v>February 2030</c:v>
                  </c:pt>
                  <c:pt idx="135">
                    <c:v>March 2030</c:v>
                  </c:pt>
                  <c:pt idx="136">
                    <c:v>April 2030</c:v>
                  </c:pt>
                  <c:pt idx="137">
                    <c:v>May 2030</c:v>
                  </c:pt>
                  <c:pt idx="138">
                    <c:v>June 2030</c:v>
                  </c:pt>
                  <c:pt idx="139">
                    <c:v>July 2030</c:v>
                  </c:pt>
                  <c:pt idx="140">
                    <c:v>August 2030</c:v>
                  </c:pt>
                  <c:pt idx="141">
                    <c:v>September 2030</c:v>
                  </c:pt>
                  <c:pt idx="142">
                    <c:v>October 2030</c:v>
                  </c:pt>
                  <c:pt idx="143">
                    <c:v>November 2030</c:v>
                  </c:pt>
                  <c:pt idx="144">
                    <c:v>December 2030</c:v>
                  </c:pt>
                </c:lvl>
                <c:lvl>
                  <c:pt idx="1">
                    <c:v>2019-01-01</c:v>
                  </c:pt>
                  <c:pt idx="2">
                    <c:v>2019-02-01</c:v>
                  </c:pt>
                  <c:pt idx="3">
                    <c:v>2019-03-01</c:v>
                  </c:pt>
                  <c:pt idx="4">
                    <c:v>2019-04-01</c:v>
                  </c:pt>
                  <c:pt idx="5">
                    <c:v>2019-05-01</c:v>
                  </c:pt>
                  <c:pt idx="6">
                    <c:v>2019-06-01</c:v>
                  </c:pt>
                  <c:pt idx="7">
                    <c:v>2019-07-01</c:v>
                  </c:pt>
                  <c:pt idx="8">
                    <c:v>2019-08-01</c:v>
                  </c:pt>
                  <c:pt idx="9">
                    <c:v>2019-09-01</c:v>
                  </c:pt>
                  <c:pt idx="10">
                    <c:v>2019-10-01</c:v>
                  </c:pt>
                  <c:pt idx="11">
                    <c:v>2019-11-01</c:v>
                  </c:pt>
                  <c:pt idx="12">
                    <c:v>2019-12-01</c:v>
                  </c:pt>
                  <c:pt idx="13">
                    <c:v>2020-01-01</c:v>
                  </c:pt>
                  <c:pt idx="14">
                    <c:v>2020-02-01</c:v>
                  </c:pt>
                  <c:pt idx="15">
                    <c:v>2020-03-01</c:v>
                  </c:pt>
                  <c:pt idx="16">
                    <c:v>2020-04-01</c:v>
                  </c:pt>
                  <c:pt idx="17">
                    <c:v>2020-05-01</c:v>
                  </c:pt>
                  <c:pt idx="18">
                    <c:v>2020-06-01</c:v>
                  </c:pt>
                  <c:pt idx="19">
                    <c:v>2020-07-01</c:v>
                  </c:pt>
                  <c:pt idx="20">
                    <c:v>2020-08-01</c:v>
                  </c:pt>
                  <c:pt idx="21">
                    <c:v>2020-09-01</c:v>
                  </c:pt>
                  <c:pt idx="22">
                    <c:v>2020-10-01</c:v>
                  </c:pt>
                  <c:pt idx="23">
                    <c:v>2020-11-01</c:v>
                  </c:pt>
                  <c:pt idx="24">
                    <c:v>2020-12-01</c:v>
                  </c:pt>
                  <c:pt idx="25">
                    <c:v>2021-01-01</c:v>
                  </c:pt>
                  <c:pt idx="26">
                    <c:v>2021-02-01</c:v>
                  </c:pt>
                  <c:pt idx="27">
                    <c:v>2021-03-01</c:v>
                  </c:pt>
                  <c:pt idx="28">
                    <c:v>2021-04-01</c:v>
                  </c:pt>
                  <c:pt idx="29">
                    <c:v>2021-05-01</c:v>
                  </c:pt>
                  <c:pt idx="30">
                    <c:v>2021-06-01</c:v>
                  </c:pt>
                  <c:pt idx="31">
                    <c:v>2021-07-01</c:v>
                  </c:pt>
                  <c:pt idx="32">
                    <c:v>2021-08-01</c:v>
                  </c:pt>
                  <c:pt idx="33">
                    <c:v>2021-09-01</c:v>
                  </c:pt>
                  <c:pt idx="34">
                    <c:v>2021-10-01</c:v>
                  </c:pt>
                  <c:pt idx="35">
                    <c:v>2021-11-01</c:v>
                  </c:pt>
                  <c:pt idx="36">
                    <c:v>2021-12-01</c:v>
                  </c:pt>
                  <c:pt idx="37">
                    <c:v>2022-01-01</c:v>
                  </c:pt>
                  <c:pt idx="38">
                    <c:v>2022-02-01</c:v>
                  </c:pt>
                  <c:pt idx="39">
                    <c:v>2022-03-01</c:v>
                  </c:pt>
                  <c:pt idx="40">
                    <c:v>2022-04-01</c:v>
                  </c:pt>
                  <c:pt idx="41">
                    <c:v>2022-05-01</c:v>
                  </c:pt>
                  <c:pt idx="42">
                    <c:v>2022-06-01</c:v>
                  </c:pt>
                  <c:pt idx="43">
                    <c:v>2022-07-01</c:v>
                  </c:pt>
                  <c:pt idx="44">
                    <c:v>2022-08-01</c:v>
                  </c:pt>
                  <c:pt idx="45">
                    <c:v>2022-09-01</c:v>
                  </c:pt>
                  <c:pt idx="46">
                    <c:v>2022-10-01</c:v>
                  </c:pt>
                  <c:pt idx="47">
                    <c:v>2022-11-01</c:v>
                  </c:pt>
                  <c:pt idx="48">
                    <c:v>2022-12-01</c:v>
                  </c:pt>
                  <c:pt idx="49">
                    <c:v>2023-01-01</c:v>
                  </c:pt>
                  <c:pt idx="50">
                    <c:v>2023-02-01</c:v>
                  </c:pt>
                  <c:pt idx="51">
                    <c:v>2023-03-01</c:v>
                  </c:pt>
                  <c:pt idx="52">
                    <c:v>2023-04-01</c:v>
                  </c:pt>
                  <c:pt idx="53">
                    <c:v>2023-05-01</c:v>
                  </c:pt>
                  <c:pt idx="54">
                    <c:v>2023-06-01</c:v>
                  </c:pt>
                  <c:pt idx="55">
                    <c:v>2023-07-01</c:v>
                  </c:pt>
                  <c:pt idx="56">
                    <c:v>2023-08-01</c:v>
                  </c:pt>
                  <c:pt idx="57">
                    <c:v>2023-09-01</c:v>
                  </c:pt>
                  <c:pt idx="58">
                    <c:v>2023-10-01</c:v>
                  </c:pt>
                  <c:pt idx="59">
                    <c:v>2023-11-01</c:v>
                  </c:pt>
                  <c:pt idx="60">
                    <c:v>2023-12-01</c:v>
                  </c:pt>
                  <c:pt idx="61">
                    <c:v>2024-01-01</c:v>
                  </c:pt>
                  <c:pt idx="62">
                    <c:v>2024-02-01</c:v>
                  </c:pt>
                  <c:pt idx="63">
                    <c:v>2024-03-01</c:v>
                  </c:pt>
                  <c:pt idx="64">
                    <c:v>2024-04-01</c:v>
                  </c:pt>
                  <c:pt idx="65">
                    <c:v>2024-05-01</c:v>
                  </c:pt>
                  <c:pt idx="66">
                    <c:v>2024-06-01</c:v>
                  </c:pt>
                  <c:pt idx="67">
                    <c:v>2024-07-01</c:v>
                  </c:pt>
                  <c:pt idx="68">
                    <c:v>2024-08-01</c:v>
                  </c:pt>
                  <c:pt idx="69">
                    <c:v>2024-09-01</c:v>
                  </c:pt>
                  <c:pt idx="70">
                    <c:v>2024-10-01</c:v>
                  </c:pt>
                  <c:pt idx="71">
                    <c:v>2024-11-01</c:v>
                  </c:pt>
                  <c:pt idx="72">
                    <c:v>2024-12-01</c:v>
                  </c:pt>
                  <c:pt idx="73">
                    <c:v>2025-01-01</c:v>
                  </c:pt>
                  <c:pt idx="74">
                    <c:v>2025-02-01</c:v>
                  </c:pt>
                  <c:pt idx="75">
                    <c:v>2025-03-01</c:v>
                  </c:pt>
                  <c:pt idx="76">
                    <c:v>2025-04-01</c:v>
                  </c:pt>
                  <c:pt idx="77">
                    <c:v>2025-05-01</c:v>
                  </c:pt>
                  <c:pt idx="78">
                    <c:v>2025-06-01</c:v>
                  </c:pt>
                  <c:pt idx="79">
                    <c:v>2025-07-01</c:v>
                  </c:pt>
                  <c:pt idx="80">
                    <c:v>2025-08-01</c:v>
                  </c:pt>
                  <c:pt idx="81">
                    <c:v>2025-09-01</c:v>
                  </c:pt>
                  <c:pt idx="82">
                    <c:v>2025-10-01</c:v>
                  </c:pt>
                  <c:pt idx="83">
                    <c:v>2025-11-01</c:v>
                  </c:pt>
                  <c:pt idx="84">
                    <c:v>2025-12-01</c:v>
                  </c:pt>
                  <c:pt idx="85">
                    <c:v>2026-01-01</c:v>
                  </c:pt>
                  <c:pt idx="86">
                    <c:v>2026-02-01</c:v>
                  </c:pt>
                  <c:pt idx="87">
                    <c:v>2026-03-01</c:v>
                  </c:pt>
                  <c:pt idx="88">
                    <c:v>2026-04-01</c:v>
                  </c:pt>
                  <c:pt idx="89">
                    <c:v>2026-05-01</c:v>
                  </c:pt>
                  <c:pt idx="90">
                    <c:v>2026-06-01</c:v>
                  </c:pt>
                  <c:pt idx="91">
                    <c:v>2026-07-01</c:v>
                  </c:pt>
                  <c:pt idx="92">
                    <c:v>2026-08-01</c:v>
                  </c:pt>
                  <c:pt idx="93">
                    <c:v>2026-09-01</c:v>
                  </c:pt>
                  <c:pt idx="94">
                    <c:v>2026-10-01</c:v>
                  </c:pt>
                  <c:pt idx="95">
                    <c:v>2026-11-01</c:v>
                  </c:pt>
                  <c:pt idx="96">
                    <c:v>2026-12-01</c:v>
                  </c:pt>
                  <c:pt idx="97">
                    <c:v>2027-01-01</c:v>
                  </c:pt>
                  <c:pt idx="98">
                    <c:v>2027-02-01</c:v>
                  </c:pt>
                  <c:pt idx="99">
                    <c:v>2027-03-01</c:v>
                  </c:pt>
                  <c:pt idx="100">
                    <c:v>2027-04-01</c:v>
                  </c:pt>
                  <c:pt idx="101">
                    <c:v>2027-05-01</c:v>
                  </c:pt>
                  <c:pt idx="102">
                    <c:v>2027-06-01</c:v>
                  </c:pt>
                  <c:pt idx="103">
                    <c:v>2027-07-01</c:v>
                  </c:pt>
                  <c:pt idx="104">
                    <c:v>2027-08-01</c:v>
                  </c:pt>
                  <c:pt idx="105">
                    <c:v>2027-09-01</c:v>
                  </c:pt>
                  <c:pt idx="106">
                    <c:v>2027-10-01</c:v>
                  </c:pt>
                  <c:pt idx="107">
                    <c:v>2027-11-01</c:v>
                  </c:pt>
                  <c:pt idx="108">
                    <c:v>2027-12-01</c:v>
                  </c:pt>
                  <c:pt idx="109">
                    <c:v>2028-01-01</c:v>
                  </c:pt>
                  <c:pt idx="110">
                    <c:v>2028-02-01</c:v>
                  </c:pt>
                  <c:pt idx="111">
                    <c:v>2028-03-01</c:v>
                  </c:pt>
                  <c:pt idx="112">
                    <c:v>2028-04-01</c:v>
                  </c:pt>
                  <c:pt idx="113">
                    <c:v>2028-05-01</c:v>
                  </c:pt>
                  <c:pt idx="114">
                    <c:v>2028-06-01</c:v>
                  </c:pt>
                  <c:pt idx="115">
                    <c:v>2028-07-01</c:v>
                  </c:pt>
                  <c:pt idx="116">
                    <c:v>2028-08-01</c:v>
                  </c:pt>
                  <c:pt idx="117">
                    <c:v>2028-09-01</c:v>
                  </c:pt>
                  <c:pt idx="118">
                    <c:v>2028-10-01</c:v>
                  </c:pt>
                  <c:pt idx="119">
                    <c:v>2028-11-01</c:v>
                  </c:pt>
                  <c:pt idx="120">
                    <c:v>2028-12-01</c:v>
                  </c:pt>
                  <c:pt idx="121">
                    <c:v>2029-01-01</c:v>
                  </c:pt>
                  <c:pt idx="122">
                    <c:v>2029-02-01</c:v>
                  </c:pt>
                  <c:pt idx="123">
                    <c:v>2029-03-01</c:v>
                  </c:pt>
                  <c:pt idx="124">
                    <c:v>2029-04-01</c:v>
                  </c:pt>
                  <c:pt idx="125">
                    <c:v>2029-05-01</c:v>
                  </c:pt>
                  <c:pt idx="126">
                    <c:v>2029-06-01</c:v>
                  </c:pt>
                  <c:pt idx="127">
                    <c:v>2029-07-01</c:v>
                  </c:pt>
                  <c:pt idx="128">
                    <c:v>2029-08-01</c:v>
                  </c:pt>
                  <c:pt idx="129">
                    <c:v>2029-09-01</c:v>
                  </c:pt>
                  <c:pt idx="130">
                    <c:v>2029-10-01</c:v>
                  </c:pt>
                  <c:pt idx="131">
                    <c:v>2029-11-01</c:v>
                  </c:pt>
                  <c:pt idx="132">
                    <c:v>2029-12-01</c:v>
                  </c:pt>
                  <c:pt idx="133">
                    <c:v>2030-01-01</c:v>
                  </c:pt>
                  <c:pt idx="134">
                    <c:v>2030-02-01</c:v>
                  </c:pt>
                  <c:pt idx="135">
                    <c:v>2030-03-01</c:v>
                  </c:pt>
                  <c:pt idx="136">
                    <c:v>2030-04-01</c:v>
                  </c:pt>
                  <c:pt idx="137">
                    <c:v>2030-05-01</c:v>
                  </c:pt>
                  <c:pt idx="138">
                    <c:v>2030-06-01</c:v>
                  </c:pt>
                  <c:pt idx="139">
                    <c:v>2030-07-01</c:v>
                  </c:pt>
                  <c:pt idx="140">
                    <c:v>2030-08-01</c:v>
                  </c:pt>
                  <c:pt idx="141">
                    <c:v>2030-09-01</c:v>
                  </c:pt>
                  <c:pt idx="142">
                    <c:v>2030-10-01</c:v>
                  </c:pt>
                  <c:pt idx="143">
                    <c:v>2030-11-01</c:v>
                  </c:pt>
                  <c:pt idx="144">
                    <c:v>2030-12-01</c:v>
                  </c:pt>
                </c:lvl>
              </c:multiLvlStrCache>
            </c:multiLvlStrRef>
          </c:cat>
          <c:val>
            <c:numRef>
              <c:f>Overview!$C$3:$C$147</c:f>
              <c:numCache>
                <c:formatCode>_("$"* #,##0.00_);_("$"* \(#,##0.00\);_("$"* "-"??_);_(@_)</c:formatCode>
                <c:ptCount val="145"/>
                <c:pt idx="1">
                  <c:v>0</c:v>
                </c:pt>
                <c:pt idx="2">
                  <c:v>-35.700000000000003</c:v>
                </c:pt>
                <c:pt idx="3">
                  <c:v>0</c:v>
                </c:pt>
                <c:pt idx="4">
                  <c:v>0</c:v>
                </c:pt>
                <c:pt idx="5">
                  <c:v>1704.24</c:v>
                </c:pt>
                <c:pt idx="6">
                  <c:v>3533.96</c:v>
                </c:pt>
                <c:pt idx="7">
                  <c:v>3471.22</c:v>
                </c:pt>
                <c:pt idx="8">
                  <c:v>3471.22</c:v>
                </c:pt>
                <c:pt idx="9">
                  <c:v>3471.22</c:v>
                </c:pt>
                <c:pt idx="10">
                  <c:v>5206.83</c:v>
                </c:pt>
                <c:pt idx="11">
                  <c:v>4652.3900000000003</c:v>
                </c:pt>
                <c:pt idx="12">
                  <c:v>3420.24</c:v>
                </c:pt>
                <c:pt idx="13">
                  <c:v>3316.72</c:v>
                </c:pt>
                <c:pt idx="14">
                  <c:v>3471.22</c:v>
                </c:pt>
                <c:pt idx="15">
                  <c:v>3471.22</c:v>
                </c:pt>
                <c:pt idx="16">
                  <c:v>9539.2899999999991</c:v>
                </c:pt>
                <c:pt idx="17">
                  <c:v>3527.64</c:v>
                </c:pt>
                <c:pt idx="18">
                  <c:v>3527.64</c:v>
                </c:pt>
                <c:pt idx="19">
                  <c:v>4087.5199999999995</c:v>
                </c:pt>
                <c:pt idx="20">
                  <c:v>5288.41</c:v>
                </c:pt>
                <c:pt idx="21">
                  <c:v>4184.96</c:v>
                </c:pt>
                <c:pt idx="22">
                  <c:v>4184.96</c:v>
                </c:pt>
                <c:pt idx="23">
                  <c:v>4184.96</c:v>
                </c:pt>
                <c:pt idx="24">
                  <c:v>4184.96</c:v>
                </c:pt>
                <c:pt idx="25">
                  <c:v>4191.7699999999995</c:v>
                </c:pt>
                <c:pt idx="26">
                  <c:v>4191.7699999999995</c:v>
                </c:pt>
                <c:pt idx="27">
                  <c:v>4191.7699999999995</c:v>
                </c:pt>
                <c:pt idx="28">
                  <c:v>4708.01</c:v>
                </c:pt>
                <c:pt idx="29">
                  <c:v>4191.7699999999995</c:v>
                </c:pt>
                <c:pt idx="30">
                  <c:v>4261.32</c:v>
                </c:pt>
                <c:pt idx="31">
                  <c:v>4366.29</c:v>
                </c:pt>
                <c:pt idx="32">
                  <c:v>4366.29</c:v>
                </c:pt>
                <c:pt idx="33">
                  <c:v>4367.21</c:v>
                </c:pt>
                <c:pt idx="34">
                  <c:v>4477.26</c:v>
                </c:pt>
                <c:pt idx="35">
                  <c:v>4685.58</c:v>
                </c:pt>
                <c:pt idx="36">
                  <c:v>4743.5499999999993</c:v>
                </c:pt>
                <c:pt idx="37">
                  <c:v>7357.02</c:v>
                </c:pt>
                <c:pt idx="38">
                  <c:v>4576.25</c:v>
                </c:pt>
                <c:pt idx="39">
                  <c:v>3803.31</c:v>
                </c:pt>
                <c:pt idx="40">
                  <c:v>3972.2299999999996</c:v>
                </c:pt>
                <c:pt idx="41">
                  <c:v>3977.4399999999996</c:v>
                </c:pt>
                <c:pt idx="42">
                  <c:v>5973.98</c:v>
                </c:pt>
                <c:pt idx="43">
                  <c:v>4029.0699999999997</c:v>
                </c:pt>
                <c:pt idx="44">
                  <c:v>3982.6499999999996</c:v>
                </c:pt>
                <c:pt idx="45">
                  <c:v>3993.33</c:v>
                </c:pt>
                <c:pt idx="46">
                  <c:v>3993.3</c:v>
                </c:pt>
                <c:pt idx="47">
                  <c:v>4069.1800000000003</c:v>
                </c:pt>
                <c:pt idx="48">
                  <c:v>6544.26</c:v>
                </c:pt>
                <c:pt idx="49">
                  <c:v>4296.93</c:v>
                </c:pt>
                <c:pt idx="50">
                  <c:v>4296.95</c:v>
                </c:pt>
                <c:pt idx="51">
                  <c:v>3972.52</c:v>
                </c:pt>
                <c:pt idx="52">
                  <c:v>4039.21</c:v>
                </c:pt>
                <c:pt idx="53">
                  <c:v>3932.85</c:v>
                </c:pt>
                <c:pt idx="54">
                  <c:v>6075.07</c:v>
                </c:pt>
                <c:pt idx="55">
                  <c:v>4053.63</c:v>
                </c:pt>
                <c:pt idx="56">
                  <c:v>4285.9799999999996</c:v>
                </c:pt>
                <c:pt idx="57">
                  <c:v>4225.3</c:v>
                </c:pt>
                <c:pt idx="58">
                  <c:v>4545.34</c:v>
                </c:pt>
                <c:pt idx="59">
                  <c:v>4612.9399999999996</c:v>
                </c:pt>
                <c:pt idx="60">
                  <c:v>7254.72</c:v>
                </c:pt>
                <c:pt idx="61">
                  <c:v>4324.51</c:v>
                </c:pt>
                <c:pt idx="62">
                  <c:v>4340.84</c:v>
                </c:pt>
                <c:pt idx="63">
                  <c:v>4698.8499999999995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Overview!$D$2</c:f>
              <c:strCache>
                <c:ptCount val="1"/>
                <c:pt idx="0">
                  <c:v>Food</c:v>
                </c:pt>
              </c:strCache>
            </c:strRef>
          </c:tx>
          <c:marker>
            <c:symbol val="none"/>
          </c:marker>
          <c:cat>
            <c:multiLvlStrRef>
              <c:f>Overview!$A$3:$B$147</c:f>
              <c:multiLvlStrCache>
                <c:ptCount val="145"/>
                <c:lvl>
                  <c:pt idx="1">
                    <c:v>January 2019</c:v>
                  </c:pt>
                  <c:pt idx="2">
                    <c:v>February 2019</c:v>
                  </c:pt>
                  <c:pt idx="3">
                    <c:v>March 2019</c:v>
                  </c:pt>
                  <c:pt idx="4">
                    <c:v>April 2019</c:v>
                  </c:pt>
                  <c:pt idx="5">
                    <c:v>May 2019</c:v>
                  </c:pt>
                  <c:pt idx="6">
                    <c:v>June 2019</c:v>
                  </c:pt>
                  <c:pt idx="7">
                    <c:v>July 2019</c:v>
                  </c:pt>
                  <c:pt idx="8">
                    <c:v>August 2019</c:v>
                  </c:pt>
                  <c:pt idx="9">
                    <c:v>September 2019</c:v>
                  </c:pt>
                  <c:pt idx="10">
                    <c:v>October 2019</c:v>
                  </c:pt>
                  <c:pt idx="11">
                    <c:v>November 2019</c:v>
                  </c:pt>
                  <c:pt idx="12">
                    <c:v>December 2019</c:v>
                  </c:pt>
                  <c:pt idx="13">
                    <c:v>January 2020</c:v>
                  </c:pt>
                  <c:pt idx="14">
                    <c:v>February 2020</c:v>
                  </c:pt>
                  <c:pt idx="15">
                    <c:v>March 2020</c:v>
                  </c:pt>
                  <c:pt idx="16">
                    <c:v>April 2020</c:v>
                  </c:pt>
                  <c:pt idx="17">
                    <c:v>May 2020</c:v>
                  </c:pt>
                  <c:pt idx="18">
                    <c:v>June 2020</c:v>
                  </c:pt>
                  <c:pt idx="19">
                    <c:v>July 2020</c:v>
                  </c:pt>
                  <c:pt idx="20">
                    <c:v>August 2020</c:v>
                  </c:pt>
                  <c:pt idx="21">
                    <c:v>September 2020</c:v>
                  </c:pt>
                  <c:pt idx="22">
                    <c:v>October 2020</c:v>
                  </c:pt>
                  <c:pt idx="23">
                    <c:v>November 2020</c:v>
                  </c:pt>
                  <c:pt idx="24">
                    <c:v>December 2020</c:v>
                  </c:pt>
                  <c:pt idx="25">
                    <c:v>January 2021</c:v>
                  </c:pt>
                  <c:pt idx="26">
                    <c:v>February 2021</c:v>
                  </c:pt>
                  <c:pt idx="27">
                    <c:v>March 2021</c:v>
                  </c:pt>
                  <c:pt idx="28">
                    <c:v>April 2021</c:v>
                  </c:pt>
                  <c:pt idx="29">
                    <c:v>May 2021</c:v>
                  </c:pt>
                  <c:pt idx="30">
                    <c:v>June 2021</c:v>
                  </c:pt>
                  <c:pt idx="31">
                    <c:v>July 2021</c:v>
                  </c:pt>
                  <c:pt idx="32">
                    <c:v>August 2021</c:v>
                  </c:pt>
                  <c:pt idx="33">
                    <c:v>September 2021</c:v>
                  </c:pt>
                  <c:pt idx="34">
                    <c:v>October 2021</c:v>
                  </c:pt>
                  <c:pt idx="35">
                    <c:v>November 2021</c:v>
                  </c:pt>
                  <c:pt idx="36">
                    <c:v>December 2021</c:v>
                  </c:pt>
                  <c:pt idx="37">
                    <c:v>January 2022</c:v>
                  </c:pt>
                  <c:pt idx="38">
                    <c:v>February 2022</c:v>
                  </c:pt>
                  <c:pt idx="39">
                    <c:v>March 2022</c:v>
                  </c:pt>
                  <c:pt idx="40">
                    <c:v>April 2022</c:v>
                  </c:pt>
                  <c:pt idx="41">
                    <c:v>May 2022</c:v>
                  </c:pt>
                  <c:pt idx="42">
                    <c:v>June 2022</c:v>
                  </c:pt>
                  <c:pt idx="43">
                    <c:v>July 2022</c:v>
                  </c:pt>
                  <c:pt idx="44">
                    <c:v>August 2022</c:v>
                  </c:pt>
                  <c:pt idx="45">
                    <c:v>September 2022</c:v>
                  </c:pt>
                  <c:pt idx="46">
                    <c:v>October 2022</c:v>
                  </c:pt>
                  <c:pt idx="47">
                    <c:v>November 2022</c:v>
                  </c:pt>
                  <c:pt idx="48">
                    <c:v>December 2022</c:v>
                  </c:pt>
                  <c:pt idx="49">
                    <c:v>January 2023</c:v>
                  </c:pt>
                  <c:pt idx="50">
                    <c:v>February 2023</c:v>
                  </c:pt>
                  <c:pt idx="51">
                    <c:v>March 2023</c:v>
                  </c:pt>
                  <c:pt idx="52">
                    <c:v>April 2023</c:v>
                  </c:pt>
                  <c:pt idx="53">
                    <c:v>May 2023</c:v>
                  </c:pt>
                  <c:pt idx="54">
                    <c:v>June 2023</c:v>
                  </c:pt>
                  <c:pt idx="55">
                    <c:v>July 2023</c:v>
                  </c:pt>
                  <c:pt idx="56">
                    <c:v>August 2023</c:v>
                  </c:pt>
                  <c:pt idx="57">
                    <c:v>September 2023</c:v>
                  </c:pt>
                  <c:pt idx="58">
                    <c:v>October 2023</c:v>
                  </c:pt>
                  <c:pt idx="59">
                    <c:v>November 2023</c:v>
                  </c:pt>
                  <c:pt idx="60">
                    <c:v>December 2023</c:v>
                  </c:pt>
                  <c:pt idx="61">
                    <c:v>January 2024</c:v>
                  </c:pt>
                  <c:pt idx="62">
                    <c:v>February 2024</c:v>
                  </c:pt>
                  <c:pt idx="63">
                    <c:v>March 2024</c:v>
                  </c:pt>
                  <c:pt idx="64">
                    <c:v>April 2024</c:v>
                  </c:pt>
                  <c:pt idx="65">
                    <c:v>May 2024</c:v>
                  </c:pt>
                  <c:pt idx="66">
                    <c:v>June 2024</c:v>
                  </c:pt>
                  <c:pt idx="67">
                    <c:v>July 2024</c:v>
                  </c:pt>
                  <c:pt idx="68">
                    <c:v>August 2024</c:v>
                  </c:pt>
                  <c:pt idx="69">
                    <c:v>September 2024</c:v>
                  </c:pt>
                  <c:pt idx="70">
                    <c:v>October 2024</c:v>
                  </c:pt>
                  <c:pt idx="71">
                    <c:v>November 2024</c:v>
                  </c:pt>
                  <c:pt idx="72">
                    <c:v>December 2024</c:v>
                  </c:pt>
                  <c:pt idx="73">
                    <c:v>January 2025</c:v>
                  </c:pt>
                  <c:pt idx="74">
                    <c:v>February 2025</c:v>
                  </c:pt>
                  <c:pt idx="75">
                    <c:v>March 2025</c:v>
                  </c:pt>
                  <c:pt idx="76">
                    <c:v>April 2025</c:v>
                  </c:pt>
                  <c:pt idx="77">
                    <c:v>May 2025</c:v>
                  </c:pt>
                  <c:pt idx="78">
                    <c:v>June 2025</c:v>
                  </c:pt>
                  <c:pt idx="79">
                    <c:v>July 2025</c:v>
                  </c:pt>
                  <c:pt idx="80">
                    <c:v>August 2025</c:v>
                  </c:pt>
                  <c:pt idx="81">
                    <c:v>September 2025</c:v>
                  </c:pt>
                  <c:pt idx="82">
                    <c:v>October 2025</c:v>
                  </c:pt>
                  <c:pt idx="83">
                    <c:v>November 2025</c:v>
                  </c:pt>
                  <c:pt idx="84">
                    <c:v>December 2025</c:v>
                  </c:pt>
                  <c:pt idx="85">
                    <c:v>January 2026</c:v>
                  </c:pt>
                  <c:pt idx="86">
                    <c:v>February 2026</c:v>
                  </c:pt>
                  <c:pt idx="87">
                    <c:v>March 2026</c:v>
                  </c:pt>
                  <c:pt idx="88">
                    <c:v>April 2026</c:v>
                  </c:pt>
                  <c:pt idx="89">
                    <c:v>May 2026</c:v>
                  </c:pt>
                  <c:pt idx="90">
                    <c:v>June 2026</c:v>
                  </c:pt>
                  <c:pt idx="91">
                    <c:v>July 2026</c:v>
                  </c:pt>
                  <c:pt idx="92">
                    <c:v>August 2026</c:v>
                  </c:pt>
                  <c:pt idx="93">
                    <c:v>September 2026</c:v>
                  </c:pt>
                  <c:pt idx="94">
                    <c:v>October 2026</c:v>
                  </c:pt>
                  <c:pt idx="95">
                    <c:v>November 2026</c:v>
                  </c:pt>
                  <c:pt idx="96">
                    <c:v>December 2026</c:v>
                  </c:pt>
                  <c:pt idx="97">
                    <c:v>January 2027</c:v>
                  </c:pt>
                  <c:pt idx="98">
                    <c:v>February 2027</c:v>
                  </c:pt>
                  <c:pt idx="99">
                    <c:v>March 2027</c:v>
                  </c:pt>
                  <c:pt idx="100">
                    <c:v>April 2027</c:v>
                  </c:pt>
                  <c:pt idx="101">
                    <c:v>May 2027</c:v>
                  </c:pt>
                  <c:pt idx="102">
                    <c:v>June 2027</c:v>
                  </c:pt>
                  <c:pt idx="103">
                    <c:v>July 2027</c:v>
                  </c:pt>
                  <c:pt idx="104">
                    <c:v>August 2027</c:v>
                  </c:pt>
                  <c:pt idx="105">
                    <c:v>September 2027</c:v>
                  </c:pt>
                  <c:pt idx="106">
                    <c:v>October 2027</c:v>
                  </c:pt>
                  <c:pt idx="107">
                    <c:v>November 2027</c:v>
                  </c:pt>
                  <c:pt idx="108">
                    <c:v>December 2027</c:v>
                  </c:pt>
                  <c:pt idx="109">
                    <c:v>January 2028</c:v>
                  </c:pt>
                  <c:pt idx="110">
                    <c:v>February 2028</c:v>
                  </c:pt>
                  <c:pt idx="111">
                    <c:v>March 2028</c:v>
                  </c:pt>
                  <c:pt idx="112">
                    <c:v>April 2028</c:v>
                  </c:pt>
                  <c:pt idx="113">
                    <c:v>May 2028</c:v>
                  </c:pt>
                  <c:pt idx="114">
                    <c:v>June 2028</c:v>
                  </c:pt>
                  <c:pt idx="115">
                    <c:v>July 2028</c:v>
                  </c:pt>
                  <c:pt idx="116">
                    <c:v>August 2028</c:v>
                  </c:pt>
                  <c:pt idx="117">
                    <c:v>September 2028</c:v>
                  </c:pt>
                  <c:pt idx="118">
                    <c:v>October 2028</c:v>
                  </c:pt>
                  <c:pt idx="119">
                    <c:v>November 2028</c:v>
                  </c:pt>
                  <c:pt idx="120">
                    <c:v>December 2028</c:v>
                  </c:pt>
                  <c:pt idx="121">
                    <c:v>January 2029</c:v>
                  </c:pt>
                  <c:pt idx="122">
                    <c:v>February 2029</c:v>
                  </c:pt>
                  <c:pt idx="123">
                    <c:v>March 2029</c:v>
                  </c:pt>
                  <c:pt idx="124">
                    <c:v>April 2029</c:v>
                  </c:pt>
                  <c:pt idx="125">
                    <c:v>May 2029</c:v>
                  </c:pt>
                  <c:pt idx="126">
                    <c:v>June 2029</c:v>
                  </c:pt>
                  <c:pt idx="127">
                    <c:v>July 2029</c:v>
                  </c:pt>
                  <c:pt idx="128">
                    <c:v>August 2029</c:v>
                  </c:pt>
                  <c:pt idx="129">
                    <c:v>September 2029</c:v>
                  </c:pt>
                  <c:pt idx="130">
                    <c:v>October 2029</c:v>
                  </c:pt>
                  <c:pt idx="131">
                    <c:v>November 2029</c:v>
                  </c:pt>
                  <c:pt idx="132">
                    <c:v>December 2029</c:v>
                  </c:pt>
                  <c:pt idx="133">
                    <c:v>January 2030</c:v>
                  </c:pt>
                  <c:pt idx="134">
                    <c:v>February 2030</c:v>
                  </c:pt>
                  <c:pt idx="135">
                    <c:v>March 2030</c:v>
                  </c:pt>
                  <c:pt idx="136">
                    <c:v>April 2030</c:v>
                  </c:pt>
                  <c:pt idx="137">
                    <c:v>May 2030</c:v>
                  </c:pt>
                  <c:pt idx="138">
                    <c:v>June 2030</c:v>
                  </c:pt>
                  <c:pt idx="139">
                    <c:v>July 2030</c:v>
                  </c:pt>
                  <c:pt idx="140">
                    <c:v>August 2030</c:v>
                  </c:pt>
                  <c:pt idx="141">
                    <c:v>September 2030</c:v>
                  </c:pt>
                  <c:pt idx="142">
                    <c:v>October 2030</c:v>
                  </c:pt>
                  <c:pt idx="143">
                    <c:v>November 2030</c:v>
                  </c:pt>
                  <c:pt idx="144">
                    <c:v>December 2030</c:v>
                  </c:pt>
                </c:lvl>
                <c:lvl>
                  <c:pt idx="1">
                    <c:v>2019-01-01</c:v>
                  </c:pt>
                  <c:pt idx="2">
                    <c:v>2019-02-01</c:v>
                  </c:pt>
                  <c:pt idx="3">
                    <c:v>2019-03-01</c:v>
                  </c:pt>
                  <c:pt idx="4">
                    <c:v>2019-04-01</c:v>
                  </c:pt>
                  <c:pt idx="5">
                    <c:v>2019-05-01</c:v>
                  </c:pt>
                  <c:pt idx="6">
                    <c:v>2019-06-01</c:v>
                  </c:pt>
                  <c:pt idx="7">
                    <c:v>2019-07-01</c:v>
                  </c:pt>
                  <c:pt idx="8">
                    <c:v>2019-08-01</c:v>
                  </c:pt>
                  <c:pt idx="9">
                    <c:v>2019-09-01</c:v>
                  </c:pt>
                  <c:pt idx="10">
                    <c:v>2019-10-01</c:v>
                  </c:pt>
                  <c:pt idx="11">
                    <c:v>2019-11-01</c:v>
                  </c:pt>
                  <c:pt idx="12">
                    <c:v>2019-12-01</c:v>
                  </c:pt>
                  <c:pt idx="13">
                    <c:v>2020-01-01</c:v>
                  </c:pt>
                  <c:pt idx="14">
                    <c:v>2020-02-01</c:v>
                  </c:pt>
                  <c:pt idx="15">
                    <c:v>2020-03-01</c:v>
                  </c:pt>
                  <c:pt idx="16">
                    <c:v>2020-04-01</c:v>
                  </c:pt>
                  <c:pt idx="17">
                    <c:v>2020-05-01</c:v>
                  </c:pt>
                  <c:pt idx="18">
                    <c:v>2020-06-01</c:v>
                  </c:pt>
                  <c:pt idx="19">
                    <c:v>2020-07-01</c:v>
                  </c:pt>
                  <c:pt idx="20">
                    <c:v>2020-08-01</c:v>
                  </c:pt>
                  <c:pt idx="21">
                    <c:v>2020-09-01</c:v>
                  </c:pt>
                  <c:pt idx="22">
                    <c:v>2020-10-01</c:v>
                  </c:pt>
                  <c:pt idx="23">
                    <c:v>2020-11-01</c:v>
                  </c:pt>
                  <c:pt idx="24">
                    <c:v>2020-12-01</c:v>
                  </c:pt>
                  <c:pt idx="25">
                    <c:v>2021-01-01</c:v>
                  </c:pt>
                  <c:pt idx="26">
                    <c:v>2021-02-01</c:v>
                  </c:pt>
                  <c:pt idx="27">
                    <c:v>2021-03-01</c:v>
                  </c:pt>
                  <c:pt idx="28">
                    <c:v>2021-04-01</c:v>
                  </c:pt>
                  <c:pt idx="29">
                    <c:v>2021-05-01</c:v>
                  </c:pt>
                  <c:pt idx="30">
                    <c:v>2021-06-01</c:v>
                  </c:pt>
                  <c:pt idx="31">
                    <c:v>2021-07-01</c:v>
                  </c:pt>
                  <c:pt idx="32">
                    <c:v>2021-08-01</c:v>
                  </c:pt>
                  <c:pt idx="33">
                    <c:v>2021-09-01</c:v>
                  </c:pt>
                  <c:pt idx="34">
                    <c:v>2021-10-01</c:v>
                  </c:pt>
                  <c:pt idx="35">
                    <c:v>2021-11-01</c:v>
                  </c:pt>
                  <c:pt idx="36">
                    <c:v>2021-12-01</c:v>
                  </c:pt>
                  <c:pt idx="37">
                    <c:v>2022-01-01</c:v>
                  </c:pt>
                  <c:pt idx="38">
                    <c:v>2022-02-01</c:v>
                  </c:pt>
                  <c:pt idx="39">
                    <c:v>2022-03-01</c:v>
                  </c:pt>
                  <c:pt idx="40">
                    <c:v>2022-04-01</c:v>
                  </c:pt>
                  <c:pt idx="41">
                    <c:v>2022-05-01</c:v>
                  </c:pt>
                  <c:pt idx="42">
                    <c:v>2022-06-01</c:v>
                  </c:pt>
                  <c:pt idx="43">
                    <c:v>2022-07-01</c:v>
                  </c:pt>
                  <c:pt idx="44">
                    <c:v>2022-08-01</c:v>
                  </c:pt>
                  <c:pt idx="45">
                    <c:v>2022-09-01</c:v>
                  </c:pt>
                  <c:pt idx="46">
                    <c:v>2022-10-01</c:v>
                  </c:pt>
                  <c:pt idx="47">
                    <c:v>2022-11-01</c:v>
                  </c:pt>
                  <c:pt idx="48">
                    <c:v>2022-12-01</c:v>
                  </c:pt>
                  <c:pt idx="49">
                    <c:v>2023-01-01</c:v>
                  </c:pt>
                  <c:pt idx="50">
                    <c:v>2023-02-01</c:v>
                  </c:pt>
                  <c:pt idx="51">
                    <c:v>2023-03-01</c:v>
                  </c:pt>
                  <c:pt idx="52">
                    <c:v>2023-04-01</c:v>
                  </c:pt>
                  <c:pt idx="53">
                    <c:v>2023-05-01</c:v>
                  </c:pt>
                  <c:pt idx="54">
                    <c:v>2023-06-01</c:v>
                  </c:pt>
                  <c:pt idx="55">
                    <c:v>2023-07-01</c:v>
                  </c:pt>
                  <c:pt idx="56">
                    <c:v>2023-08-01</c:v>
                  </c:pt>
                  <c:pt idx="57">
                    <c:v>2023-09-01</c:v>
                  </c:pt>
                  <c:pt idx="58">
                    <c:v>2023-10-01</c:v>
                  </c:pt>
                  <c:pt idx="59">
                    <c:v>2023-11-01</c:v>
                  </c:pt>
                  <c:pt idx="60">
                    <c:v>2023-12-01</c:v>
                  </c:pt>
                  <c:pt idx="61">
                    <c:v>2024-01-01</c:v>
                  </c:pt>
                  <c:pt idx="62">
                    <c:v>2024-02-01</c:v>
                  </c:pt>
                  <c:pt idx="63">
                    <c:v>2024-03-01</c:v>
                  </c:pt>
                  <c:pt idx="64">
                    <c:v>2024-04-01</c:v>
                  </c:pt>
                  <c:pt idx="65">
                    <c:v>2024-05-01</c:v>
                  </c:pt>
                  <c:pt idx="66">
                    <c:v>2024-06-01</c:v>
                  </c:pt>
                  <c:pt idx="67">
                    <c:v>2024-07-01</c:v>
                  </c:pt>
                  <c:pt idx="68">
                    <c:v>2024-08-01</c:v>
                  </c:pt>
                  <c:pt idx="69">
                    <c:v>2024-09-01</c:v>
                  </c:pt>
                  <c:pt idx="70">
                    <c:v>2024-10-01</c:v>
                  </c:pt>
                  <c:pt idx="71">
                    <c:v>2024-11-01</c:v>
                  </c:pt>
                  <c:pt idx="72">
                    <c:v>2024-12-01</c:v>
                  </c:pt>
                  <c:pt idx="73">
                    <c:v>2025-01-01</c:v>
                  </c:pt>
                  <c:pt idx="74">
                    <c:v>2025-02-01</c:v>
                  </c:pt>
                  <c:pt idx="75">
                    <c:v>2025-03-01</c:v>
                  </c:pt>
                  <c:pt idx="76">
                    <c:v>2025-04-01</c:v>
                  </c:pt>
                  <c:pt idx="77">
                    <c:v>2025-05-01</c:v>
                  </c:pt>
                  <c:pt idx="78">
                    <c:v>2025-06-01</c:v>
                  </c:pt>
                  <c:pt idx="79">
                    <c:v>2025-07-01</c:v>
                  </c:pt>
                  <c:pt idx="80">
                    <c:v>2025-08-01</c:v>
                  </c:pt>
                  <c:pt idx="81">
                    <c:v>2025-09-01</c:v>
                  </c:pt>
                  <c:pt idx="82">
                    <c:v>2025-10-01</c:v>
                  </c:pt>
                  <c:pt idx="83">
                    <c:v>2025-11-01</c:v>
                  </c:pt>
                  <c:pt idx="84">
                    <c:v>2025-12-01</c:v>
                  </c:pt>
                  <c:pt idx="85">
                    <c:v>2026-01-01</c:v>
                  </c:pt>
                  <c:pt idx="86">
                    <c:v>2026-02-01</c:v>
                  </c:pt>
                  <c:pt idx="87">
                    <c:v>2026-03-01</c:v>
                  </c:pt>
                  <c:pt idx="88">
                    <c:v>2026-04-01</c:v>
                  </c:pt>
                  <c:pt idx="89">
                    <c:v>2026-05-01</c:v>
                  </c:pt>
                  <c:pt idx="90">
                    <c:v>2026-06-01</c:v>
                  </c:pt>
                  <c:pt idx="91">
                    <c:v>2026-07-01</c:v>
                  </c:pt>
                  <c:pt idx="92">
                    <c:v>2026-08-01</c:v>
                  </c:pt>
                  <c:pt idx="93">
                    <c:v>2026-09-01</c:v>
                  </c:pt>
                  <c:pt idx="94">
                    <c:v>2026-10-01</c:v>
                  </c:pt>
                  <c:pt idx="95">
                    <c:v>2026-11-01</c:v>
                  </c:pt>
                  <c:pt idx="96">
                    <c:v>2026-12-01</c:v>
                  </c:pt>
                  <c:pt idx="97">
                    <c:v>2027-01-01</c:v>
                  </c:pt>
                  <c:pt idx="98">
                    <c:v>2027-02-01</c:v>
                  </c:pt>
                  <c:pt idx="99">
                    <c:v>2027-03-01</c:v>
                  </c:pt>
                  <c:pt idx="100">
                    <c:v>2027-04-01</c:v>
                  </c:pt>
                  <c:pt idx="101">
                    <c:v>2027-05-01</c:v>
                  </c:pt>
                  <c:pt idx="102">
                    <c:v>2027-06-01</c:v>
                  </c:pt>
                  <c:pt idx="103">
                    <c:v>2027-07-01</c:v>
                  </c:pt>
                  <c:pt idx="104">
                    <c:v>2027-08-01</c:v>
                  </c:pt>
                  <c:pt idx="105">
                    <c:v>2027-09-01</c:v>
                  </c:pt>
                  <c:pt idx="106">
                    <c:v>2027-10-01</c:v>
                  </c:pt>
                  <c:pt idx="107">
                    <c:v>2027-11-01</c:v>
                  </c:pt>
                  <c:pt idx="108">
                    <c:v>2027-12-01</c:v>
                  </c:pt>
                  <c:pt idx="109">
                    <c:v>2028-01-01</c:v>
                  </c:pt>
                  <c:pt idx="110">
                    <c:v>2028-02-01</c:v>
                  </c:pt>
                  <c:pt idx="111">
                    <c:v>2028-03-01</c:v>
                  </c:pt>
                  <c:pt idx="112">
                    <c:v>2028-04-01</c:v>
                  </c:pt>
                  <c:pt idx="113">
                    <c:v>2028-05-01</c:v>
                  </c:pt>
                  <c:pt idx="114">
                    <c:v>2028-06-01</c:v>
                  </c:pt>
                  <c:pt idx="115">
                    <c:v>2028-07-01</c:v>
                  </c:pt>
                  <c:pt idx="116">
                    <c:v>2028-08-01</c:v>
                  </c:pt>
                  <c:pt idx="117">
                    <c:v>2028-09-01</c:v>
                  </c:pt>
                  <c:pt idx="118">
                    <c:v>2028-10-01</c:v>
                  </c:pt>
                  <c:pt idx="119">
                    <c:v>2028-11-01</c:v>
                  </c:pt>
                  <c:pt idx="120">
                    <c:v>2028-12-01</c:v>
                  </c:pt>
                  <c:pt idx="121">
                    <c:v>2029-01-01</c:v>
                  </c:pt>
                  <c:pt idx="122">
                    <c:v>2029-02-01</c:v>
                  </c:pt>
                  <c:pt idx="123">
                    <c:v>2029-03-01</c:v>
                  </c:pt>
                  <c:pt idx="124">
                    <c:v>2029-04-01</c:v>
                  </c:pt>
                  <c:pt idx="125">
                    <c:v>2029-05-01</c:v>
                  </c:pt>
                  <c:pt idx="126">
                    <c:v>2029-06-01</c:v>
                  </c:pt>
                  <c:pt idx="127">
                    <c:v>2029-07-01</c:v>
                  </c:pt>
                  <c:pt idx="128">
                    <c:v>2029-08-01</c:v>
                  </c:pt>
                  <c:pt idx="129">
                    <c:v>2029-09-01</c:v>
                  </c:pt>
                  <c:pt idx="130">
                    <c:v>2029-10-01</c:v>
                  </c:pt>
                  <c:pt idx="131">
                    <c:v>2029-11-01</c:v>
                  </c:pt>
                  <c:pt idx="132">
                    <c:v>2029-12-01</c:v>
                  </c:pt>
                  <c:pt idx="133">
                    <c:v>2030-01-01</c:v>
                  </c:pt>
                  <c:pt idx="134">
                    <c:v>2030-02-01</c:v>
                  </c:pt>
                  <c:pt idx="135">
                    <c:v>2030-03-01</c:v>
                  </c:pt>
                  <c:pt idx="136">
                    <c:v>2030-04-01</c:v>
                  </c:pt>
                  <c:pt idx="137">
                    <c:v>2030-05-01</c:v>
                  </c:pt>
                  <c:pt idx="138">
                    <c:v>2030-06-01</c:v>
                  </c:pt>
                  <c:pt idx="139">
                    <c:v>2030-07-01</c:v>
                  </c:pt>
                  <c:pt idx="140">
                    <c:v>2030-08-01</c:v>
                  </c:pt>
                  <c:pt idx="141">
                    <c:v>2030-09-01</c:v>
                  </c:pt>
                  <c:pt idx="142">
                    <c:v>2030-10-01</c:v>
                  </c:pt>
                  <c:pt idx="143">
                    <c:v>2030-11-01</c:v>
                  </c:pt>
                  <c:pt idx="144">
                    <c:v>2030-12-01</c:v>
                  </c:pt>
                </c:lvl>
              </c:multiLvlStrCache>
            </c:multiLvlStrRef>
          </c:cat>
          <c:val>
            <c:numRef>
              <c:f>Overview!$D$3:$D$147</c:f>
              <c:numCache>
                <c:formatCode>_("$"* #,##0.00_);_("$"* \(#,##0.00\);_("$"* "-"??_);_(@_)</c:formatCode>
                <c:ptCount val="145"/>
                <c:pt idx="1">
                  <c:v>-123.97999999999999</c:v>
                </c:pt>
                <c:pt idx="2">
                  <c:v>-230.95999999999998</c:v>
                </c:pt>
                <c:pt idx="3">
                  <c:v>-281.78000000000003</c:v>
                </c:pt>
                <c:pt idx="4">
                  <c:v>-332.09</c:v>
                </c:pt>
                <c:pt idx="5">
                  <c:v>-386.34000000000003</c:v>
                </c:pt>
                <c:pt idx="6">
                  <c:v>-342.06</c:v>
                </c:pt>
                <c:pt idx="7">
                  <c:v>-594.07000000000005</c:v>
                </c:pt>
                <c:pt idx="8">
                  <c:v>-534.89000000000033</c:v>
                </c:pt>
                <c:pt idx="9">
                  <c:v>-456.72000000000008</c:v>
                </c:pt>
                <c:pt idx="10">
                  <c:v>-428.81999999999994</c:v>
                </c:pt>
                <c:pt idx="11">
                  <c:v>-409.80000000000013</c:v>
                </c:pt>
                <c:pt idx="12">
                  <c:v>-439.61</c:v>
                </c:pt>
                <c:pt idx="13">
                  <c:v>-392.15000000000009</c:v>
                </c:pt>
                <c:pt idx="14">
                  <c:v>-413.49</c:v>
                </c:pt>
                <c:pt idx="15">
                  <c:v>-374.51</c:v>
                </c:pt>
                <c:pt idx="16">
                  <c:v>-296.35000000000002</c:v>
                </c:pt>
                <c:pt idx="17">
                  <c:v>-671.73</c:v>
                </c:pt>
                <c:pt idx="18">
                  <c:v>-855.1099999999999</c:v>
                </c:pt>
                <c:pt idx="19">
                  <c:v>-1296.9500000000003</c:v>
                </c:pt>
                <c:pt idx="20">
                  <c:v>-1159.8500000000001</c:v>
                </c:pt>
                <c:pt idx="21">
                  <c:v>-398.75999999999993</c:v>
                </c:pt>
                <c:pt idx="22">
                  <c:v>-608.26</c:v>
                </c:pt>
                <c:pt idx="23">
                  <c:v>-399.38999999999993</c:v>
                </c:pt>
                <c:pt idx="24">
                  <c:v>-592.25999999999988</c:v>
                </c:pt>
                <c:pt idx="25">
                  <c:v>-983.58000000000015</c:v>
                </c:pt>
                <c:pt idx="26">
                  <c:v>-494.28000000000003</c:v>
                </c:pt>
                <c:pt idx="27">
                  <c:v>-559.31999999999982</c:v>
                </c:pt>
                <c:pt idx="28">
                  <c:v>-666.47000000000014</c:v>
                </c:pt>
                <c:pt idx="29">
                  <c:v>-1054.1099999999999</c:v>
                </c:pt>
                <c:pt idx="30">
                  <c:v>-833.3</c:v>
                </c:pt>
                <c:pt idx="31">
                  <c:v>-744.39999999999986</c:v>
                </c:pt>
                <c:pt idx="32">
                  <c:v>-1224.3999999999999</c:v>
                </c:pt>
                <c:pt idx="33">
                  <c:v>-1017.3900000000001</c:v>
                </c:pt>
                <c:pt idx="34">
                  <c:v>-819.47</c:v>
                </c:pt>
                <c:pt idx="35">
                  <c:v>-979.48000000000013</c:v>
                </c:pt>
                <c:pt idx="36">
                  <c:v>-1184.2899999999991</c:v>
                </c:pt>
                <c:pt idx="37">
                  <c:v>-1267.0099999999998</c:v>
                </c:pt>
                <c:pt idx="38">
                  <c:v>-1113.01</c:v>
                </c:pt>
                <c:pt idx="39">
                  <c:v>-704.78</c:v>
                </c:pt>
                <c:pt idx="40">
                  <c:v>-652.78</c:v>
                </c:pt>
                <c:pt idx="41">
                  <c:v>-796.75</c:v>
                </c:pt>
                <c:pt idx="42">
                  <c:v>-984.36</c:v>
                </c:pt>
                <c:pt idx="43">
                  <c:v>-1085.7899999999995</c:v>
                </c:pt>
                <c:pt idx="44">
                  <c:v>-979.52000000000032</c:v>
                </c:pt>
                <c:pt idx="45">
                  <c:v>-995.21999999999991</c:v>
                </c:pt>
                <c:pt idx="46">
                  <c:v>-944.42999999999984</c:v>
                </c:pt>
                <c:pt idx="47">
                  <c:v>-780.34</c:v>
                </c:pt>
                <c:pt idx="48">
                  <c:v>-682.61000000000024</c:v>
                </c:pt>
                <c:pt idx="49">
                  <c:v>-571.81999999999994</c:v>
                </c:pt>
                <c:pt idx="50">
                  <c:v>-1410.7199999999993</c:v>
                </c:pt>
                <c:pt idx="51">
                  <c:v>-1829.7000000000005</c:v>
                </c:pt>
                <c:pt idx="52">
                  <c:v>-1249.4799999999993</c:v>
                </c:pt>
                <c:pt idx="53">
                  <c:v>-1854.7299999999989</c:v>
                </c:pt>
                <c:pt idx="54">
                  <c:v>-1518.6</c:v>
                </c:pt>
                <c:pt idx="55">
                  <c:v>-1145.8400000000001</c:v>
                </c:pt>
                <c:pt idx="56">
                  <c:v>-1941.86</c:v>
                </c:pt>
                <c:pt idx="57">
                  <c:v>-1020.21</c:v>
                </c:pt>
                <c:pt idx="58">
                  <c:v>-1252.03</c:v>
                </c:pt>
                <c:pt idx="59">
                  <c:v>-1189.47</c:v>
                </c:pt>
                <c:pt idx="60">
                  <c:v>-1272.6600000000003</c:v>
                </c:pt>
                <c:pt idx="61">
                  <c:v>-822.77</c:v>
                </c:pt>
                <c:pt idx="62">
                  <c:v>-398.68999999999994</c:v>
                </c:pt>
                <c:pt idx="63">
                  <c:v>-1888.28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Overview!$E$2</c:f>
              <c:strCache>
                <c:ptCount val="1"/>
                <c:pt idx="0">
                  <c:v>Bills</c:v>
                </c:pt>
              </c:strCache>
            </c:strRef>
          </c:tx>
          <c:marker>
            <c:symbol val="none"/>
          </c:marker>
          <c:cat>
            <c:multiLvlStrRef>
              <c:f>Overview!$A$3:$B$147</c:f>
              <c:multiLvlStrCache>
                <c:ptCount val="145"/>
                <c:lvl>
                  <c:pt idx="1">
                    <c:v>January 2019</c:v>
                  </c:pt>
                  <c:pt idx="2">
                    <c:v>February 2019</c:v>
                  </c:pt>
                  <c:pt idx="3">
                    <c:v>March 2019</c:v>
                  </c:pt>
                  <c:pt idx="4">
                    <c:v>April 2019</c:v>
                  </c:pt>
                  <c:pt idx="5">
                    <c:v>May 2019</c:v>
                  </c:pt>
                  <c:pt idx="6">
                    <c:v>June 2019</c:v>
                  </c:pt>
                  <c:pt idx="7">
                    <c:v>July 2019</c:v>
                  </c:pt>
                  <c:pt idx="8">
                    <c:v>August 2019</c:v>
                  </c:pt>
                  <c:pt idx="9">
                    <c:v>September 2019</c:v>
                  </c:pt>
                  <c:pt idx="10">
                    <c:v>October 2019</c:v>
                  </c:pt>
                  <c:pt idx="11">
                    <c:v>November 2019</c:v>
                  </c:pt>
                  <c:pt idx="12">
                    <c:v>December 2019</c:v>
                  </c:pt>
                  <c:pt idx="13">
                    <c:v>January 2020</c:v>
                  </c:pt>
                  <c:pt idx="14">
                    <c:v>February 2020</c:v>
                  </c:pt>
                  <c:pt idx="15">
                    <c:v>March 2020</c:v>
                  </c:pt>
                  <c:pt idx="16">
                    <c:v>April 2020</c:v>
                  </c:pt>
                  <c:pt idx="17">
                    <c:v>May 2020</c:v>
                  </c:pt>
                  <c:pt idx="18">
                    <c:v>June 2020</c:v>
                  </c:pt>
                  <c:pt idx="19">
                    <c:v>July 2020</c:v>
                  </c:pt>
                  <c:pt idx="20">
                    <c:v>August 2020</c:v>
                  </c:pt>
                  <c:pt idx="21">
                    <c:v>September 2020</c:v>
                  </c:pt>
                  <c:pt idx="22">
                    <c:v>October 2020</c:v>
                  </c:pt>
                  <c:pt idx="23">
                    <c:v>November 2020</c:v>
                  </c:pt>
                  <c:pt idx="24">
                    <c:v>December 2020</c:v>
                  </c:pt>
                  <c:pt idx="25">
                    <c:v>January 2021</c:v>
                  </c:pt>
                  <c:pt idx="26">
                    <c:v>February 2021</c:v>
                  </c:pt>
                  <c:pt idx="27">
                    <c:v>March 2021</c:v>
                  </c:pt>
                  <c:pt idx="28">
                    <c:v>April 2021</c:v>
                  </c:pt>
                  <c:pt idx="29">
                    <c:v>May 2021</c:v>
                  </c:pt>
                  <c:pt idx="30">
                    <c:v>June 2021</c:v>
                  </c:pt>
                  <c:pt idx="31">
                    <c:v>July 2021</c:v>
                  </c:pt>
                  <c:pt idx="32">
                    <c:v>August 2021</c:v>
                  </c:pt>
                  <c:pt idx="33">
                    <c:v>September 2021</c:v>
                  </c:pt>
                  <c:pt idx="34">
                    <c:v>October 2021</c:v>
                  </c:pt>
                  <c:pt idx="35">
                    <c:v>November 2021</c:v>
                  </c:pt>
                  <c:pt idx="36">
                    <c:v>December 2021</c:v>
                  </c:pt>
                  <c:pt idx="37">
                    <c:v>January 2022</c:v>
                  </c:pt>
                  <c:pt idx="38">
                    <c:v>February 2022</c:v>
                  </c:pt>
                  <c:pt idx="39">
                    <c:v>March 2022</c:v>
                  </c:pt>
                  <c:pt idx="40">
                    <c:v>April 2022</c:v>
                  </c:pt>
                  <c:pt idx="41">
                    <c:v>May 2022</c:v>
                  </c:pt>
                  <c:pt idx="42">
                    <c:v>June 2022</c:v>
                  </c:pt>
                  <c:pt idx="43">
                    <c:v>July 2022</c:v>
                  </c:pt>
                  <c:pt idx="44">
                    <c:v>August 2022</c:v>
                  </c:pt>
                  <c:pt idx="45">
                    <c:v>September 2022</c:v>
                  </c:pt>
                  <c:pt idx="46">
                    <c:v>October 2022</c:v>
                  </c:pt>
                  <c:pt idx="47">
                    <c:v>November 2022</c:v>
                  </c:pt>
                  <c:pt idx="48">
                    <c:v>December 2022</c:v>
                  </c:pt>
                  <c:pt idx="49">
                    <c:v>January 2023</c:v>
                  </c:pt>
                  <c:pt idx="50">
                    <c:v>February 2023</c:v>
                  </c:pt>
                  <c:pt idx="51">
                    <c:v>March 2023</c:v>
                  </c:pt>
                  <c:pt idx="52">
                    <c:v>April 2023</c:v>
                  </c:pt>
                  <c:pt idx="53">
                    <c:v>May 2023</c:v>
                  </c:pt>
                  <c:pt idx="54">
                    <c:v>June 2023</c:v>
                  </c:pt>
                  <c:pt idx="55">
                    <c:v>July 2023</c:v>
                  </c:pt>
                  <c:pt idx="56">
                    <c:v>August 2023</c:v>
                  </c:pt>
                  <c:pt idx="57">
                    <c:v>September 2023</c:v>
                  </c:pt>
                  <c:pt idx="58">
                    <c:v>October 2023</c:v>
                  </c:pt>
                  <c:pt idx="59">
                    <c:v>November 2023</c:v>
                  </c:pt>
                  <c:pt idx="60">
                    <c:v>December 2023</c:v>
                  </c:pt>
                  <c:pt idx="61">
                    <c:v>January 2024</c:v>
                  </c:pt>
                  <c:pt idx="62">
                    <c:v>February 2024</c:v>
                  </c:pt>
                  <c:pt idx="63">
                    <c:v>March 2024</c:v>
                  </c:pt>
                  <c:pt idx="64">
                    <c:v>April 2024</c:v>
                  </c:pt>
                  <c:pt idx="65">
                    <c:v>May 2024</c:v>
                  </c:pt>
                  <c:pt idx="66">
                    <c:v>June 2024</c:v>
                  </c:pt>
                  <c:pt idx="67">
                    <c:v>July 2024</c:v>
                  </c:pt>
                  <c:pt idx="68">
                    <c:v>August 2024</c:v>
                  </c:pt>
                  <c:pt idx="69">
                    <c:v>September 2024</c:v>
                  </c:pt>
                  <c:pt idx="70">
                    <c:v>October 2024</c:v>
                  </c:pt>
                  <c:pt idx="71">
                    <c:v>November 2024</c:v>
                  </c:pt>
                  <c:pt idx="72">
                    <c:v>December 2024</c:v>
                  </c:pt>
                  <c:pt idx="73">
                    <c:v>January 2025</c:v>
                  </c:pt>
                  <c:pt idx="74">
                    <c:v>February 2025</c:v>
                  </c:pt>
                  <c:pt idx="75">
                    <c:v>March 2025</c:v>
                  </c:pt>
                  <c:pt idx="76">
                    <c:v>April 2025</c:v>
                  </c:pt>
                  <c:pt idx="77">
                    <c:v>May 2025</c:v>
                  </c:pt>
                  <c:pt idx="78">
                    <c:v>June 2025</c:v>
                  </c:pt>
                  <c:pt idx="79">
                    <c:v>July 2025</c:v>
                  </c:pt>
                  <c:pt idx="80">
                    <c:v>August 2025</c:v>
                  </c:pt>
                  <c:pt idx="81">
                    <c:v>September 2025</c:v>
                  </c:pt>
                  <c:pt idx="82">
                    <c:v>October 2025</c:v>
                  </c:pt>
                  <c:pt idx="83">
                    <c:v>November 2025</c:v>
                  </c:pt>
                  <c:pt idx="84">
                    <c:v>December 2025</c:v>
                  </c:pt>
                  <c:pt idx="85">
                    <c:v>January 2026</c:v>
                  </c:pt>
                  <c:pt idx="86">
                    <c:v>February 2026</c:v>
                  </c:pt>
                  <c:pt idx="87">
                    <c:v>March 2026</c:v>
                  </c:pt>
                  <c:pt idx="88">
                    <c:v>April 2026</c:v>
                  </c:pt>
                  <c:pt idx="89">
                    <c:v>May 2026</c:v>
                  </c:pt>
                  <c:pt idx="90">
                    <c:v>June 2026</c:v>
                  </c:pt>
                  <c:pt idx="91">
                    <c:v>July 2026</c:v>
                  </c:pt>
                  <c:pt idx="92">
                    <c:v>August 2026</c:v>
                  </c:pt>
                  <c:pt idx="93">
                    <c:v>September 2026</c:v>
                  </c:pt>
                  <c:pt idx="94">
                    <c:v>October 2026</c:v>
                  </c:pt>
                  <c:pt idx="95">
                    <c:v>November 2026</c:v>
                  </c:pt>
                  <c:pt idx="96">
                    <c:v>December 2026</c:v>
                  </c:pt>
                  <c:pt idx="97">
                    <c:v>January 2027</c:v>
                  </c:pt>
                  <c:pt idx="98">
                    <c:v>February 2027</c:v>
                  </c:pt>
                  <c:pt idx="99">
                    <c:v>March 2027</c:v>
                  </c:pt>
                  <c:pt idx="100">
                    <c:v>April 2027</c:v>
                  </c:pt>
                  <c:pt idx="101">
                    <c:v>May 2027</c:v>
                  </c:pt>
                  <c:pt idx="102">
                    <c:v>June 2027</c:v>
                  </c:pt>
                  <c:pt idx="103">
                    <c:v>July 2027</c:v>
                  </c:pt>
                  <c:pt idx="104">
                    <c:v>August 2027</c:v>
                  </c:pt>
                  <c:pt idx="105">
                    <c:v>September 2027</c:v>
                  </c:pt>
                  <c:pt idx="106">
                    <c:v>October 2027</c:v>
                  </c:pt>
                  <c:pt idx="107">
                    <c:v>November 2027</c:v>
                  </c:pt>
                  <c:pt idx="108">
                    <c:v>December 2027</c:v>
                  </c:pt>
                  <c:pt idx="109">
                    <c:v>January 2028</c:v>
                  </c:pt>
                  <c:pt idx="110">
                    <c:v>February 2028</c:v>
                  </c:pt>
                  <c:pt idx="111">
                    <c:v>March 2028</c:v>
                  </c:pt>
                  <c:pt idx="112">
                    <c:v>April 2028</c:v>
                  </c:pt>
                  <c:pt idx="113">
                    <c:v>May 2028</c:v>
                  </c:pt>
                  <c:pt idx="114">
                    <c:v>June 2028</c:v>
                  </c:pt>
                  <c:pt idx="115">
                    <c:v>July 2028</c:v>
                  </c:pt>
                  <c:pt idx="116">
                    <c:v>August 2028</c:v>
                  </c:pt>
                  <c:pt idx="117">
                    <c:v>September 2028</c:v>
                  </c:pt>
                  <c:pt idx="118">
                    <c:v>October 2028</c:v>
                  </c:pt>
                  <c:pt idx="119">
                    <c:v>November 2028</c:v>
                  </c:pt>
                  <c:pt idx="120">
                    <c:v>December 2028</c:v>
                  </c:pt>
                  <c:pt idx="121">
                    <c:v>January 2029</c:v>
                  </c:pt>
                  <c:pt idx="122">
                    <c:v>February 2029</c:v>
                  </c:pt>
                  <c:pt idx="123">
                    <c:v>March 2029</c:v>
                  </c:pt>
                  <c:pt idx="124">
                    <c:v>April 2029</c:v>
                  </c:pt>
                  <c:pt idx="125">
                    <c:v>May 2029</c:v>
                  </c:pt>
                  <c:pt idx="126">
                    <c:v>June 2029</c:v>
                  </c:pt>
                  <c:pt idx="127">
                    <c:v>July 2029</c:v>
                  </c:pt>
                  <c:pt idx="128">
                    <c:v>August 2029</c:v>
                  </c:pt>
                  <c:pt idx="129">
                    <c:v>September 2029</c:v>
                  </c:pt>
                  <c:pt idx="130">
                    <c:v>October 2029</c:v>
                  </c:pt>
                  <c:pt idx="131">
                    <c:v>November 2029</c:v>
                  </c:pt>
                  <c:pt idx="132">
                    <c:v>December 2029</c:v>
                  </c:pt>
                  <c:pt idx="133">
                    <c:v>January 2030</c:v>
                  </c:pt>
                  <c:pt idx="134">
                    <c:v>February 2030</c:v>
                  </c:pt>
                  <c:pt idx="135">
                    <c:v>March 2030</c:v>
                  </c:pt>
                  <c:pt idx="136">
                    <c:v>April 2030</c:v>
                  </c:pt>
                  <c:pt idx="137">
                    <c:v>May 2030</c:v>
                  </c:pt>
                  <c:pt idx="138">
                    <c:v>June 2030</c:v>
                  </c:pt>
                  <c:pt idx="139">
                    <c:v>July 2030</c:v>
                  </c:pt>
                  <c:pt idx="140">
                    <c:v>August 2030</c:v>
                  </c:pt>
                  <c:pt idx="141">
                    <c:v>September 2030</c:v>
                  </c:pt>
                  <c:pt idx="142">
                    <c:v>October 2030</c:v>
                  </c:pt>
                  <c:pt idx="143">
                    <c:v>November 2030</c:v>
                  </c:pt>
                  <c:pt idx="144">
                    <c:v>December 2030</c:v>
                  </c:pt>
                </c:lvl>
                <c:lvl>
                  <c:pt idx="1">
                    <c:v>2019-01-01</c:v>
                  </c:pt>
                  <c:pt idx="2">
                    <c:v>2019-02-01</c:v>
                  </c:pt>
                  <c:pt idx="3">
                    <c:v>2019-03-01</c:v>
                  </c:pt>
                  <c:pt idx="4">
                    <c:v>2019-04-01</c:v>
                  </c:pt>
                  <c:pt idx="5">
                    <c:v>2019-05-01</c:v>
                  </c:pt>
                  <c:pt idx="6">
                    <c:v>2019-06-01</c:v>
                  </c:pt>
                  <c:pt idx="7">
                    <c:v>2019-07-01</c:v>
                  </c:pt>
                  <c:pt idx="8">
                    <c:v>2019-08-01</c:v>
                  </c:pt>
                  <c:pt idx="9">
                    <c:v>2019-09-01</c:v>
                  </c:pt>
                  <c:pt idx="10">
                    <c:v>2019-10-01</c:v>
                  </c:pt>
                  <c:pt idx="11">
                    <c:v>2019-11-01</c:v>
                  </c:pt>
                  <c:pt idx="12">
                    <c:v>2019-12-01</c:v>
                  </c:pt>
                  <c:pt idx="13">
                    <c:v>2020-01-01</c:v>
                  </c:pt>
                  <c:pt idx="14">
                    <c:v>2020-02-01</c:v>
                  </c:pt>
                  <c:pt idx="15">
                    <c:v>2020-03-01</c:v>
                  </c:pt>
                  <c:pt idx="16">
                    <c:v>2020-04-01</c:v>
                  </c:pt>
                  <c:pt idx="17">
                    <c:v>2020-05-01</c:v>
                  </c:pt>
                  <c:pt idx="18">
                    <c:v>2020-06-01</c:v>
                  </c:pt>
                  <c:pt idx="19">
                    <c:v>2020-07-01</c:v>
                  </c:pt>
                  <c:pt idx="20">
                    <c:v>2020-08-01</c:v>
                  </c:pt>
                  <c:pt idx="21">
                    <c:v>2020-09-01</c:v>
                  </c:pt>
                  <c:pt idx="22">
                    <c:v>2020-10-01</c:v>
                  </c:pt>
                  <c:pt idx="23">
                    <c:v>2020-11-01</c:v>
                  </c:pt>
                  <c:pt idx="24">
                    <c:v>2020-12-01</c:v>
                  </c:pt>
                  <c:pt idx="25">
                    <c:v>2021-01-01</c:v>
                  </c:pt>
                  <c:pt idx="26">
                    <c:v>2021-02-01</c:v>
                  </c:pt>
                  <c:pt idx="27">
                    <c:v>2021-03-01</c:v>
                  </c:pt>
                  <c:pt idx="28">
                    <c:v>2021-04-01</c:v>
                  </c:pt>
                  <c:pt idx="29">
                    <c:v>2021-05-01</c:v>
                  </c:pt>
                  <c:pt idx="30">
                    <c:v>2021-06-01</c:v>
                  </c:pt>
                  <c:pt idx="31">
                    <c:v>2021-07-01</c:v>
                  </c:pt>
                  <c:pt idx="32">
                    <c:v>2021-08-01</c:v>
                  </c:pt>
                  <c:pt idx="33">
                    <c:v>2021-09-01</c:v>
                  </c:pt>
                  <c:pt idx="34">
                    <c:v>2021-10-01</c:v>
                  </c:pt>
                  <c:pt idx="35">
                    <c:v>2021-11-01</c:v>
                  </c:pt>
                  <c:pt idx="36">
                    <c:v>2021-12-01</c:v>
                  </c:pt>
                  <c:pt idx="37">
                    <c:v>2022-01-01</c:v>
                  </c:pt>
                  <c:pt idx="38">
                    <c:v>2022-02-01</c:v>
                  </c:pt>
                  <c:pt idx="39">
                    <c:v>2022-03-01</c:v>
                  </c:pt>
                  <c:pt idx="40">
                    <c:v>2022-04-01</c:v>
                  </c:pt>
                  <c:pt idx="41">
                    <c:v>2022-05-01</c:v>
                  </c:pt>
                  <c:pt idx="42">
                    <c:v>2022-06-01</c:v>
                  </c:pt>
                  <c:pt idx="43">
                    <c:v>2022-07-01</c:v>
                  </c:pt>
                  <c:pt idx="44">
                    <c:v>2022-08-01</c:v>
                  </c:pt>
                  <c:pt idx="45">
                    <c:v>2022-09-01</c:v>
                  </c:pt>
                  <c:pt idx="46">
                    <c:v>2022-10-01</c:v>
                  </c:pt>
                  <c:pt idx="47">
                    <c:v>2022-11-01</c:v>
                  </c:pt>
                  <c:pt idx="48">
                    <c:v>2022-12-01</c:v>
                  </c:pt>
                  <c:pt idx="49">
                    <c:v>2023-01-01</c:v>
                  </c:pt>
                  <c:pt idx="50">
                    <c:v>2023-02-01</c:v>
                  </c:pt>
                  <c:pt idx="51">
                    <c:v>2023-03-01</c:v>
                  </c:pt>
                  <c:pt idx="52">
                    <c:v>2023-04-01</c:v>
                  </c:pt>
                  <c:pt idx="53">
                    <c:v>2023-05-01</c:v>
                  </c:pt>
                  <c:pt idx="54">
                    <c:v>2023-06-01</c:v>
                  </c:pt>
                  <c:pt idx="55">
                    <c:v>2023-07-01</c:v>
                  </c:pt>
                  <c:pt idx="56">
                    <c:v>2023-08-01</c:v>
                  </c:pt>
                  <c:pt idx="57">
                    <c:v>2023-09-01</c:v>
                  </c:pt>
                  <c:pt idx="58">
                    <c:v>2023-10-01</c:v>
                  </c:pt>
                  <c:pt idx="59">
                    <c:v>2023-11-01</c:v>
                  </c:pt>
                  <c:pt idx="60">
                    <c:v>2023-12-01</c:v>
                  </c:pt>
                  <c:pt idx="61">
                    <c:v>2024-01-01</c:v>
                  </c:pt>
                  <c:pt idx="62">
                    <c:v>2024-02-01</c:v>
                  </c:pt>
                  <c:pt idx="63">
                    <c:v>2024-03-01</c:v>
                  </c:pt>
                  <c:pt idx="64">
                    <c:v>2024-04-01</c:v>
                  </c:pt>
                  <c:pt idx="65">
                    <c:v>2024-05-01</c:v>
                  </c:pt>
                  <c:pt idx="66">
                    <c:v>2024-06-01</c:v>
                  </c:pt>
                  <c:pt idx="67">
                    <c:v>2024-07-01</c:v>
                  </c:pt>
                  <c:pt idx="68">
                    <c:v>2024-08-01</c:v>
                  </c:pt>
                  <c:pt idx="69">
                    <c:v>2024-09-01</c:v>
                  </c:pt>
                  <c:pt idx="70">
                    <c:v>2024-10-01</c:v>
                  </c:pt>
                  <c:pt idx="71">
                    <c:v>2024-11-01</c:v>
                  </c:pt>
                  <c:pt idx="72">
                    <c:v>2024-12-01</c:v>
                  </c:pt>
                  <c:pt idx="73">
                    <c:v>2025-01-01</c:v>
                  </c:pt>
                  <c:pt idx="74">
                    <c:v>2025-02-01</c:v>
                  </c:pt>
                  <c:pt idx="75">
                    <c:v>2025-03-01</c:v>
                  </c:pt>
                  <c:pt idx="76">
                    <c:v>2025-04-01</c:v>
                  </c:pt>
                  <c:pt idx="77">
                    <c:v>2025-05-01</c:v>
                  </c:pt>
                  <c:pt idx="78">
                    <c:v>2025-06-01</c:v>
                  </c:pt>
                  <c:pt idx="79">
                    <c:v>2025-07-01</c:v>
                  </c:pt>
                  <c:pt idx="80">
                    <c:v>2025-08-01</c:v>
                  </c:pt>
                  <c:pt idx="81">
                    <c:v>2025-09-01</c:v>
                  </c:pt>
                  <c:pt idx="82">
                    <c:v>2025-10-01</c:v>
                  </c:pt>
                  <c:pt idx="83">
                    <c:v>2025-11-01</c:v>
                  </c:pt>
                  <c:pt idx="84">
                    <c:v>2025-12-01</c:v>
                  </c:pt>
                  <c:pt idx="85">
                    <c:v>2026-01-01</c:v>
                  </c:pt>
                  <c:pt idx="86">
                    <c:v>2026-02-01</c:v>
                  </c:pt>
                  <c:pt idx="87">
                    <c:v>2026-03-01</c:v>
                  </c:pt>
                  <c:pt idx="88">
                    <c:v>2026-04-01</c:v>
                  </c:pt>
                  <c:pt idx="89">
                    <c:v>2026-05-01</c:v>
                  </c:pt>
                  <c:pt idx="90">
                    <c:v>2026-06-01</c:v>
                  </c:pt>
                  <c:pt idx="91">
                    <c:v>2026-07-01</c:v>
                  </c:pt>
                  <c:pt idx="92">
                    <c:v>2026-08-01</c:v>
                  </c:pt>
                  <c:pt idx="93">
                    <c:v>2026-09-01</c:v>
                  </c:pt>
                  <c:pt idx="94">
                    <c:v>2026-10-01</c:v>
                  </c:pt>
                  <c:pt idx="95">
                    <c:v>2026-11-01</c:v>
                  </c:pt>
                  <c:pt idx="96">
                    <c:v>2026-12-01</c:v>
                  </c:pt>
                  <c:pt idx="97">
                    <c:v>2027-01-01</c:v>
                  </c:pt>
                  <c:pt idx="98">
                    <c:v>2027-02-01</c:v>
                  </c:pt>
                  <c:pt idx="99">
                    <c:v>2027-03-01</c:v>
                  </c:pt>
                  <c:pt idx="100">
                    <c:v>2027-04-01</c:v>
                  </c:pt>
                  <c:pt idx="101">
                    <c:v>2027-05-01</c:v>
                  </c:pt>
                  <c:pt idx="102">
                    <c:v>2027-06-01</c:v>
                  </c:pt>
                  <c:pt idx="103">
                    <c:v>2027-07-01</c:v>
                  </c:pt>
                  <c:pt idx="104">
                    <c:v>2027-08-01</c:v>
                  </c:pt>
                  <c:pt idx="105">
                    <c:v>2027-09-01</c:v>
                  </c:pt>
                  <c:pt idx="106">
                    <c:v>2027-10-01</c:v>
                  </c:pt>
                  <c:pt idx="107">
                    <c:v>2027-11-01</c:v>
                  </c:pt>
                  <c:pt idx="108">
                    <c:v>2027-12-01</c:v>
                  </c:pt>
                  <c:pt idx="109">
                    <c:v>2028-01-01</c:v>
                  </c:pt>
                  <c:pt idx="110">
                    <c:v>2028-02-01</c:v>
                  </c:pt>
                  <c:pt idx="111">
                    <c:v>2028-03-01</c:v>
                  </c:pt>
                  <c:pt idx="112">
                    <c:v>2028-04-01</c:v>
                  </c:pt>
                  <c:pt idx="113">
                    <c:v>2028-05-01</c:v>
                  </c:pt>
                  <c:pt idx="114">
                    <c:v>2028-06-01</c:v>
                  </c:pt>
                  <c:pt idx="115">
                    <c:v>2028-07-01</c:v>
                  </c:pt>
                  <c:pt idx="116">
                    <c:v>2028-08-01</c:v>
                  </c:pt>
                  <c:pt idx="117">
                    <c:v>2028-09-01</c:v>
                  </c:pt>
                  <c:pt idx="118">
                    <c:v>2028-10-01</c:v>
                  </c:pt>
                  <c:pt idx="119">
                    <c:v>2028-11-01</c:v>
                  </c:pt>
                  <c:pt idx="120">
                    <c:v>2028-12-01</c:v>
                  </c:pt>
                  <c:pt idx="121">
                    <c:v>2029-01-01</c:v>
                  </c:pt>
                  <c:pt idx="122">
                    <c:v>2029-02-01</c:v>
                  </c:pt>
                  <c:pt idx="123">
                    <c:v>2029-03-01</c:v>
                  </c:pt>
                  <c:pt idx="124">
                    <c:v>2029-04-01</c:v>
                  </c:pt>
                  <c:pt idx="125">
                    <c:v>2029-05-01</c:v>
                  </c:pt>
                  <c:pt idx="126">
                    <c:v>2029-06-01</c:v>
                  </c:pt>
                  <c:pt idx="127">
                    <c:v>2029-07-01</c:v>
                  </c:pt>
                  <c:pt idx="128">
                    <c:v>2029-08-01</c:v>
                  </c:pt>
                  <c:pt idx="129">
                    <c:v>2029-09-01</c:v>
                  </c:pt>
                  <c:pt idx="130">
                    <c:v>2029-10-01</c:v>
                  </c:pt>
                  <c:pt idx="131">
                    <c:v>2029-11-01</c:v>
                  </c:pt>
                  <c:pt idx="132">
                    <c:v>2029-12-01</c:v>
                  </c:pt>
                  <c:pt idx="133">
                    <c:v>2030-01-01</c:v>
                  </c:pt>
                  <c:pt idx="134">
                    <c:v>2030-02-01</c:v>
                  </c:pt>
                  <c:pt idx="135">
                    <c:v>2030-03-01</c:v>
                  </c:pt>
                  <c:pt idx="136">
                    <c:v>2030-04-01</c:v>
                  </c:pt>
                  <c:pt idx="137">
                    <c:v>2030-05-01</c:v>
                  </c:pt>
                  <c:pt idx="138">
                    <c:v>2030-06-01</c:v>
                  </c:pt>
                  <c:pt idx="139">
                    <c:v>2030-07-01</c:v>
                  </c:pt>
                  <c:pt idx="140">
                    <c:v>2030-08-01</c:v>
                  </c:pt>
                  <c:pt idx="141">
                    <c:v>2030-09-01</c:v>
                  </c:pt>
                  <c:pt idx="142">
                    <c:v>2030-10-01</c:v>
                  </c:pt>
                  <c:pt idx="143">
                    <c:v>2030-11-01</c:v>
                  </c:pt>
                  <c:pt idx="144">
                    <c:v>2030-12-01</c:v>
                  </c:pt>
                </c:lvl>
              </c:multiLvlStrCache>
            </c:multiLvlStrRef>
          </c:cat>
          <c:val>
            <c:numRef>
              <c:f>Overview!$E$3:$E$147</c:f>
              <c:numCache>
                <c:formatCode>_("$"* #,##0.00_);_("$"* \(#,##0.00\);_("$"* "-"??_);_(@_)</c:formatCode>
                <c:ptCount val="14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-1.5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-121.6</c:v>
                </c:pt>
                <c:pt idx="11">
                  <c:v>0</c:v>
                </c:pt>
                <c:pt idx="12">
                  <c:v>405.5</c:v>
                </c:pt>
                <c:pt idx="13">
                  <c:v>-105</c:v>
                </c:pt>
                <c:pt idx="14">
                  <c:v>-105</c:v>
                </c:pt>
                <c:pt idx="15">
                  <c:v>-2.4700000000000002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-105</c:v>
                </c:pt>
                <c:pt idx="20">
                  <c:v>0</c:v>
                </c:pt>
                <c:pt idx="21">
                  <c:v>0</c:v>
                </c:pt>
                <c:pt idx="22">
                  <c:v>-30</c:v>
                </c:pt>
                <c:pt idx="23">
                  <c:v>0</c:v>
                </c:pt>
                <c:pt idx="24">
                  <c:v>-223.22</c:v>
                </c:pt>
                <c:pt idx="25">
                  <c:v>-20</c:v>
                </c:pt>
                <c:pt idx="26">
                  <c:v>-32</c:v>
                </c:pt>
                <c:pt idx="27">
                  <c:v>0</c:v>
                </c:pt>
                <c:pt idx="28">
                  <c:v>-336.24</c:v>
                </c:pt>
                <c:pt idx="29">
                  <c:v>3660.72</c:v>
                </c:pt>
                <c:pt idx="30">
                  <c:v>-195</c:v>
                </c:pt>
                <c:pt idx="31">
                  <c:v>117.3</c:v>
                </c:pt>
                <c:pt idx="32">
                  <c:v>266.19</c:v>
                </c:pt>
                <c:pt idx="33">
                  <c:v>-14.06</c:v>
                </c:pt>
                <c:pt idx="34">
                  <c:v>-21.610000000000014</c:v>
                </c:pt>
                <c:pt idx="35">
                  <c:v>-211.82</c:v>
                </c:pt>
                <c:pt idx="36">
                  <c:v>-13.87</c:v>
                </c:pt>
                <c:pt idx="37">
                  <c:v>-14.19</c:v>
                </c:pt>
                <c:pt idx="38">
                  <c:v>148.34</c:v>
                </c:pt>
                <c:pt idx="39">
                  <c:v>-2079.8000000000002</c:v>
                </c:pt>
                <c:pt idx="40">
                  <c:v>-100</c:v>
                </c:pt>
                <c:pt idx="41">
                  <c:v>0</c:v>
                </c:pt>
                <c:pt idx="42">
                  <c:v>44.5</c:v>
                </c:pt>
                <c:pt idx="43">
                  <c:v>0</c:v>
                </c:pt>
                <c:pt idx="44">
                  <c:v>18.920000000000002</c:v>
                </c:pt>
                <c:pt idx="45">
                  <c:v>-25</c:v>
                </c:pt>
                <c:pt idx="46">
                  <c:v>-95</c:v>
                </c:pt>
                <c:pt idx="47">
                  <c:v>-204</c:v>
                </c:pt>
                <c:pt idx="48">
                  <c:v>-130</c:v>
                </c:pt>
                <c:pt idx="49">
                  <c:v>48.45</c:v>
                </c:pt>
                <c:pt idx="50">
                  <c:v>-35.5</c:v>
                </c:pt>
                <c:pt idx="51">
                  <c:v>10.260000000000005</c:v>
                </c:pt>
                <c:pt idx="52">
                  <c:v>0</c:v>
                </c:pt>
                <c:pt idx="53">
                  <c:v>-135</c:v>
                </c:pt>
                <c:pt idx="54">
                  <c:v>-992.87</c:v>
                </c:pt>
                <c:pt idx="55">
                  <c:v>500</c:v>
                </c:pt>
                <c:pt idx="56">
                  <c:v>-178</c:v>
                </c:pt>
                <c:pt idx="57">
                  <c:v>0</c:v>
                </c:pt>
                <c:pt idx="58">
                  <c:v>-378.73</c:v>
                </c:pt>
                <c:pt idx="59">
                  <c:v>0</c:v>
                </c:pt>
                <c:pt idx="60">
                  <c:v>0</c:v>
                </c:pt>
                <c:pt idx="61">
                  <c:v>-37.72</c:v>
                </c:pt>
                <c:pt idx="62">
                  <c:v>0</c:v>
                </c:pt>
                <c:pt idx="63">
                  <c:v>-33.380000000000003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Overview!$F$2</c:f>
              <c:strCache>
                <c:ptCount val="1"/>
                <c:pt idx="0">
                  <c:v>Entertainment</c:v>
                </c:pt>
              </c:strCache>
            </c:strRef>
          </c:tx>
          <c:marker>
            <c:symbol val="none"/>
          </c:marker>
          <c:cat>
            <c:multiLvlStrRef>
              <c:f>Overview!$A$3:$B$147</c:f>
              <c:multiLvlStrCache>
                <c:ptCount val="145"/>
                <c:lvl>
                  <c:pt idx="1">
                    <c:v>January 2019</c:v>
                  </c:pt>
                  <c:pt idx="2">
                    <c:v>February 2019</c:v>
                  </c:pt>
                  <c:pt idx="3">
                    <c:v>March 2019</c:v>
                  </c:pt>
                  <c:pt idx="4">
                    <c:v>April 2019</c:v>
                  </c:pt>
                  <c:pt idx="5">
                    <c:v>May 2019</c:v>
                  </c:pt>
                  <c:pt idx="6">
                    <c:v>June 2019</c:v>
                  </c:pt>
                  <c:pt idx="7">
                    <c:v>July 2019</c:v>
                  </c:pt>
                  <c:pt idx="8">
                    <c:v>August 2019</c:v>
                  </c:pt>
                  <c:pt idx="9">
                    <c:v>September 2019</c:v>
                  </c:pt>
                  <c:pt idx="10">
                    <c:v>October 2019</c:v>
                  </c:pt>
                  <c:pt idx="11">
                    <c:v>November 2019</c:v>
                  </c:pt>
                  <c:pt idx="12">
                    <c:v>December 2019</c:v>
                  </c:pt>
                  <c:pt idx="13">
                    <c:v>January 2020</c:v>
                  </c:pt>
                  <c:pt idx="14">
                    <c:v>February 2020</c:v>
                  </c:pt>
                  <c:pt idx="15">
                    <c:v>March 2020</c:v>
                  </c:pt>
                  <c:pt idx="16">
                    <c:v>April 2020</c:v>
                  </c:pt>
                  <c:pt idx="17">
                    <c:v>May 2020</c:v>
                  </c:pt>
                  <c:pt idx="18">
                    <c:v>June 2020</c:v>
                  </c:pt>
                  <c:pt idx="19">
                    <c:v>July 2020</c:v>
                  </c:pt>
                  <c:pt idx="20">
                    <c:v>August 2020</c:v>
                  </c:pt>
                  <c:pt idx="21">
                    <c:v>September 2020</c:v>
                  </c:pt>
                  <c:pt idx="22">
                    <c:v>October 2020</c:v>
                  </c:pt>
                  <c:pt idx="23">
                    <c:v>November 2020</c:v>
                  </c:pt>
                  <c:pt idx="24">
                    <c:v>December 2020</c:v>
                  </c:pt>
                  <c:pt idx="25">
                    <c:v>January 2021</c:v>
                  </c:pt>
                  <c:pt idx="26">
                    <c:v>February 2021</c:v>
                  </c:pt>
                  <c:pt idx="27">
                    <c:v>March 2021</c:v>
                  </c:pt>
                  <c:pt idx="28">
                    <c:v>April 2021</c:v>
                  </c:pt>
                  <c:pt idx="29">
                    <c:v>May 2021</c:v>
                  </c:pt>
                  <c:pt idx="30">
                    <c:v>June 2021</c:v>
                  </c:pt>
                  <c:pt idx="31">
                    <c:v>July 2021</c:v>
                  </c:pt>
                  <c:pt idx="32">
                    <c:v>August 2021</c:v>
                  </c:pt>
                  <c:pt idx="33">
                    <c:v>September 2021</c:v>
                  </c:pt>
                  <c:pt idx="34">
                    <c:v>October 2021</c:v>
                  </c:pt>
                  <c:pt idx="35">
                    <c:v>November 2021</c:v>
                  </c:pt>
                  <c:pt idx="36">
                    <c:v>December 2021</c:v>
                  </c:pt>
                  <c:pt idx="37">
                    <c:v>January 2022</c:v>
                  </c:pt>
                  <c:pt idx="38">
                    <c:v>February 2022</c:v>
                  </c:pt>
                  <c:pt idx="39">
                    <c:v>March 2022</c:v>
                  </c:pt>
                  <c:pt idx="40">
                    <c:v>April 2022</c:v>
                  </c:pt>
                  <c:pt idx="41">
                    <c:v>May 2022</c:v>
                  </c:pt>
                  <c:pt idx="42">
                    <c:v>June 2022</c:v>
                  </c:pt>
                  <c:pt idx="43">
                    <c:v>July 2022</c:v>
                  </c:pt>
                  <c:pt idx="44">
                    <c:v>August 2022</c:v>
                  </c:pt>
                  <c:pt idx="45">
                    <c:v>September 2022</c:v>
                  </c:pt>
                  <c:pt idx="46">
                    <c:v>October 2022</c:v>
                  </c:pt>
                  <c:pt idx="47">
                    <c:v>November 2022</c:v>
                  </c:pt>
                  <c:pt idx="48">
                    <c:v>December 2022</c:v>
                  </c:pt>
                  <c:pt idx="49">
                    <c:v>January 2023</c:v>
                  </c:pt>
                  <c:pt idx="50">
                    <c:v>February 2023</c:v>
                  </c:pt>
                  <c:pt idx="51">
                    <c:v>March 2023</c:v>
                  </c:pt>
                  <c:pt idx="52">
                    <c:v>April 2023</c:v>
                  </c:pt>
                  <c:pt idx="53">
                    <c:v>May 2023</c:v>
                  </c:pt>
                  <c:pt idx="54">
                    <c:v>June 2023</c:v>
                  </c:pt>
                  <c:pt idx="55">
                    <c:v>July 2023</c:v>
                  </c:pt>
                  <c:pt idx="56">
                    <c:v>August 2023</c:v>
                  </c:pt>
                  <c:pt idx="57">
                    <c:v>September 2023</c:v>
                  </c:pt>
                  <c:pt idx="58">
                    <c:v>October 2023</c:v>
                  </c:pt>
                  <c:pt idx="59">
                    <c:v>November 2023</c:v>
                  </c:pt>
                  <c:pt idx="60">
                    <c:v>December 2023</c:v>
                  </c:pt>
                  <c:pt idx="61">
                    <c:v>January 2024</c:v>
                  </c:pt>
                  <c:pt idx="62">
                    <c:v>February 2024</c:v>
                  </c:pt>
                  <c:pt idx="63">
                    <c:v>March 2024</c:v>
                  </c:pt>
                  <c:pt idx="64">
                    <c:v>April 2024</c:v>
                  </c:pt>
                  <c:pt idx="65">
                    <c:v>May 2024</c:v>
                  </c:pt>
                  <c:pt idx="66">
                    <c:v>June 2024</c:v>
                  </c:pt>
                  <c:pt idx="67">
                    <c:v>July 2024</c:v>
                  </c:pt>
                  <c:pt idx="68">
                    <c:v>August 2024</c:v>
                  </c:pt>
                  <c:pt idx="69">
                    <c:v>September 2024</c:v>
                  </c:pt>
                  <c:pt idx="70">
                    <c:v>October 2024</c:v>
                  </c:pt>
                  <c:pt idx="71">
                    <c:v>November 2024</c:v>
                  </c:pt>
                  <c:pt idx="72">
                    <c:v>December 2024</c:v>
                  </c:pt>
                  <c:pt idx="73">
                    <c:v>January 2025</c:v>
                  </c:pt>
                  <c:pt idx="74">
                    <c:v>February 2025</c:v>
                  </c:pt>
                  <c:pt idx="75">
                    <c:v>March 2025</c:v>
                  </c:pt>
                  <c:pt idx="76">
                    <c:v>April 2025</c:v>
                  </c:pt>
                  <c:pt idx="77">
                    <c:v>May 2025</c:v>
                  </c:pt>
                  <c:pt idx="78">
                    <c:v>June 2025</c:v>
                  </c:pt>
                  <c:pt idx="79">
                    <c:v>July 2025</c:v>
                  </c:pt>
                  <c:pt idx="80">
                    <c:v>August 2025</c:v>
                  </c:pt>
                  <c:pt idx="81">
                    <c:v>September 2025</c:v>
                  </c:pt>
                  <c:pt idx="82">
                    <c:v>October 2025</c:v>
                  </c:pt>
                  <c:pt idx="83">
                    <c:v>November 2025</c:v>
                  </c:pt>
                  <c:pt idx="84">
                    <c:v>December 2025</c:v>
                  </c:pt>
                  <c:pt idx="85">
                    <c:v>January 2026</c:v>
                  </c:pt>
                  <c:pt idx="86">
                    <c:v>February 2026</c:v>
                  </c:pt>
                  <c:pt idx="87">
                    <c:v>March 2026</c:v>
                  </c:pt>
                  <c:pt idx="88">
                    <c:v>April 2026</c:v>
                  </c:pt>
                  <c:pt idx="89">
                    <c:v>May 2026</c:v>
                  </c:pt>
                  <c:pt idx="90">
                    <c:v>June 2026</c:v>
                  </c:pt>
                  <c:pt idx="91">
                    <c:v>July 2026</c:v>
                  </c:pt>
                  <c:pt idx="92">
                    <c:v>August 2026</c:v>
                  </c:pt>
                  <c:pt idx="93">
                    <c:v>September 2026</c:v>
                  </c:pt>
                  <c:pt idx="94">
                    <c:v>October 2026</c:v>
                  </c:pt>
                  <c:pt idx="95">
                    <c:v>November 2026</c:v>
                  </c:pt>
                  <c:pt idx="96">
                    <c:v>December 2026</c:v>
                  </c:pt>
                  <c:pt idx="97">
                    <c:v>January 2027</c:v>
                  </c:pt>
                  <c:pt idx="98">
                    <c:v>February 2027</c:v>
                  </c:pt>
                  <c:pt idx="99">
                    <c:v>March 2027</c:v>
                  </c:pt>
                  <c:pt idx="100">
                    <c:v>April 2027</c:v>
                  </c:pt>
                  <c:pt idx="101">
                    <c:v>May 2027</c:v>
                  </c:pt>
                  <c:pt idx="102">
                    <c:v>June 2027</c:v>
                  </c:pt>
                  <c:pt idx="103">
                    <c:v>July 2027</c:v>
                  </c:pt>
                  <c:pt idx="104">
                    <c:v>August 2027</c:v>
                  </c:pt>
                  <c:pt idx="105">
                    <c:v>September 2027</c:v>
                  </c:pt>
                  <c:pt idx="106">
                    <c:v>October 2027</c:v>
                  </c:pt>
                  <c:pt idx="107">
                    <c:v>November 2027</c:v>
                  </c:pt>
                  <c:pt idx="108">
                    <c:v>December 2027</c:v>
                  </c:pt>
                  <c:pt idx="109">
                    <c:v>January 2028</c:v>
                  </c:pt>
                  <c:pt idx="110">
                    <c:v>February 2028</c:v>
                  </c:pt>
                  <c:pt idx="111">
                    <c:v>March 2028</c:v>
                  </c:pt>
                  <c:pt idx="112">
                    <c:v>April 2028</c:v>
                  </c:pt>
                  <c:pt idx="113">
                    <c:v>May 2028</c:v>
                  </c:pt>
                  <c:pt idx="114">
                    <c:v>June 2028</c:v>
                  </c:pt>
                  <c:pt idx="115">
                    <c:v>July 2028</c:v>
                  </c:pt>
                  <c:pt idx="116">
                    <c:v>August 2028</c:v>
                  </c:pt>
                  <c:pt idx="117">
                    <c:v>September 2028</c:v>
                  </c:pt>
                  <c:pt idx="118">
                    <c:v>October 2028</c:v>
                  </c:pt>
                  <c:pt idx="119">
                    <c:v>November 2028</c:v>
                  </c:pt>
                  <c:pt idx="120">
                    <c:v>December 2028</c:v>
                  </c:pt>
                  <c:pt idx="121">
                    <c:v>January 2029</c:v>
                  </c:pt>
                  <c:pt idx="122">
                    <c:v>February 2029</c:v>
                  </c:pt>
                  <c:pt idx="123">
                    <c:v>March 2029</c:v>
                  </c:pt>
                  <c:pt idx="124">
                    <c:v>April 2029</c:v>
                  </c:pt>
                  <c:pt idx="125">
                    <c:v>May 2029</c:v>
                  </c:pt>
                  <c:pt idx="126">
                    <c:v>June 2029</c:v>
                  </c:pt>
                  <c:pt idx="127">
                    <c:v>July 2029</c:v>
                  </c:pt>
                  <c:pt idx="128">
                    <c:v>August 2029</c:v>
                  </c:pt>
                  <c:pt idx="129">
                    <c:v>September 2029</c:v>
                  </c:pt>
                  <c:pt idx="130">
                    <c:v>October 2029</c:v>
                  </c:pt>
                  <c:pt idx="131">
                    <c:v>November 2029</c:v>
                  </c:pt>
                  <c:pt idx="132">
                    <c:v>December 2029</c:v>
                  </c:pt>
                  <c:pt idx="133">
                    <c:v>January 2030</c:v>
                  </c:pt>
                  <c:pt idx="134">
                    <c:v>February 2030</c:v>
                  </c:pt>
                  <c:pt idx="135">
                    <c:v>March 2030</c:v>
                  </c:pt>
                  <c:pt idx="136">
                    <c:v>April 2030</c:v>
                  </c:pt>
                  <c:pt idx="137">
                    <c:v>May 2030</c:v>
                  </c:pt>
                  <c:pt idx="138">
                    <c:v>June 2030</c:v>
                  </c:pt>
                  <c:pt idx="139">
                    <c:v>July 2030</c:v>
                  </c:pt>
                  <c:pt idx="140">
                    <c:v>August 2030</c:v>
                  </c:pt>
                  <c:pt idx="141">
                    <c:v>September 2030</c:v>
                  </c:pt>
                  <c:pt idx="142">
                    <c:v>October 2030</c:v>
                  </c:pt>
                  <c:pt idx="143">
                    <c:v>November 2030</c:v>
                  </c:pt>
                  <c:pt idx="144">
                    <c:v>December 2030</c:v>
                  </c:pt>
                </c:lvl>
                <c:lvl>
                  <c:pt idx="1">
                    <c:v>2019-01-01</c:v>
                  </c:pt>
                  <c:pt idx="2">
                    <c:v>2019-02-01</c:v>
                  </c:pt>
                  <c:pt idx="3">
                    <c:v>2019-03-01</c:v>
                  </c:pt>
                  <c:pt idx="4">
                    <c:v>2019-04-01</c:v>
                  </c:pt>
                  <c:pt idx="5">
                    <c:v>2019-05-01</c:v>
                  </c:pt>
                  <c:pt idx="6">
                    <c:v>2019-06-01</c:v>
                  </c:pt>
                  <c:pt idx="7">
                    <c:v>2019-07-01</c:v>
                  </c:pt>
                  <c:pt idx="8">
                    <c:v>2019-08-01</c:v>
                  </c:pt>
                  <c:pt idx="9">
                    <c:v>2019-09-01</c:v>
                  </c:pt>
                  <c:pt idx="10">
                    <c:v>2019-10-01</c:v>
                  </c:pt>
                  <c:pt idx="11">
                    <c:v>2019-11-01</c:v>
                  </c:pt>
                  <c:pt idx="12">
                    <c:v>2019-12-01</c:v>
                  </c:pt>
                  <c:pt idx="13">
                    <c:v>2020-01-01</c:v>
                  </c:pt>
                  <c:pt idx="14">
                    <c:v>2020-02-01</c:v>
                  </c:pt>
                  <c:pt idx="15">
                    <c:v>2020-03-01</c:v>
                  </c:pt>
                  <c:pt idx="16">
                    <c:v>2020-04-01</c:v>
                  </c:pt>
                  <c:pt idx="17">
                    <c:v>2020-05-01</c:v>
                  </c:pt>
                  <c:pt idx="18">
                    <c:v>2020-06-01</c:v>
                  </c:pt>
                  <c:pt idx="19">
                    <c:v>2020-07-01</c:v>
                  </c:pt>
                  <c:pt idx="20">
                    <c:v>2020-08-01</c:v>
                  </c:pt>
                  <c:pt idx="21">
                    <c:v>2020-09-01</c:v>
                  </c:pt>
                  <c:pt idx="22">
                    <c:v>2020-10-01</c:v>
                  </c:pt>
                  <c:pt idx="23">
                    <c:v>2020-11-01</c:v>
                  </c:pt>
                  <c:pt idx="24">
                    <c:v>2020-12-01</c:v>
                  </c:pt>
                  <c:pt idx="25">
                    <c:v>2021-01-01</c:v>
                  </c:pt>
                  <c:pt idx="26">
                    <c:v>2021-02-01</c:v>
                  </c:pt>
                  <c:pt idx="27">
                    <c:v>2021-03-01</c:v>
                  </c:pt>
                  <c:pt idx="28">
                    <c:v>2021-04-01</c:v>
                  </c:pt>
                  <c:pt idx="29">
                    <c:v>2021-05-01</c:v>
                  </c:pt>
                  <c:pt idx="30">
                    <c:v>2021-06-01</c:v>
                  </c:pt>
                  <c:pt idx="31">
                    <c:v>2021-07-01</c:v>
                  </c:pt>
                  <c:pt idx="32">
                    <c:v>2021-08-01</c:v>
                  </c:pt>
                  <c:pt idx="33">
                    <c:v>2021-09-01</c:v>
                  </c:pt>
                  <c:pt idx="34">
                    <c:v>2021-10-01</c:v>
                  </c:pt>
                  <c:pt idx="35">
                    <c:v>2021-11-01</c:v>
                  </c:pt>
                  <c:pt idx="36">
                    <c:v>2021-12-01</c:v>
                  </c:pt>
                  <c:pt idx="37">
                    <c:v>2022-01-01</c:v>
                  </c:pt>
                  <c:pt idx="38">
                    <c:v>2022-02-01</c:v>
                  </c:pt>
                  <c:pt idx="39">
                    <c:v>2022-03-01</c:v>
                  </c:pt>
                  <c:pt idx="40">
                    <c:v>2022-04-01</c:v>
                  </c:pt>
                  <c:pt idx="41">
                    <c:v>2022-05-01</c:v>
                  </c:pt>
                  <c:pt idx="42">
                    <c:v>2022-06-01</c:v>
                  </c:pt>
                  <c:pt idx="43">
                    <c:v>2022-07-01</c:v>
                  </c:pt>
                  <c:pt idx="44">
                    <c:v>2022-08-01</c:v>
                  </c:pt>
                  <c:pt idx="45">
                    <c:v>2022-09-01</c:v>
                  </c:pt>
                  <c:pt idx="46">
                    <c:v>2022-10-01</c:v>
                  </c:pt>
                  <c:pt idx="47">
                    <c:v>2022-11-01</c:v>
                  </c:pt>
                  <c:pt idx="48">
                    <c:v>2022-12-01</c:v>
                  </c:pt>
                  <c:pt idx="49">
                    <c:v>2023-01-01</c:v>
                  </c:pt>
                  <c:pt idx="50">
                    <c:v>2023-02-01</c:v>
                  </c:pt>
                  <c:pt idx="51">
                    <c:v>2023-03-01</c:v>
                  </c:pt>
                  <c:pt idx="52">
                    <c:v>2023-04-01</c:v>
                  </c:pt>
                  <c:pt idx="53">
                    <c:v>2023-05-01</c:v>
                  </c:pt>
                  <c:pt idx="54">
                    <c:v>2023-06-01</c:v>
                  </c:pt>
                  <c:pt idx="55">
                    <c:v>2023-07-01</c:v>
                  </c:pt>
                  <c:pt idx="56">
                    <c:v>2023-08-01</c:v>
                  </c:pt>
                  <c:pt idx="57">
                    <c:v>2023-09-01</c:v>
                  </c:pt>
                  <c:pt idx="58">
                    <c:v>2023-10-01</c:v>
                  </c:pt>
                  <c:pt idx="59">
                    <c:v>2023-11-01</c:v>
                  </c:pt>
                  <c:pt idx="60">
                    <c:v>2023-12-01</c:v>
                  </c:pt>
                  <c:pt idx="61">
                    <c:v>2024-01-01</c:v>
                  </c:pt>
                  <c:pt idx="62">
                    <c:v>2024-02-01</c:v>
                  </c:pt>
                  <c:pt idx="63">
                    <c:v>2024-03-01</c:v>
                  </c:pt>
                  <c:pt idx="64">
                    <c:v>2024-04-01</c:v>
                  </c:pt>
                  <c:pt idx="65">
                    <c:v>2024-05-01</c:v>
                  </c:pt>
                  <c:pt idx="66">
                    <c:v>2024-06-01</c:v>
                  </c:pt>
                  <c:pt idx="67">
                    <c:v>2024-07-01</c:v>
                  </c:pt>
                  <c:pt idx="68">
                    <c:v>2024-08-01</c:v>
                  </c:pt>
                  <c:pt idx="69">
                    <c:v>2024-09-01</c:v>
                  </c:pt>
                  <c:pt idx="70">
                    <c:v>2024-10-01</c:v>
                  </c:pt>
                  <c:pt idx="71">
                    <c:v>2024-11-01</c:v>
                  </c:pt>
                  <c:pt idx="72">
                    <c:v>2024-12-01</c:v>
                  </c:pt>
                  <c:pt idx="73">
                    <c:v>2025-01-01</c:v>
                  </c:pt>
                  <c:pt idx="74">
                    <c:v>2025-02-01</c:v>
                  </c:pt>
                  <c:pt idx="75">
                    <c:v>2025-03-01</c:v>
                  </c:pt>
                  <c:pt idx="76">
                    <c:v>2025-04-01</c:v>
                  </c:pt>
                  <c:pt idx="77">
                    <c:v>2025-05-01</c:v>
                  </c:pt>
                  <c:pt idx="78">
                    <c:v>2025-06-01</c:v>
                  </c:pt>
                  <c:pt idx="79">
                    <c:v>2025-07-01</c:v>
                  </c:pt>
                  <c:pt idx="80">
                    <c:v>2025-08-01</c:v>
                  </c:pt>
                  <c:pt idx="81">
                    <c:v>2025-09-01</c:v>
                  </c:pt>
                  <c:pt idx="82">
                    <c:v>2025-10-01</c:v>
                  </c:pt>
                  <c:pt idx="83">
                    <c:v>2025-11-01</c:v>
                  </c:pt>
                  <c:pt idx="84">
                    <c:v>2025-12-01</c:v>
                  </c:pt>
                  <c:pt idx="85">
                    <c:v>2026-01-01</c:v>
                  </c:pt>
                  <c:pt idx="86">
                    <c:v>2026-02-01</c:v>
                  </c:pt>
                  <c:pt idx="87">
                    <c:v>2026-03-01</c:v>
                  </c:pt>
                  <c:pt idx="88">
                    <c:v>2026-04-01</c:v>
                  </c:pt>
                  <c:pt idx="89">
                    <c:v>2026-05-01</c:v>
                  </c:pt>
                  <c:pt idx="90">
                    <c:v>2026-06-01</c:v>
                  </c:pt>
                  <c:pt idx="91">
                    <c:v>2026-07-01</c:v>
                  </c:pt>
                  <c:pt idx="92">
                    <c:v>2026-08-01</c:v>
                  </c:pt>
                  <c:pt idx="93">
                    <c:v>2026-09-01</c:v>
                  </c:pt>
                  <c:pt idx="94">
                    <c:v>2026-10-01</c:v>
                  </c:pt>
                  <c:pt idx="95">
                    <c:v>2026-11-01</c:v>
                  </c:pt>
                  <c:pt idx="96">
                    <c:v>2026-12-01</c:v>
                  </c:pt>
                  <c:pt idx="97">
                    <c:v>2027-01-01</c:v>
                  </c:pt>
                  <c:pt idx="98">
                    <c:v>2027-02-01</c:v>
                  </c:pt>
                  <c:pt idx="99">
                    <c:v>2027-03-01</c:v>
                  </c:pt>
                  <c:pt idx="100">
                    <c:v>2027-04-01</c:v>
                  </c:pt>
                  <c:pt idx="101">
                    <c:v>2027-05-01</c:v>
                  </c:pt>
                  <c:pt idx="102">
                    <c:v>2027-06-01</c:v>
                  </c:pt>
                  <c:pt idx="103">
                    <c:v>2027-07-01</c:v>
                  </c:pt>
                  <c:pt idx="104">
                    <c:v>2027-08-01</c:v>
                  </c:pt>
                  <c:pt idx="105">
                    <c:v>2027-09-01</c:v>
                  </c:pt>
                  <c:pt idx="106">
                    <c:v>2027-10-01</c:v>
                  </c:pt>
                  <c:pt idx="107">
                    <c:v>2027-11-01</c:v>
                  </c:pt>
                  <c:pt idx="108">
                    <c:v>2027-12-01</c:v>
                  </c:pt>
                  <c:pt idx="109">
                    <c:v>2028-01-01</c:v>
                  </c:pt>
                  <c:pt idx="110">
                    <c:v>2028-02-01</c:v>
                  </c:pt>
                  <c:pt idx="111">
                    <c:v>2028-03-01</c:v>
                  </c:pt>
                  <c:pt idx="112">
                    <c:v>2028-04-01</c:v>
                  </c:pt>
                  <c:pt idx="113">
                    <c:v>2028-05-01</c:v>
                  </c:pt>
                  <c:pt idx="114">
                    <c:v>2028-06-01</c:v>
                  </c:pt>
                  <c:pt idx="115">
                    <c:v>2028-07-01</c:v>
                  </c:pt>
                  <c:pt idx="116">
                    <c:v>2028-08-01</c:v>
                  </c:pt>
                  <c:pt idx="117">
                    <c:v>2028-09-01</c:v>
                  </c:pt>
                  <c:pt idx="118">
                    <c:v>2028-10-01</c:v>
                  </c:pt>
                  <c:pt idx="119">
                    <c:v>2028-11-01</c:v>
                  </c:pt>
                  <c:pt idx="120">
                    <c:v>2028-12-01</c:v>
                  </c:pt>
                  <c:pt idx="121">
                    <c:v>2029-01-01</c:v>
                  </c:pt>
                  <c:pt idx="122">
                    <c:v>2029-02-01</c:v>
                  </c:pt>
                  <c:pt idx="123">
                    <c:v>2029-03-01</c:v>
                  </c:pt>
                  <c:pt idx="124">
                    <c:v>2029-04-01</c:v>
                  </c:pt>
                  <c:pt idx="125">
                    <c:v>2029-05-01</c:v>
                  </c:pt>
                  <c:pt idx="126">
                    <c:v>2029-06-01</c:v>
                  </c:pt>
                  <c:pt idx="127">
                    <c:v>2029-07-01</c:v>
                  </c:pt>
                  <c:pt idx="128">
                    <c:v>2029-08-01</c:v>
                  </c:pt>
                  <c:pt idx="129">
                    <c:v>2029-09-01</c:v>
                  </c:pt>
                  <c:pt idx="130">
                    <c:v>2029-10-01</c:v>
                  </c:pt>
                  <c:pt idx="131">
                    <c:v>2029-11-01</c:v>
                  </c:pt>
                  <c:pt idx="132">
                    <c:v>2029-12-01</c:v>
                  </c:pt>
                  <c:pt idx="133">
                    <c:v>2030-01-01</c:v>
                  </c:pt>
                  <c:pt idx="134">
                    <c:v>2030-02-01</c:v>
                  </c:pt>
                  <c:pt idx="135">
                    <c:v>2030-03-01</c:v>
                  </c:pt>
                  <c:pt idx="136">
                    <c:v>2030-04-01</c:v>
                  </c:pt>
                  <c:pt idx="137">
                    <c:v>2030-05-01</c:v>
                  </c:pt>
                  <c:pt idx="138">
                    <c:v>2030-06-01</c:v>
                  </c:pt>
                  <c:pt idx="139">
                    <c:v>2030-07-01</c:v>
                  </c:pt>
                  <c:pt idx="140">
                    <c:v>2030-08-01</c:v>
                  </c:pt>
                  <c:pt idx="141">
                    <c:v>2030-09-01</c:v>
                  </c:pt>
                  <c:pt idx="142">
                    <c:v>2030-10-01</c:v>
                  </c:pt>
                  <c:pt idx="143">
                    <c:v>2030-11-01</c:v>
                  </c:pt>
                  <c:pt idx="144">
                    <c:v>2030-12-01</c:v>
                  </c:pt>
                </c:lvl>
              </c:multiLvlStrCache>
            </c:multiLvlStrRef>
          </c:cat>
          <c:val>
            <c:numRef>
              <c:f>Overview!$F$3:$F$147</c:f>
              <c:numCache>
                <c:formatCode>_("$"* #,##0.00_);_("$"* \(#,##0.00\);_("$"* "-"??_);_(@_)</c:formatCode>
                <c:ptCount val="145"/>
                <c:pt idx="1">
                  <c:v>-16.37</c:v>
                </c:pt>
                <c:pt idx="2">
                  <c:v>-99.070000000000007</c:v>
                </c:pt>
                <c:pt idx="3">
                  <c:v>-41.980000000000004</c:v>
                </c:pt>
                <c:pt idx="4">
                  <c:v>-10.99</c:v>
                </c:pt>
                <c:pt idx="5">
                  <c:v>-39.93</c:v>
                </c:pt>
                <c:pt idx="6">
                  <c:v>-131.57</c:v>
                </c:pt>
                <c:pt idx="7">
                  <c:v>-142.19</c:v>
                </c:pt>
                <c:pt idx="8">
                  <c:v>-96.81</c:v>
                </c:pt>
                <c:pt idx="9">
                  <c:v>-249.34000000000003</c:v>
                </c:pt>
                <c:pt idx="10">
                  <c:v>-339.16999999999996</c:v>
                </c:pt>
                <c:pt idx="11">
                  <c:v>-113.15</c:v>
                </c:pt>
                <c:pt idx="12">
                  <c:v>-336.02</c:v>
                </c:pt>
                <c:pt idx="13">
                  <c:v>-128.94</c:v>
                </c:pt>
                <c:pt idx="14">
                  <c:v>-201.02</c:v>
                </c:pt>
                <c:pt idx="15">
                  <c:v>-157.17000000000002</c:v>
                </c:pt>
                <c:pt idx="16">
                  <c:v>-29.86</c:v>
                </c:pt>
                <c:pt idx="17">
                  <c:v>-104.07</c:v>
                </c:pt>
                <c:pt idx="18">
                  <c:v>-285.43</c:v>
                </c:pt>
                <c:pt idx="19">
                  <c:v>-51.620000000000005</c:v>
                </c:pt>
                <c:pt idx="20">
                  <c:v>-129.08000000000001</c:v>
                </c:pt>
                <c:pt idx="21">
                  <c:v>-181.8</c:v>
                </c:pt>
                <c:pt idx="22">
                  <c:v>-63.61</c:v>
                </c:pt>
                <c:pt idx="23">
                  <c:v>-107.75</c:v>
                </c:pt>
                <c:pt idx="24">
                  <c:v>-47.870000000000005</c:v>
                </c:pt>
                <c:pt idx="25">
                  <c:v>-61.81</c:v>
                </c:pt>
                <c:pt idx="26">
                  <c:v>-239.85999999999999</c:v>
                </c:pt>
                <c:pt idx="27">
                  <c:v>-104.55999999999999</c:v>
                </c:pt>
                <c:pt idx="28">
                  <c:v>-268.33</c:v>
                </c:pt>
                <c:pt idx="29">
                  <c:v>-45.03</c:v>
                </c:pt>
                <c:pt idx="30">
                  <c:v>-82.700000000000017</c:v>
                </c:pt>
                <c:pt idx="31">
                  <c:v>-335.72</c:v>
                </c:pt>
                <c:pt idx="32">
                  <c:v>-140.91</c:v>
                </c:pt>
                <c:pt idx="33">
                  <c:v>-70.77000000000001</c:v>
                </c:pt>
                <c:pt idx="34">
                  <c:v>-53.250000000000021</c:v>
                </c:pt>
                <c:pt idx="35">
                  <c:v>-181.05</c:v>
                </c:pt>
                <c:pt idx="36">
                  <c:v>-86.690000000000012</c:v>
                </c:pt>
                <c:pt idx="37">
                  <c:v>-181.58</c:v>
                </c:pt>
                <c:pt idx="38">
                  <c:v>-146.42999999999998</c:v>
                </c:pt>
                <c:pt idx="39">
                  <c:v>-128.18</c:v>
                </c:pt>
                <c:pt idx="40">
                  <c:v>-345.59</c:v>
                </c:pt>
                <c:pt idx="41">
                  <c:v>-371.31999999999994</c:v>
                </c:pt>
                <c:pt idx="42">
                  <c:v>-288.56</c:v>
                </c:pt>
                <c:pt idx="43">
                  <c:v>-132.13999999999999</c:v>
                </c:pt>
                <c:pt idx="44">
                  <c:v>-168.77</c:v>
                </c:pt>
                <c:pt idx="45">
                  <c:v>-86.65</c:v>
                </c:pt>
                <c:pt idx="46">
                  <c:v>-174.67000000000002</c:v>
                </c:pt>
                <c:pt idx="47">
                  <c:v>-742.09</c:v>
                </c:pt>
                <c:pt idx="48">
                  <c:v>-147.6</c:v>
                </c:pt>
                <c:pt idx="49">
                  <c:v>-15.58</c:v>
                </c:pt>
                <c:pt idx="50">
                  <c:v>-268.89</c:v>
                </c:pt>
                <c:pt idx="51">
                  <c:v>-1054.94</c:v>
                </c:pt>
                <c:pt idx="52">
                  <c:v>-77.819999999999993</c:v>
                </c:pt>
                <c:pt idx="53">
                  <c:v>-278.35000000000002</c:v>
                </c:pt>
                <c:pt idx="54">
                  <c:v>-45.4</c:v>
                </c:pt>
                <c:pt idx="55">
                  <c:v>-198.67000000000004</c:v>
                </c:pt>
                <c:pt idx="56">
                  <c:v>-474.78</c:v>
                </c:pt>
                <c:pt idx="57">
                  <c:v>-154.67999999999998</c:v>
                </c:pt>
                <c:pt idx="58">
                  <c:v>-315.44</c:v>
                </c:pt>
                <c:pt idx="59">
                  <c:v>-41.02</c:v>
                </c:pt>
                <c:pt idx="60">
                  <c:v>-9.15</c:v>
                </c:pt>
                <c:pt idx="61">
                  <c:v>-185.72</c:v>
                </c:pt>
                <c:pt idx="62">
                  <c:v>0</c:v>
                </c:pt>
                <c:pt idx="63">
                  <c:v>-607.96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Overview!$G$2</c:f>
              <c:strCache>
                <c:ptCount val="1"/>
                <c:pt idx="0">
                  <c:v>Home</c:v>
                </c:pt>
              </c:strCache>
            </c:strRef>
          </c:tx>
          <c:marker>
            <c:symbol val="none"/>
          </c:marker>
          <c:cat>
            <c:multiLvlStrRef>
              <c:f>Overview!$A$3:$B$147</c:f>
              <c:multiLvlStrCache>
                <c:ptCount val="145"/>
                <c:lvl>
                  <c:pt idx="1">
                    <c:v>January 2019</c:v>
                  </c:pt>
                  <c:pt idx="2">
                    <c:v>February 2019</c:v>
                  </c:pt>
                  <c:pt idx="3">
                    <c:v>March 2019</c:v>
                  </c:pt>
                  <c:pt idx="4">
                    <c:v>April 2019</c:v>
                  </c:pt>
                  <c:pt idx="5">
                    <c:v>May 2019</c:v>
                  </c:pt>
                  <c:pt idx="6">
                    <c:v>June 2019</c:v>
                  </c:pt>
                  <c:pt idx="7">
                    <c:v>July 2019</c:v>
                  </c:pt>
                  <c:pt idx="8">
                    <c:v>August 2019</c:v>
                  </c:pt>
                  <c:pt idx="9">
                    <c:v>September 2019</c:v>
                  </c:pt>
                  <c:pt idx="10">
                    <c:v>October 2019</c:v>
                  </c:pt>
                  <c:pt idx="11">
                    <c:v>November 2019</c:v>
                  </c:pt>
                  <c:pt idx="12">
                    <c:v>December 2019</c:v>
                  </c:pt>
                  <c:pt idx="13">
                    <c:v>January 2020</c:v>
                  </c:pt>
                  <c:pt idx="14">
                    <c:v>February 2020</c:v>
                  </c:pt>
                  <c:pt idx="15">
                    <c:v>March 2020</c:v>
                  </c:pt>
                  <c:pt idx="16">
                    <c:v>April 2020</c:v>
                  </c:pt>
                  <c:pt idx="17">
                    <c:v>May 2020</c:v>
                  </c:pt>
                  <c:pt idx="18">
                    <c:v>June 2020</c:v>
                  </c:pt>
                  <c:pt idx="19">
                    <c:v>July 2020</c:v>
                  </c:pt>
                  <c:pt idx="20">
                    <c:v>August 2020</c:v>
                  </c:pt>
                  <c:pt idx="21">
                    <c:v>September 2020</c:v>
                  </c:pt>
                  <c:pt idx="22">
                    <c:v>October 2020</c:v>
                  </c:pt>
                  <c:pt idx="23">
                    <c:v>November 2020</c:v>
                  </c:pt>
                  <c:pt idx="24">
                    <c:v>December 2020</c:v>
                  </c:pt>
                  <c:pt idx="25">
                    <c:v>January 2021</c:v>
                  </c:pt>
                  <c:pt idx="26">
                    <c:v>February 2021</c:v>
                  </c:pt>
                  <c:pt idx="27">
                    <c:v>March 2021</c:v>
                  </c:pt>
                  <c:pt idx="28">
                    <c:v>April 2021</c:v>
                  </c:pt>
                  <c:pt idx="29">
                    <c:v>May 2021</c:v>
                  </c:pt>
                  <c:pt idx="30">
                    <c:v>June 2021</c:v>
                  </c:pt>
                  <c:pt idx="31">
                    <c:v>July 2021</c:v>
                  </c:pt>
                  <c:pt idx="32">
                    <c:v>August 2021</c:v>
                  </c:pt>
                  <c:pt idx="33">
                    <c:v>September 2021</c:v>
                  </c:pt>
                  <c:pt idx="34">
                    <c:v>October 2021</c:v>
                  </c:pt>
                  <c:pt idx="35">
                    <c:v>November 2021</c:v>
                  </c:pt>
                  <c:pt idx="36">
                    <c:v>December 2021</c:v>
                  </c:pt>
                  <c:pt idx="37">
                    <c:v>January 2022</c:v>
                  </c:pt>
                  <c:pt idx="38">
                    <c:v>February 2022</c:v>
                  </c:pt>
                  <c:pt idx="39">
                    <c:v>March 2022</c:v>
                  </c:pt>
                  <c:pt idx="40">
                    <c:v>April 2022</c:v>
                  </c:pt>
                  <c:pt idx="41">
                    <c:v>May 2022</c:v>
                  </c:pt>
                  <c:pt idx="42">
                    <c:v>June 2022</c:v>
                  </c:pt>
                  <c:pt idx="43">
                    <c:v>July 2022</c:v>
                  </c:pt>
                  <c:pt idx="44">
                    <c:v>August 2022</c:v>
                  </c:pt>
                  <c:pt idx="45">
                    <c:v>September 2022</c:v>
                  </c:pt>
                  <c:pt idx="46">
                    <c:v>October 2022</c:v>
                  </c:pt>
                  <c:pt idx="47">
                    <c:v>November 2022</c:v>
                  </c:pt>
                  <c:pt idx="48">
                    <c:v>December 2022</c:v>
                  </c:pt>
                  <c:pt idx="49">
                    <c:v>January 2023</c:v>
                  </c:pt>
                  <c:pt idx="50">
                    <c:v>February 2023</c:v>
                  </c:pt>
                  <c:pt idx="51">
                    <c:v>March 2023</c:v>
                  </c:pt>
                  <c:pt idx="52">
                    <c:v>April 2023</c:v>
                  </c:pt>
                  <c:pt idx="53">
                    <c:v>May 2023</c:v>
                  </c:pt>
                  <c:pt idx="54">
                    <c:v>June 2023</c:v>
                  </c:pt>
                  <c:pt idx="55">
                    <c:v>July 2023</c:v>
                  </c:pt>
                  <c:pt idx="56">
                    <c:v>August 2023</c:v>
                  </c:pt>
                  <c:pt idx="57">
                    <c:v>September 2023</c:v>
                  </c:pt>
                  <c:pt idx="58">
                    <c:v>October 2023</c:v>
                  </c:pt>
                  <c:pt idx="59">
                    <c:v>November 2023</c:v>
                  </c:pt>
                  <c:pt idx="60">
                    <c:v>December 2023</c:v>
                  </c:pt>
                  <c:pt idx="61">
                    <c:v>January 2024</c:v>
                  </c:pt>
                  <c:pt idx="62">
                    <c:v>February 2024</c:v>
                  </c:pt>
                  <c:pt idx="63">
                    <c:v>March 2024</c:v>
                  </c:pt>
                  <c:pt idx="64">
                    <c:v>April 2024</c:v>
                  </c:pt>
                  <c:pt idx="65">
                    <c:v>May 2024</c:v>
                  </c:pt>
                  <c:pt idx="66">
                    <c:v>June 2024</c:v>
                  </c:pt>
                  <c:pt idx="67">
                    <c:v>July 2024</c:v>
                  </c:pt>
                  <c:pt idx="68">
                    <c:v>August 2024</c:v>
                  </c:pt>
                  <c:pt idx="69">
                    <c:v>September 2024</c:v>
                  </c:pt>
                  <c:pt idx="70">
                    <c:v>October 2024</c:v>
                  </c:pt>
                  <c:pt idx="71">
                    <c:v>November 2024</c:v>
                  </c:pt>
                  <c:pt idx="72">
                    <c:v>December 2024</c:v>
                  </c:pt>
                  <c:pt idx="73">
                    <c:v>January 2025</c:v>
                  </c:pt>
                  <c:pt idx="74">
                    <c:v>February 2025</c:v>
                  </c:pt>
                  <c:pt idx="75">
                    <c:v>March 2025</c:v>
                  </c:pt>
                  <c:pt idx="76">
                    <c:v>April 2025</c:v>
                  </c:pt>
                  <c:pt idx="77">
                    <c:v>May 2025</c:v>
                  </c:pt>
                  <c:pt idx="78">
                    <c:v>June 2025</c:v>
                  </c:pt>
                  <c:pt idx="79">
                    <c:v>July 2025</c:v>
                  </c:pt>
                  <c:pt idx="80">
                    <c:v>August 2025</c:v>
                  </c:pt>
                  <c:pt idx="81">
                    <c:v>September 2025</c:v>
                  </c:pt>
                  <c:pt idx="82">
                    <c:v>October 2025</c:v>
                  </c:pt>
                  <c:pt idx="83">
                    <c:v>November 2025</c:v>
                  </c:pt>
                  <c:pt idx="84">
                    <c:v>December 2025</c:v>
                  </c:pt>
                  <c:pt idx="85">
                    <c:v>January 2026</c:v>
                  </c:pt>
                  <c:pt idx="86">
                    <c:v>February 2026</c:v>
                  </c:pt>
                  <c:pt idx="87">
                    <c:v>March 2026</c:v>
                  </c:pt>
                  <c:pt idx="88">
                    <c:v>April 2026</c:v>
                  </c:pt>
                  <c:pt idx="89">
                    <c:v>May 2026</c:v>
                  </c:pt>
                  <c:pt idx="90">
                    <c:v>June 2026</c:v>
                  </c:pt>
                  <c:pt idx="91">
                    <c:v>July 2026</c:v>
                  </c:pt>
                  <c:pt idx="92">
                    <c:v>August 2026</c:v>
                  </c:pt>
                  <c:pt idx="93">
                    <c:v>September 2026</c:v>
                  </c:pt>
                  <c:pt idx="94">
                    <c:v>October 2026</c:v>
                  </c:pt>
                  <c:pt idx="95">
                    <c:v>November 2026</c:v>
                  </c:pt>
                  <c:pt idx="96">
                    <c:v>December 2026</c:v>
                  </c:pt>
                  <c:pt idx="97">
                    <c:v>January 2027</c:v>
                  </c:pt>
                  <c:pt idx="98">
                    <c:v>February 2027</c:v>
                  </c:pt>
                  <c:pt idx="99">
                    <c:v>March 2027</c:v>
                  </c:pt>
                  <c:pt idx="100">
                    <c:v>April 2027</c:v>
                  </c:pt>
                  <c:pt idx="101">
                    <c:v>May 2027</c:v>
                  </c:pt>
                  <c:pt idx="102">
                    <c:v>June 2027</c:v>
                  </c:pt>
                  <c:pt idx="103">
                    <c:v>July 2027</c:v>
                  </c:pt>
                  <c:pt idx="104">
                    <c:v>August 2027</c:v>
                  </c:pt>
                  <c:pt idx="105">
                    <c:v>September 2027</c:v>
                  </c:pt>
                  <c:pt idx="106">
                    <c:v>October 2027</c:v>
                  </c:pt>
                  <c:pt idx="107">
                    <c:v>November 2027</c:v>
                  </c:pt>
                  <c:pt idx="108">
                    <c:v>December 2027</c:v>
                  </c:pt>
                  <c:pt idx="109">
                    <c:v>January 2028</c:v>
                  </c:pt>
                  <c:pt idx="110">
                    <c:v>February 2028</c:v>
                  </c:pt>
                  <c:pt idx="111">
                    <c:v>March 2028</c:v>
                  </c:pt>
                  <c:pt idx="112">
                    <c:v>April 2028</c:v>
                  </c:pt>
                  <c:pt idx="113">
                    <c:v>May 2028</c:v>
                  </c:pt>
                  <c:pt idx="114">
                    <c:v>June 2028</c:v>
                  </c:pt>
                  <c:pt idx="115">
                    <c:v>July 2028</c:v>
                  </c:pt>
                  <c:pt idx="116">
                    <c:v>August 2028</c:v>
                  </c:pt>
                  <c:pt idx="117">
                    <c:v>September 2028</c:v>
                  </c:pt>
                  <c:pt idx="118">
                    <c:v>October 2028</c:v>
                  </c:pt>
                  <c:pt idx="119">
                    <c:v>November 2028</c:v>
                  </c:pt>
                  <c:pt idx="120">
                    <c:v>December 2028</c:v>
                  </c:pt>
                  <c:pt idx="121">
                    <c:v>January 2029</c:v>
                  </c:pt>
                  <c:pt idx="122">
                    <c:v>February 2029</c:v>
                  </c:pt>
                  <c:pt idx="123">
                    <c:v>March 2029</c:v>
                  </c:pt>
                  <c:pt idx="124">
                    <c:v>April 2029</c:v>
                  </c:pt>
                  <c:pt idx="125">
                    <c:v>May 2029</c:v>
                  </c:pt>
                  <c:pt idx="126">
                    <c:v>June 2029</c:v>
                  </c:pt>
                  <c:pt idx="127">
                    <c:v>July 2029</c:v>
                  </c:pt>
                  <c:pt idx="128">
                    <c:v>August 2029</c:v>
                  </c:pt>
                  <c:pt idx="129">
                    <c:v>September 2029</c:v>
                  </c:pt>
                  <c:pt idx="130">
                    <c:v>October 2029</c:v>
                  </c:pt>
                  <c:pt idx="131">
                    <c:v>November 2029</c:v>
                  </c:pt>
                  <c:pt idx="132">
                    <c:v>December 2029</c:v>
                  </c:pt>
                  <c:pt idx="133">
                    <c:v>January 2030</c:v>
                  </c:pt>
                  <c:pt idx="134">
                    <c:v>February 2030</c:v>
                  </c:pt>
                  <c:pt idx="135">
                    <c:v>March 2030</c:v>
                  </c:pt>
                  <c:pt idx="136">
                    <c:v>April 2030</c:v>
                  </c:pt>
                  <c:pt idx="137">
                    <c:v>May 2030</c:v>
                  </c:pt>
                  <c:pt idx="138">
                    <c:v>June 2030</c:v>
                  </c:pt>
                  <c:pt idx="139">
                    <c:v>July 2030</c:v>
                  </c:pt>
                  <c:pt idx="140">
                    <c:v>August 2030</c:v>
                  </c:pt>
                  <c:pt idx="141">
                    <c:v>September 2030</c:v>
                  </c:pt>
                  <c:pt idx="142">
                    <c:v>October 2030</c:v>
                  </c:pt>
                  <c:pt idx="143">
                    <c:v>November 2030</c:v>
                  </c:pt>
                  <c:pt idx="144">
                    <c:v>December 2030</c:v>
                  </c:pt>
                </c:lvl>
                <c:lvl>
                  <c:pt idx="1">
                    <c:v>2019-01-01</c:v>
                  </c:pt>
                  <c:pt idx="2">
                    <c:v>2019-02-01</c:v>
                  </c:pt>
                  <c:pt idx="3">
                    <c:v>2019-03-01</c:v>
                  </c:pt>
                  <c:pt idx="4">
                    <c:v>2019-04-01</c:v>
                  </c:pt>
                  <c:pt idx="5">
                    <c:v>2019-05-01</c:v>
                  </c:pt>
                  <c:pt idx="6">
                    <c:v>2019-06-01</c:v>
                  </c:pt>
                  <c:pt idx="7">
                    <c:v>2019-07-01</c:v>
                  </c:pt>
                  <c:pt idx="8">
                    <c:v>2019-08-01</c:v>
                  </c:pt>
                  <c:pt idx="9">
                    <c:v>2019-09-01</c:v>
                  </c:pt>
                  <c:pt idx="10">
                    <c:v>2019-10-01</c:v>
                  </c:pt>
                  <c:pt idx="11">
                    <c:v>2019-11-01</c:v>
                  </c:pt>
                  <c:pt idx="12">
                    <c:v>2019-12-01</c:v>
                  </c:pt>
                  <c:pt idx="13">
                    <c:v>2020-01-01</c:v>
                  </c:pt>
                  <c:pt idx="14">
                    <c:v>2020-02-01</c:v>
                  </c:pt>
                  <c:pt idx="15">
                    <c:v>2020-03-01</c:v>
                  </c:pt>
                  <c:pt idx="16">
                    <c:v>2020-04-01</c:v>
                  </c:pt>
                  <c:pt idx="17">
                    <c:v>2020-05-01</c:v>
                  </c:pt>
                  <c:pt idx="18">
                    <c:v>2020-06-01</c:v>
                  </c:pt>
                  <c:pt idx="19">
                    <c:v>2020-07-01</c:v>
                  </c:pt>
                  <c:pt idx="20">
                    <c:v>2020-08-01</c:v>
                  </c:pt>
                  <c:pt idx="21">
                    <c:v>2020-09-01</c:v>
                  </c:pt>
                  <c:pt idx="22">
                    <c:v>2020-10-01</c:v>
                  </c:pt>
                  <c:pt idx="23">
                    <c:v>2020-11-01</c:v>
                  </c:pt>
                  <c:pt idx="24">
                    <c:v>2020-12-01</c:v>
                  </c:pt>
                  <c:pt idx="25">
                    <c:v>2021-01-01</c:v>
                  </c:pt>
                  <c:pt idx="26">
                    <c:v>2021-02-01</c:v>
                  </c:pt>
                  <c:pt idx="27">
                    <c:v>2021-03-01</c:v>
                  </c:pt>
                  <c:pt idx="28">
                    <c:v>2021-04-01</c:v>
                  </c:pt>
                  <c:pt idx="29">
                    <c:v>2021-05-01</c:v>
                  </c:pt>
                  <c:pt idx="30">
                    <c:v>2021-06-01</c:v>
                  </c:pt>
                  <c:pt idx="31">
                    <c:v>2021-07-01</c:v>
                  </c:pt>
                  <c:pt idx="32">
                    <c:v>2021-08-01</c:v>
                  </c:pt>
                  <c:pt idx="33">
                    <c:v>2021-09-01</c:v>
                  </c:pt>
                  <c:pt idx="34">
                    <c:v>2021-10-01</c:v>
                  </c:pt>
                  <c:pt idx="35">
                    <c:v>2021-11-01</c:v>
                  </c:pt>
                  <c:pt idx="36">
                    <c:v>2021-12-01</c:v>
                  </c:pt>
                  <c:pt idx="37">
                    <c:v>2022-01-01</c:v>
                  </c:pt>
                  <c:pt idx="38">
                    <c:v>2022-02-01</c:v>
                  </c:pt>
                  <c:pt idx="39">
                    <c:v>2022-03-01</c:v>
                  </c:pt>
                  <c:pt idx="40">
                    <c:v>2022-04-01</c:v>
                  </c:pt>
                  <c:pt idx="41">
                    <c:v>2022-05-01</c:v>
                  </c:pt>
                  <c:pt idx="42">
                    <c:v>2022-06-01</c:v>
                  </c:pt>
                  <c:pt idx="43">
                    <c:v>2022-07-01</c:v>
                  </c:pt>
                  <c:pt idx="44">
                    <c:v>2022-08-01</c:v>
                  </c:pt>
                  <c:pt idx="45">
                    <c:v>2022-09-01</c:v>
                  </c:pt>
                  <c:pt idx="46">
                    <c:v>2022-10-01</c:v>
                  </c:pt>
                  <c:pt idx="47">
                    <c:v>2022-11-01</c:v>
                  </c:pt>
                  <c:pt idx="48">
                    <c:v>2022-12-01</c:v>
                  </c:pt>
                  <c:pt idx="49">
                    <c:v>2023-01-01</c:v>
                  </c:pt>
                  <c:pt idx="50">
                    <c:v>2023-02-01</c:v>
                  </c:pt>
                  <c:pt idx="51">
                    <c:v>2023-03-01</c:v>
                  </c:pt>
                  <c:pt idx="52">
                    <c:v>2023-04-01</c:v>
                  </c:pt>
                  <c:pt idx="53">
                    <c:v>2023-05-01</c:v>
                  </c:pt>
                  <c:pt idx="54">
                    <c:v>2023-06-01</c:v>
                  </c:pt>
                  <c:pt idx="55">
                    <c:v>2023-07-01</c:v>
                  </c:pt>
                  <c:pt idx="56">
                    <c:v>2023-08-01</c:v>
                  </c:pt>
                  <c:pt idx="57">
                    <c:v>2023-09-01</c:v>
                  </c:pt>
                  <c:pt idx="58">
                    <c:v>2023-10-01</c:v>
                  </c:pt>
                  <c:pt idx="59">
                    <c:v>2023-11-01</c:v>
                  </c:pt>
                  <c:pt idx="60">
                    <c:v>2023-12-01</c:v>
                  </c:pt>
                  <c:pt idx="61">
                    <c:v>2024-01-01</c:v>
                  </c:pt>
                  <c:pt idx="62">
                    <c:v>2024-02-01</c:v>
                  </c:pt>
                  <c:pt idx="63">
                    <c:v>2024-03-01</c:v>
                  </c:pt>
                  <c:pt idx="64">
                    <c:v>2024-04-01</c:v>
                  </c:pt>
                  <c:pt idx="65">
                    <c:v>2024-05-01</c:v>
                  </c:pt>
                  <c:pt idx="66">
                    <c:v>2024-06-01</c:v>
                  </c:pt>
                  <c:pt idx="67">
                    <c:v>2024-07-01</c:v>
                  </c:pt>
                  <c:pt idx="68">
                    <c:v>2024-08-01</c:v>
                  </c:pt>
                  <c:pt idx="69">
                    <c:v>2024-09-01</c:v>
                  </c:pt>
                  <c:pt idx="70">
                    <c:v>2024-10-01</c:v>
                  </c:pt>
                  <c:pt idx="71">
                    <c:v>2024-11-01</c:v>
                  </c:pt>
                  <c:pt idx="72">
                    <c:v>2024-12-01</c:v>
                  </c:pt>
                  <c:pt idx="73">
                    <c:v>2025-01-01</c:v>
                  </c:pt>
                  <c:pt idx="74">
                    <c:v>2025-02-01</c:v>
                  </c:pt>
                  <c:pt idx="75">
                    <c:v>2025-03-01</c:v>
                  </c:pt>
                  <c:pt idx="76">
                    <c:v>2025-04-01</c:v>
                  </c:pt>
                  <c:pt idx="77">
                    <c:v>2025-05-01</c:v>
                  </c:pt>
                  <c:pt idx="78">
                    <c:v>2025-06-01</c:v>
                  </c:pt>
                  <c:pt idx="79">
                    <c:v>2025-07-01</c:v>
                  </c:pt>
                  <c:pt idx="80">
                    <c:v>2025-08-01</c:v>
                  </c:pt>
                  <c:pt idx="81">
                    <c:v>2025-09-01</c:v>
                  </c:pt>
                  <c:pt idx="82">
                    <c:v>2025-10-01</c:v>
                  </c:pt>
                  <c:pt idx="83">
                    <c:v>2025-11-01</c:v>
                  </c:pt>
                  <c:pt idx="84">
                    <c:v>2025-12-01</c:v>
                  </c:pt>
                  <c:pt idx="85">
                    <c:v>2026-01-01</c:v>
                  </c:pt>
                  <c:pt idx="86">
                    <c:v>2026-02-01</c:v>
                  </c:pt>
                  <c:pt idx="87">
                    <c:v>2026-03-01</c:v>
                  </c:pt>
                  <c:pt idx="88">
                    <c:v>2026-04-01</c:v>
                  </c:pt>
                  <c:pt idx="89">
                    <c:v>2026-05-01</c:v>
                  </c:pt>
                  <c:pt idx="90">
                    <c:v>2026-06-01</c:v>
                  </c:pt>
                  <c:pt idx="91">
                    <c:v>2026-07-01</c:v>
                  </c:pt>
                  <c:pt idx="92">
                    <c:v>2026-08-01</c:v>
                  </c:pt>
                  <c:pt idx="93">
                    <c:v>2026-09-01</c:v>
                  </c:pt>
                  <c:pt idx="94">
                    <c:v>2026-10-01</c:v>
                  </c:pt>
                  <c:pt idx="95">
                    <c:v>2026-11-01</c:v>
                  </c:pt>
                  <c:pt idx="96">
                    <c:v>2026-12-01</c:v>
                  </c:pt>
                  <c:pt idx="97">
                    <c:v>2027-01-01</c:v>
                  </c:pt>
                  <c:pt idx="98">
                    <c:v>2027-02-01</c:v>
                  </c:pt>
                  <c:pt idx="99">
                    <c:v>2027-03-01</c:v>
                  </c:pt>
                  <c:pt idx="100">
                    <c:v>2027-04-01</c:v>
                  </c:pt>
                  <c:pt idx="101">
                    <c:v>2027-05-01</c:v>
                  </c:pt>
                  <c:pt idx="102">
                    <c:v>2027-06-01</c:v>
                  </c:pt>
                  <c:pt idx="103">
                    <c:v>2027-07-01</c:v>
                  </c:pt>
                  <c:pt idx="104">
                    <c:v>2027-08-01</c:v>
                  </c:pt>
                  <c:pt idx="105">
                    <c:v>2027-09-01</c:v>
                  </c:pt>
                  <c:pt idx="106">
                    <c:v>2027-10-01</c:v>
                  </c:pt>
                  <c:pt idx="107">
                    <c:v>2027-11-01</c:v>
                  </c:pt>
                  <c:pt idx="108">
                    <c:v>2027-12-01</c:v>
                  </c:pt>
                  <c:pt idx="109">
                    <c:v>2028-01-01</c:v>
                  </c:pt>
                  <c:pt idx="110">
                    <c:v>2028-02-01</c:v>
                  </c:pt>
                  <c:pt idx="111">
                    <c:v>2028-03-01</c:v>
                  </c:pt>
                  <c:pt idx="112">
                    <c:v>2028-04-01</c:v>
                  </c:pt>
                  <c:pt idx="113">
                    <c:v>2028-05-01</c:v>
                  </c:pt>
                  <c:pt idx="114">
                    <c:v>2028-06-01</c:v>
                  </c:pt>
                  <c:pt idx="115">
                    <c:v>2028-07-01</c:v>
                  </c:pt>
                  <c:pt idx="116">
                    <c:v>2028-08-01</c:v>
                  </c:pt>
                  <c:pt idx="117">
                    <c:v>2028-09-01</c:v>
                  </c:pt>
                  <c:pt idx="118">
                    <c:v>2028-10-01</c:v>
                  </c:pt>
                  <c:pt idx="119">
                    <c:v>2028-11-01</c:v>
                  </c:pt>
                  <c:pt idx="120">
                    <c:v>2028-12-01</c:v>
                  </c:pt>
                  <c:pt idx="121">
                    <c:v>2029-01-01</c:v>
                  </c:pt>
                  <c:pt idx="122">
                    <c:v>2029-02-01</c:v>
                  </c:pt>
                  <c:pt idx="123">
                    <c:v>2029-03-01</c:v>
                  </c:pt>
                  <c:pt idx="124">
                    <c:v>2029-04-01</c:v>
                  </c:pt>
                  <c:pt idx="125">
                    <c:v>2029-05-01</c:v>
                  </c:pt>
                  <c:pt idx="126">
                    <c:v>2029-06-01</c:v>
                  </c:pt>
                  <c:pt idx="127">
                    <c:v>2029-07-01</c:v>
                  </c:pt>
                  <c:pt idx="128">
                    <c:v>2029-08-01</c:v>
                  </c:pt>
                  <c:pt idx="129">
                    <c:v>2029-09-01</c:v>
                  </c:pt>
                  <c:pt idx="130">
                    <c:v>2029-10-01</c:v>
                  </c:pt>
                  <c:pt idx="131">
                    <c:v>2029-11-01</c:v>
                  </c:pt>
                  <c:pt idx="132">
                    <c:v>2029-12-01</c:v>
                  </c:pt>
                  <c:pt idx="133">
                    <c:v>2030-01-01</c:v>
                  </c:pt>
                  <c:pt idx="134">
                    <c:v>2030-02-01</c:v>
                  </c:pt>
                  <c:pt idx="135">
                    <c:v>2030-03-01</c:v>
                  </c:pt>
                  <c:pt idx="136">
                    <c:v>2030-04-01</c:v>
                  </c:pt>
                  <c:pt idx="137">
                    <c:v>2030-05-01</c:v>
                  </c:pt>
                  <c:pt idx="138">
                    <c:v>2030-06-01</c:v>
                  </c:pt>
                  <c:pt idx="139">
                    <c:v>2030-07-01</c:v>
                  </c:pt>
                  <c:pt idx="140">
                    <c:v>2030-08-01</c:v>
                  </c:pt>
                  <c:pt idx="141">
                    <c:v>2030-09-01</c:v>
                  </c:pt>
                  <c:pt idx="142">
                    <c:v>2030-10-01</c:v>
                  </c:pt>
                  <c:pt idx="143">
                    <c:v>2030-11-01</c:v>
                  </c:pt>
                  <c:pt idx="144">
                    <c:v>2030-12-01</c:v>
                  </c:pt>
                </c:lvl>
              </c:multiLvlStrCache>
            </c:multiLvlStrRef>
          </c:cat>
          <c:val>
            <c:numRef>
              <c:f>Overview!$G$3:$G$147</c:f>
              <c:numCache>
                <c:formatCode>_("$"* #,##0.00_);_("$"* \(#,##0.00\);_("$"* "-"??_);_(@_)</c:formatCode>
                <c:ptCount val="14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-117.18</c:v>
                </c:pt>
                <c:pt idx="13">
                  <c:v>-11.09</c:v>
                </c:pt>
                <c:pt idx="14">
                  <c:v>0</c:v>
                </c:pt>
                <c:pt idx="15">
                  <c:v>-5.54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-201.95</c:v>
                </c:pt>
                <c:pt idx="20">
                  <c:v>-2503.88</c:v>
                </c:pt>
                <c:pt idx="21">
                  <c:v>0</c:v>
                </c:pt>
                <c:pt idx="22">
                  <c:v>-110.97</c:v>
                </c:pt>
                <c:pt idx="23">
                  <c:v>-103.18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-194.23</c:v>
                </c:pt>
                <c:pt idx="28">
                  <c:v>-511.65999999999997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-7.76</c:v>
                </c:pt>
                <c:pt idx="34">
                  <c:v>0</c:v>
                </c:pt>
                <c:pt idx="35">
                  <c:v>0</c:v>
                </c:pt>
                <c:pt idx="36">
                  <c:v>-22.19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-11.09</c:v>
                </c:pt>
                <c:pt idx="42">
                  <c:v>0</c:v>
                </c:pt>
                <c:pt idx="43">
                  <c:v>0</c:v>
                </c:pt>
                <c:pt idx="44">
                  <c:v>-113.73</c:v>
                </c:pt>
                <c:pt idx="45">
                  <c:v>0</c:v>
                </c:pt>
                <c:pt idx="46">
                  <c:v>-62.92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-22.19</c:v>
                </c:pt>
                <c:pt idx="52">
                  <c:v>0</c:v>
                </c:pt>
                <c:pt idx="53">
                  <c:v>-100.94</c:v>
                </c:pt>
                <c:pt idx="54">
                  <c:v>0</c:v>
                </c:pt>
                <c:pt idx="55">
                  <c:v>-22.19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-207.97</c:v>
                </c:pt>
                <c:pt idx="61">
                  <c:v>0</c:v>
                </c:pt>
                <c:pt idx="62">
                  <c:v>0</c:v>
                </c:pt>
                <c:pt idx="63">
                  <c:v>-153.16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Overview!$H$2</c:f>
              <c:strCache>
                <c:ptCount val="1"/>
                <c:pt idx="0">
                  <c:v>Misc</c:v>
                </c:pt>
              </c:strCache>
            </c:strRef>
          </c:tx>
          <c:marker>
            <c:symbol val="none"/>
          </c:marker>
          <c:cat>
            <c:multiLvlStrRef>
              <c:f>Overview!$A$3:$B$147</c:f>
              <c:multiLvlStrCache>
                <c:ptCount val="145"/>
                <c:lvl>
                  <c:pt idx="1">
                    <c:v>January 2019</c:v>
                  </c:pt>
                  <c:pt idx="2">
                    <c:v>February 2019</c:v>
                  </c:pt>
                  <c:pt idx="3">
                    <c:v>March 2019</c:v>
                  </c:pt>
                  <c:pt idx="4">
                    <c:v>April 2019</c:v>
                  </c:pt>
                  <c:pt idx="5">
                    <c:v>May 2019</c:v>
                  </c:pt>
                  <c:pt idx="6">
                    <c:v>June 2019</c:v>
                  </c:pt>
                  <c:pt idx="7">
                    <c:v>July 2019</c:v>
                  </c:pt>
                  <c:pt idx="8">
                    <c:v>August 2019</c:v>
                  </c:pt>
                  <c:pt idx="9">
                    <c:v>September 2019</c:v>
                  </c:pt>
                  <c:pt idx="10">
                    <c:v>October 2019</c:v>
                  </c:pt>
                  <c:pt idx="11">
                    <c:v>November 2019</c:v>
                  </c:pt>
                  <c:pt idx="12">
                    <c:v>December 2019</c:v>
                  </c:pt>
                  <c:pt idx="13">
                    <c:v>January 2020</c:v>
                  </c:pt>
                  <c:pt idx="14">
                    <c:v>February 2020</c:v>
                  </c:pt>
                  <c:pt idx="15">
                    <c:v>March 2020</c:v>
                  </c:pt>
                  <c:pt idx="16">
                    <c:v>April 2020</c:v>
                  </c:pt>
                  <c:pt idx="17">
                    <c:v>May 2020</c:v>
                  </c:pt>
                  <c:pt idx="18">
                    <c:v>June 2020</c:v>
                  </c:pt>
                  <c:pt idx="19">
                    <c:v>July 2020</c:v>
                  </c:pt>
                  <c:pt idx="20">
                    <c:v>August 2020</c:v>
                  </c:pt>
                  <c:pt idx="21">
                    <c:v>September 2020</c:v>
                  </c:pt>
                  <c:pt idx="22">
                    <c:v>October 2020</c:v>
                  </c:pt>
                  <c:pt idx="23">
                    <c:v>November 2020</c:v>
                  </c:pt>
                  <c:pt idx="24">
                    <c:v>December 2020</c:v>
                  </c:pt>
                  <c:pt idx="25">
                    <c:v>January 2021</c:v>
                  </c:pt>
                  <c:pt idx="26">
                    <c:v>February 2021</c:v>
                  </c:pt>
                  <c:pt idx="27">
                    <c:v>March 2021</c:v>
                  </c:pt>
                  <c:pt idx="28">
                    <c:v>April 2021</c:v>
                  </c:pt>
                  <c:pt idx="29">
                    <c:v>May 2021</c:v>
                  </c:pt>
                  <c:pt idx="30">
                    <c:v>June 2021</c:v>
                  </c:pt>
                  <c:pt idx="31">
                    <c:v>July 2021</c:v>
                  </c:pt>
                  <c:pt idx="32">
                    <c:v>August 2021</c:v>
                  </c:pt>
                  <c:pt idx="33">
                    <c:v>September 2021</c:v>
                  </c:pt>
                  <c:pt idx="34">
                    <c:v>October 2021</c:v>
                  </c:pt>
                  <c:pt idx="35">
                    <c:v>November 2021</c:v>
                  </c:pt>
                  <c:pt idx="36">
                    <c:v>December 2021</c:v>
                  </c:pt>
                  <c:pt idx="37">
                    <c:v>January 2022</c:v>
                  </c:pt>
                  <c:pt idx="38">
                    <c:v>February 2022</c:v>
                  </c:pt>
                  <c:pt idx="39">
                    <c:v>March 2022</c:v>
                  </c:pt>
                  <c:pt idx="40">
                    <c:v>April 2022</c:v>
                  </c:pt>
                  <c:pt idx="41">
                    <c:v>May 2022</c:v>
                  </c:pt>
                  <c:pt idx="42">
                    <c:v>June 2022</c:v>
                  </c:pt>
                  <c:pt idx="43">
                    <c:v>July 2022</c:v>
                  </c:pt>
                  <c:pt idx="44">
                    <c:v>August 2022</c:v>
                  </c:pt>
                  <c:pt idx="45">
                    <c:v>September 2022</c:v>
                  </c:pt>
                  <c:pt idx="46">
                    <c:v>October 2022</c:v>
                  </c:pt>
                  <c:pt idx="47">
                    <c:v>November 2022</c:v>
                  </c:pt>
                  <c:pt idx="48">
                    <c:v>December 2022</c:v>
                  </c:pt>
                  <c:pt idx="49">
                    <c:v>January 2023</c:v>
                  </c:pt>
                  <c:pt idx="50">
                    <c:v>February 2023</c:v>
                  </c:pt>
                  <c:pt idx="51">
                    <c:v>March 2023</c:v>
                  </c:pt>
                  <c:pt idx="52">
                    <c:v>April 2023</c:v>
                  </c:pt>
                  <c:pt idx="53">
                    <c:v>May 2023</c:v>
                  </c:pt>
                  <c:pt idx="54">
                    <c:v>June 2023</c:v>
                  </c:pt>
                  <c:pt idx="55">
                    <c:v>July 2023</c:v>
                  </c:pt>
                  <c:pt idx="56">
                    <c:v>August 2023</c:v>
                  </c:pt>
                  <c:pt idx="57">
                    <c:v>September 2023</c:v>
                  </c:pt>
                  <c:pt idx="58">
                    <c:v>October 2023</c:v>
                  </c:pt>
                  <c:pt idx="59">
                    <c:v>November 2023</c:v>
                  </c:pt>
                  <c:pt idx="60">
                    <c:v>December 2023</c:v>
                  </c:pt>
                  <c:pt idx="61">
                    <c:v>January 2024</c:v>
                  </c:pt>
                  <c:pt idx="62">
                    <c:v>February 2024</c:v>
                  </c:pt>
                  <c:pt idx="63">
                    <c:v>March 2024</c:v>
                  </c:pt>
                  <c:pt idx="64">
                    <c:v>April 2024</c:v>
                  </c:pt>
                  <c:pt idx="65">
                    <c:v>May 2024</c:v>
                  </c:pt>
                  <c:pt idx="66">
                    <c:v>June 2024</c:v>
                  </c:pt>
                  <c:pt idx="67">
                    <c:v>July 2024</c:v>
                  </c:pt>
                  <c:pt idx="68">
                    <c:v>August 2024</c:v>
                  </c:pt>
                  <c:pt idx="69">
                    <c:v>September 2024</c:v>
                  </c:pt>
                  <c:pt idx="70">
                    <c:v>October 2024</c:v>
                  </c:pt>
                  <c:pt idx="71">
                    <c:v>November 2024</c:v>
                  </c:pt>
                  <c:pt idx="72">
                    <c:v>December 2024</c:v>
                  </c:pt>
                  <c:pt idx="73">
                    <c:v>January 2025</c:v>
                  </c:pt>
                  <c:pt idx="74">
                    <c:v>February 2025</c:v>
                  </c:pt>
                  <c:pt idx="75">
                    <c:v>March 2025</c:v>
                  </c:pt>
                  <c:pt idx="76">
                    <c:v>April 2025</c:v>
                  </c:pt>
                  <c:pt idx="77">
                    <c:v>May 2025</c:v>
                  </c:pt>
                  <c:pt idx="78">
                    <c:v>June 2025</c:v>
                  </c:pt>
                  <c:pt idx="79">
                    <c:v>July 2025</c:v>
                  </c:pt>
                  <c:pt idx="80">
                    <c:v>August 2025</c:v>
                  </c:pt>
                  <c:pt idx="81">
                    <c:v>September 2025</c:v>
                  </c:pt>
                  <c:pt idx="82">
                    <c:v>October 2025</c:v>
                  </c:pt>
                  <c:pt idx="83">
                    <c:v>November 2025</c:v>
                  </c:pt>
                  <c:pt idx="84">
                    <c:v>December 2025</c:v>
                  </c:pt>
                  <c:pt idx="85">
                    <c:v>January 2026</c:v>
                  </c:pt>
                  <c:pt idx="86">
                    <c:v>February 2026</c:v>
                  </c:pt>
                  <c:pt idx="87">
                    <c:v>March 2026</c:v>
                  </c:pt>
                  <c:pt idx="88">
                    <c:v>April 2026</c:v>
                  </c:pt>
                  <c:pt idx="89">
                    <c:v>May 2026</c:v>
                  </c:pt>
                  <c:pt idx="90">
                    <c:v>June 2026</c:v>
                  </c:pt>
                  <c:pt idx="91">
                    <c:v>July 2026</c:v>
                  </c:pt>
                  <c:pt idx="92">
                    <c:v>August 2026</c:v>
                  </c:pt>
                  <c:pt idx="93">
                    <c:v>September 2026</c:v>
                  </c:pt>
                  <c:pt idx="94">
                    <c:v>October 2026</c:v>
                  </c:pt>
                  <c:pt idx="95">
                    <c:v>November 2026</c:v>
                  </c:pt>
                  <c:pt idx="96">
                    <c:v>December 2026</c:v>
                  </c:pt>
                  <c:pt idx="97">
                    <c:v>January 2027</c:v>
                  </c:pt>
                  <c:pt idx="98">
                    <c:v>February 2027</c:v>
                  </c:pt>
                  <c:pt idx="99">
                    <c:v>March 2027</c:v>
                  </c:pt>
                  <c:pt idx="100">
                    <c:v>April 2027</c:v>
                  </c:pt>
                  <c:pt idx="101">
                    <c:v>May 2027</c:v>
                  </c:pt>
                  <c:pt idx="102">
                    <c:v>June 2027</c:v>
                  </c:pt>
                  <c:pt idx="103">
                    <c:v>July 2027</c:v>
                  </c:pt>
                  <c:pt idx="104">
                    <c:v>August 2027</c:v>
                  </c:pt>
                  <c:pt idx="105">
                    <c:v>September 2027</c:v>
                  </c:pt>
                  <c:pt idx="106">
                    <c:v>October 2027</c:v>
                  </c:pt>
                  <c:pt idx="107">
                    <c:v>November 2027</c:v>
                  </c:pt>
                  <c:pt idx="108">
                    <c:v>December 2027</c:v>
                  </c:pt>
                  <c:pt idx="109">
                    <c:v>January 2028</c:v>
                  </c:pt>
                  <c:pt idx="110">
                    <c:v>February 2028</c:v>
                  </c:pt>
                  <c:pt idx="111">
                    <c:v>March 2028</c:v>
                  </c:pt>
                  <c:pt idx="112">
                    <c:v>April 2028</c:v>
                  </c:pt>
                  <c:pt idx="113">
                    <c:v>May 2028</c:v>
                  </c:pt>
                  <c:pt idx="114">
                    <c:v>June 2028</c:v>
                  </c:pt>
                  <c:pt idx="115">
                    <c:v>July 2028</c:v>
                  </c:pt>
                  <c:pt idx="116">
                    <c:v>August 2028</c:v>
                  </c:pt>
                  <c:pt idx="117">
                    <c:v>September 2028</c:v>
                  </c:pt>
                  <c:pt idx="118">
                    <c:v>October 2028</c:v>
                  </c:pt>
                  <c:pt idx="119">
                    <c:v>November 2028</c:v>
                  </c:pt>
                  <c:pt idx="120">
                    <c:v>December 2028</c:v>
                  </c:pt>
                  <c:pt idx="121">
                    <c:v>January 2029</c:v>
                  </c:pt>
                  <c:pt idx="122">
                    <c:v>February 2029</c:v>
                  </c:pt>
                  <c:pt idx="123">
                    <c:v>March 2029</c:v>
                  </c:pt>
                  <c:pt idx="124">
                    <c:v>April 2029</c:v>
                  </c:pt>
                  <c:pt idx="125">
                    <c:v>May 2029</c:v>
                  </c:pt>
                  <c:pt idx="126">
                    <c:v>June 2029</c:v>
                  </c:pt>
                  <c:pt idx="127">
                    <c:v>July 2029</c:v>
                  </c:pt>
                  <c:pt idx="128">
                    <c:v>August 2029</c:v>
                  </c:pt>
                  <c:pt idx="129">
                    <c:v>September 2029</c:v>
                  </c:pt>
                  <c:pt idx="130">
                    <c:v>October 2029</c:v>
                  </c:pt>
                  <c:pt idx="131">
                    <c:v>November 2029</c:v>
                  </c:pt>
                  <c:pt idx="132">
                    <c:v>December 2029</c:v>
                  </c:pt>
                  <c:pt idx="133">
                    <c:v>January 2030</c:v>
                  </c:pt>
                  <c:pt idx="134">
                    <c:v>February 2030</c:v>
                  </c:pt>
                  <c:pt idx="135">
                    <c:v>March 2030</c:v>
                  </c:pt>
                  <c:pt idx="136">
                    <c:v>April 2030</c:v>
                  </c:pt>
                  <c:pt idx="137">
                    <c:v>May 2030</c:v>
                  </c:pt>
                  <c:pt idx="138">
                    <c:v>June 2030</c:v>
                  </c:pt>
                  <c:pt idx="139">
                    <c:v>July 2030</c:v>
                  </c:pt>
                  <c:pt idx="140">
                    <c:v>August 2030</c:v>
                  </c:pt>
                  <c:pt idx="141">
                    <c:v>September 2030</c:v>
                  </c:pt>
                  <c:pt idx="142">
                    <c:v>October 2030</c:v>
                  </c:pt>
                  <c:pt idx="143">
                    <c:v>November 2030</c:v>
                  </c:pt>
                  <c:pt idx="144">
                    <c:v>December 2030</c:v>
                  </c:pt>
                </c:lvl>
                <c:lvl>
                  <c:pt idx="1">
                    <c:v>2019-01-01</c:v>
                  </c:pt>
                  <c:pt idx="2">
                    <c:v>2019-02-01</c:v>
                  </c:pt>
                  <c:pt idx="3">
                    <c:v>2019-03-01</c:v>
                  </c:pt>
                  <c:pt idx="4">
                    <c:v>2019-04-01</c:v>
                  </c:pt>
                  <c:pt idx="5">
                    <c:v>2019-05-01</c:v>
                  </c:pt>
                  <c:pt idx="6">
                    <c:v>2019-06-01</c:v>
                  </c:pt>
                  <c:pt idx="7">
                    <c:v>2019-07-01</c:v>
                  </c:pt>
                  <c:pt idx="8">
                    <c:v>2019-08-01</c:v>
                  </c:pt>
                  <c:pt idx="9">
                    <c:v>2019-09-01</c:v>
                  </c:pt>
                  <c:pt idx="10">
                    <c:v>2019-10-01</c:v>
                  </c:pt>
                  <c:pt idx="11">
                    <c:v>2019-11-01</c:v>
                  </c:pt>
                  <c:pt idx="12">
                    <c:v>2019-12-01</c:v>
                  </c:pt>
                  <c:pt idx="13">
                    <c:v>2020-01-01</c:v>
                  </c:pt>
                  <c:pt idx="14">
                    <c:v>2020-02-01</c:v>
                  </c:pt>
                  <c:pt idx="15">
                    <c:v>2020-03-01</c:v>
                  </c:pt>
                  <c:pt idx="16">
                    <c:v>2020-04-01</c:v>
                  </c:pt>
                  <c:pt idx="17">
                    <c:v>2020-05-01</c:v>
                  </c:pt>
                  <c:pt idx="18">
                    <c:v>2020-06-01</c:v>
                  </c:pt>
                  <c:pt idx="19">
                    <c:v>2020-07-01</c:v>
                  </c:pt>
                  <c:pt idx="20">
                    <c:v>2020-08-01</c:v>
                  </c:pt>
                  <c:pt idx="21">
                    <c:v>2020-09-01</c:v>
                  </c:pt>
                  <c:pt idx="22">
                    <c:v>2020-10-01</c:v>
                  </c:pt>
                  <c:pt idx="23">
                    <c:v>2020-11-01</c:v>
                  </c:pt>
                  <c:pt idx="24">
                    <c:v>2020-12-01</c:v>
                  </c:pt>
                  <c:pt idx="25">
                    <c:v>2021-01-01</c:v>
                  </c:pt>
                  <c:pt idx="26">
                    <c:v>2021-02-01</c:v>
                  </c:pt>
                  <c:pt idx="27">
                    <c:v>2021-03-01</c:v>
                  </c:pt>
                  <c:pt idx="28">
                    <c:v>2021-04-01</c:v>
                  </c:pt>
                  <c:pt idx="29">
                    <c:v>2021-05-01</c:v>
                  </c:pt>
                  <c:pt idx="30">
                    <c:v>2021-06-01</c:v>
                  </c:pt>
                  <c:pt idx="31">
                    <c:v>2021-07-01</c:v>
                  </c:pt>
                  <c:pt idx="32">
                    <c:v>2021-08-01</c:v>
                  </c:pt>
                  <c:pt idx="33">
                    <c:v>2021-09-01</c:v>
                  </c:pt>
                  <c:pt idx="34">
                    <c:v>2021-10-01</c:v>
                  </c:pt>
                  <c:pt idx="35">
                    <c:v>2021-11-01</c:v>
                  </c:pt>
                  <c:pt idx="36">
                    <c:v>2021-12-01</c:v>
                  </c:pt>
                  <c:pt idx="37">
                    <c:v>2022-01-01</c:v>
                  </c:pt>
                  <c:pt idx="38">
                    <c:v>2022-02-01</c:v>
                  </c:pt>
                  <c:pt idx="39">
                    <c:v>2022-03-01</c:v>
                  </c:pt>
                  <c:pt idx="40">
                    <c:v>2022-04-01</c:v>
                  </c:pt>
                  <c:pt idx="41">
                    <c:v>2022-05-01</c:v>
                  </c:pt>
                  <c:pt idx="42">
                    <c:v>2022-06-01</c:v>
                  </c:pt>
                  <c:pt idx="43">
                    <c:v>2022-07-01</c:v>
                  </c:pt>
                  <c:pt idx="44">
                    <c:v>2022-08-01</c:v>
                  </c:pt>
                  <c:pt idx="45">
                    <c:v>2022-09-01</c:v>
                  </c:pt>
                  <c:pt idx="46">
                    <c:v>2022-10-01</c:v>
                  </c:pt>
                  <c:pt idx="47">
                    <c:v>2022-11-01</c:v>
                  </c:pt>
                  <c:pt idx="48">
                    <c:v>2022-12-01</c:v>
                  </c:pt>
                  <c:pt idx="49">
                    <c:v>2023-01-01</c:v>
                  </c:pt>
                  <c:pt idx="50">
                    <c:v>2023-02-01</c:v>
                  </c:pt>
                  <c:pt idx="51">
                    <c:v>2023-03-01</c:v>
                  </c:pt>
                  <c:pt idx="52">
                    <c:v>2023-04-01</c:v>
                  </c:pt>
                  <c:pt idx="53">
                    <c:v>2023-05-01</c:v>
                  </c:pt>
                  <c:pt idx="54">
                    <c:v>2023-06-01</c:v>
                  </c:pt>
                  <c:pt idx="55">
                    <c:v>2023-07-01</c:v>
                  </c:pt>
                  <c:pt idx="56">
                    <c:v>2023-08-01</c:v>
                  </c:pt>
                  <c:pt idx="57">
                    <c:v>2023-09-01</c:v>
                  </c:pt>
                  <c:pt idx="58">
                    <c:v>2023-10-01</c:v>
                  </c:pt>
                  <c:pt idx="59">
                    <c:v>2023-11-01</c:v>
                  </c:pt>
                  <c:pt idx="60">
                    <c:v>2023-12-01</c:v>
                  </c:pt>
                  <c:pt idx="61">
                    <c:v>2024-01-01</c:v>
                  </c:pt>
                  <c:pt idx="62">
                    <c:v>2024-02-01</c:v>
                  </c:pt>
                  <c:pt idx="63">
                    <c:v>2024-03-01</c:v>
                  </c:pt>
                  <c:pt idx="64">
                    <c:v>2024-04-01</c:v>
                  </c:pt>
                  <c:pt idx="65">
                    <c:v>2024-05-01</c:v>
                  </c:pt>
                  <c:pt idx="66">
                    <c:v>2024-06-01</c:v>
                  </c:pt>
                  <c:pt idx="67">
                    <c:v>2024-07-01</c:v>
                  </c:pt>
                  <c:pt idx="68">
                    <c:v>2024-08-01</c:v>
                  </c:pt>
                  <c:pt idx="69">
                    <c:v>2024-09-01</c:v>
                  </c:pt>
                  <c:pt idx="70">
                    <c:v>2024-10-01</c:v>
                  </c:pt>
                  <c:pt idx="71">
                    <c:v>2024-11-01</c:v>
                  </c:pt>
                  <c:pt idx="72">
                    <c:v>2024-12-01</c:v>
                  </c:pt>
                  <c:pt idx="73">
                    <c:v>2025-01-01</c:v>
                  </c:pt>
                  <c:pt idx="74">
                    <c:v>2025-02-01</c:v>
                  </c:pt>
                  <c:pt idx="75">
                    <c:v>2025-03-01</c:v>
                  </c:pt>
                  <c:pt idx="76">
                    <c:v>2025-04-01</c:v>
                  </c:pt>
                  <c:pt idx="77">
                    <c:v>2025-05-01</c:v>
                  </c:pt>
                  <c:pt idx="78">
                    <c:v>2025-06-01</c:v>
                  </c:pt>
                  <c:pt idx="79">
                    <c:v>2025-07-01</c:v>
                  </c:pt>
                  <c:pt idx="80">
                    <c:v>2025-08-01</c:v>
                  </c:pt>
                  <c:pt idx="81">
                    <c:v>2025-09-01</c:v>
                  </c:pt>
                  <c:pt idx="82">
                    <c:v>2025-10-01</c:v>
                  </c:pt>
                  <c:pt idx="83">
                    <c:v>2025-11-01</c:v>
                  </c:pt>
                  <c:pt idx="84">
                    <c:v>2025-12-01</c:v>
                  </c:pt>
                  <c:pt idx="85">
                    <c:v>2026-01-01</c:v>
                  </c:pt>
                  <c:pt idx="86">
                    <c:v>2026-02-01</c:v>
                  </c:pt>
                  <c:pt idx="87">
                    <c:v>2026-03-01</c:v>
                  </c:pt>
                  <c:pt idx="88">
                    <c:v>2026-04-01</c:v>
                  </c:pt>
                  <c:pt idx="89">
                    <c:v>2026-05-01</c:v>
                  </c:pt>
                  <c:pt idx="90">
                    <c:v>2026-06-01</c:v>
                  </c:pt>
                  <c:pt idx="91">
                    <c:v>2026-07-01</c:v>
                  </c:pt>
                  <c:pt idx="92">
                    <c:v>2026-08-01</c:v>
                  </c:pt>
                  <c:pt idx="93">
                    <c:v>2026-09-01</c:v>
                  </c:pt>
                  <c:pt idx="94">
                    <c:v>2026-10-01</c:v>
                  </c:pt>
                  <c:pt idx="95">
                    <c:v>2026-11-01</c:v>
                  </c:pt>
                  <c:pt idx="96">
                    <c:v>2026-12-01</c:v>
                  </c:pt>
                  <c:pt idx="97">
                    <c:v>2027-01-01</c:v>
                  </c:pt>
                  <c:pt idx="98">
                    <c:v>2027-02-01</c:v>
                  </c:pt>
                  <c:pt idx="99">
                    <c:v>2027-03-01</c:v>
                  </c:pt>
                  <c:pt idx="100">
                    <c:v>2027-04-01</c:v>
                  </c:pt>
                  <c:pt idx="101">
                    <c:v>2027-05-01</c:v>
                  </c:pt>
                  <c:pt idx="102">
                    <c:v>2027-06-01</c:v>
                  </c:pt>
                  <c:pt idx="103">
                    <c:v>2027-07-01</c:v>
                  </c:pt>
                  <c:pt idx="104">
                    <c:v>2027-08-01</c:v>
                  </c:pt>
                  <c:pt idx="105">
                    <c:v>2027-09-01</c:v>
                  </c:pt>
                  <c:pt idx="106">
                    <c:v>2027-10-01</c:v>
                  </c:pt>
                  <c:pt idx="107">
                    <c:v>2027-11-01</c:v>
                  </c:pt>
                  <c:pt idx="108">
                    <c:v>2027-12-01</c:v>
                  </c:pt>
                  <c:pt idx="109">
                    <c:v>2028-01-01</c:v>
                  </c:pt>
                  <c:pt idx="110">
                    <c:v>2028-02-01</c:v>
                  </c:pt>
                  <c:pt idx="111">
                    <c:v>2028-03-01</c:v>
                  </c:pt>
                  <c:pt idx="112">
                    <c:v>2028-04-01</c:v>
                  </c:pt>
                  <c:pt idx="113">
                    <c:v>2028-05-01</c:v>
                  </c:pt>
                  <c:pt idx="114">
                    <c:v>2028-06-01</c:v>
                  </c:pt>
                  <c:pt idx="115">
                    <c:v>2028-07-01</c:v>
                  </c:pt>
                  <c:pt idx="116">
                    <c:v>2028-08-01</c:v>
                  </c:pt>
                  <c:pt idx="117">
                    <c:v>2028-09-01</c:v>
                  </c:pt>
                  <c:pt idx="118">
                    <c:v>2028-10-01</c:v>
                  </c:pt>
                  <c:pt idx="119">
                    <c:v>2028-11-01</c:v>
                  </c:pt>
                  <c:pt idx="120">
                    <c:v>2028-12-01</c:v>
                  </c:pt>
                  <c:pt idx="121">
                    <c:v>2029-01-01</c:v>
                  </c:pt>
                  <c:pt idx="122">
                    <c:v>2029-02-01</c:v>
                  </c:pt>
                  <c:pt idx="123">
                    <c:v>2029-03-01</c:v>
                  </c:pt>
                  <c:pt idx="124">
                    <c:v>2029-04-01</c:v>
                  </c:pt>
                  <c:pt idx="125">
                    <c:v>2029-05-01</c:v>
                  </c:pt>
                  <c:pt idx="126">
                    <c:v>2029-06-01</c:v>
                  </c:pt>
                  <c:pt idx="127">
                    <c:v>2029-07-01</c:v>
                  </c:pt>
                  <c:pt idx="128">
                    <c:v>2029-08-01</c:v>
                  </c:pt>
                  <c:pt idx="129">
                    <c:v>2029-09-01</c:v>
                  </c:pt>
                  <c:pt idx="130">
                    <c:v>2029-10-01</c:v>
                  </c:pt>
                  <c:pt idx="131">
                    <c:v>2029-11-01</c:v>
                  </c:pt>
                  <c:pt idx="132">
                    <c:v>2029-12-01</c:v>
                  </c:pt>
                  <c:pt idx="133">
                    <c:v>2030-01-01</c:v>
                  </c:pt>
                  <c:pt idx="134">
                    <c:v>2030-02-01</c:v>
                  </c:pt>
                  <c:pt idx="135">
                    <c:v>2030-03-01</c:v>
                  </c:pt>
                  <c:pt idx="136">
                    <c:v>2030-04-01</c:v>
                  </c:pt>
                  <c:pt idx="137">
                    <c:v>2030-05-01</c:v>
                  </c:pt>
                  <c:pt idx="138">
                    <c:v>2030-06-01</c:v>
                  </c:pt>
                  <c:pt idx="139">
                    <c:v>2030-07-01</c:v>
                  </c:pt>
                  <c:pt idx="140">
                    <c:v>2030-08-01</c:v>
                  </c:pt>
                  <c:pt idx="141">
                    <c:v>2030-09-01</c:v>
                  </c:pt>
                  <c:pt idx="142">
                    <c:v>2030-10-01</c:v>
                  </c:pt>
                  <c:pt idx="143">
                    <c:v>2030-11-01</c:v>
                  </c:pt>
                  <c:pt idx="144">
                    <c:v>2030-12-01</c:v>
                  </c:pt>
                </c:lvl>
              </c:multiLvlStrCache>
            </c:multiLvlStrRef>
          </c:cat>
          <c:val>
            <c:numRef>
              <c:f>Overview!$H$3:$H$147</c:f>
              <c:numCache>
                <c:formatCode>_("$"* #,##0.00_);_("$"* \(#,##0.00\);_("$"* "-"??_);_(@_)</c:formatCode>
                <c:ptCount val="145"/>
                <c:pt idx="1">
                  <c:v>-46.99</c:v>
                </c:pt>
                <c:pt idx="2">
                  <c:v>194.75</c:v>
                </c:pt>
                <c:pt idx="3">
                  <c:v>178.6</c:v>
                </c:pt>
                <c:pt idx="4">
                  <c:v>436.65999999999997</c:v>
                </c:pt>
                <c:pt idx="5">
                  <c:v>812.74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197.25</c:v>
                </c:pt>
                <c:pt idx="10">
                  <c:v>197.25</c:v>
                </c:pt>
                <c:pt idx="11">
                  <c:v>-216.23</c:v>
                </c:pt>
                <c:pt idx="12">
                  <c:v>-699.16</c:v>
                </c:pt>
                <c:pt idx="13">
                  <c:v>-638.37</c:v>
                </c:pt>
                <c:pt idx="14">
                  <c:v>195.46</c:v>
                </c:pt>
                <c:pt idx="15">
                  <c:v>0</c:v>
                </c:pt>
                <c:pt idx="16">
                  <c:v>516.01</c:v>
                </c:pt>
                <c:pt idx="17">
                  <c:v>0</c:v>
                </c:pt>
                <c:pt idx="18">
                  <c:v>0</c:v>
                </c:pt>
                <c:pt idx="19">
                  <c:v>-291.47999999999996</c:v>
                </c:pt>
                <c:pt idx="20">
                  <c:v>-154.48999999999998</c:v>
                </c:pt>
                <c:pt idx="21">
                  <c:v>1810.86</c:v>
                </c:pt>
                <c:pt idx="22">
                  <c:v>80.790000000000006</c:v>
                </c:pt>
                <c:pt idx="23">
                  <c:v>-859.78</c:v>
                </c:pt>
                <c:pt idx="24">
                  <c:v>0</c:v>
                </c:pt>
                <c:pt idx="25">
                  <c:v>0</c:v>
                </c:pt>
                <c:pt idx="26">
                  <c:v>104.79</c:v>
                </c:pt>
                <c:pt idx="27">
                  <c:v>55</c:v>
                </c:pt>
                <c:pt idx="28">
                  <c:v>-475.31</c:v>
                </c:pt>
                <c:pt idx="29">
                  <c:v>0</c:v>
                </c:pt>
                <c:pt idx="30">
                  <c:v>0</c:v>
                </c:pt>
                <c:pt idx="31">
                  <c:v>-481.81</c:v>
                </c:pt>
                <c:pt idx="32">
                  <c:v>0</c:v>
                </c:pt>
                <c:pt idx="33">
                  <c:v>0</c:v>
                </c:pt>
                <c:pt idx="34">
                  <c:v>-199.77</c:v>
                </c:pt>
                <c:pt idx="35">
                  <c:v>-202.03</c:v>
                </c:pt>
                <c:pt idx="36">
                  <c:v>-538.16999999999996</c:v>
                </c:pt>
                <c:pt idx="37">
                  <c:v>-4126.3599999999997</c:v>
                </c:pt>
                <c:pt idx="38">
                  <c:v>0</c:v>
                </c:pt>
                <c:pt idx="39">
                  <c:v>199.77</c:v>
                </c:pt>
                <c:pt idx="40">
                  <c:v>0</c:v>
                </c:pt>
                <c:pt idx="41">
                  <c:v>100</c:v>
                </c:pt>
                <c:pt idx="42">
                  <c:v>-2.74</c:v>
                </c:pt>
                <c:pt idx="43">
                  <c:v>0</c:v>
                </c:pt>
                <c:pt idx="44">
                  <c:v>-445.38</c:v>
                </c:pt>
                <c:pt idx="45">
                  <c:v>-284.72000000000003</c:v>
                </c:pt>
                <c:pt idx="46">
                  <c:v>0</c:v>
                </c:pt>
                <c:pt idx="47">
                  <c:v>-47.16</c:v>
                </c:pt>
                <c:pt idx="48">
                  <c:v>476.59</c:v>
                </c:pt>
                <c:pt idx="49">
                  <c:v>-1525.25</c:v>
                </c:pt>
                <c:pt idx="50">
                  <c:v>-71.78</c:v>
                </c:pt>
                <c:pt idx="51">
                  <c:v>0</c:v>
                </c:pt>
                <c:pt idx="52">
                  <c:v>-1120.6799999999998</c:v>
                </c:pt>
                <c:pt idx="53">
                  <c:v>-24</c:v>
                </c:pt>
                <c:pt idx="54">
                  <c:v>-55.069999999999993</c:v>
                </c:pt>
                <c:pt idx="55">
                  <c:v>135.25</c:v>
                </c:pt>
                <c:pt idx="56">
                  <c:v>-387.38999999999987</c:v>
                </c:pt>
                <c:pt idx="57">
                  <c:v>-219.95000000000002</c:v>
                </c:pt>
                <c:pt idx="58">
                  <c:v>-573.79</c:v>
                </c:pt>
                <c:pt idx="59">
                  <c:v>-469.77</c:v>
                </c:pt>
                <c:pt idx="60">
                  <c:v>-379.25</c:v>
                </c:pt>
                <c:pt idx="61">
                  <c:v>-2786.3099999999995</c:v>
                </c:pt>
                <c:pt idx="62">
                  <c:v>-1712.96</c:v>
                </c:pt>
                <c:pt idx="63">
                  <c:v>-1020.2700000000001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Overview!$I$2</c:f>
              <c:strCache>
                <c:ptCount val="1"/>
                <c:pt idx="0">
                  <c:v>Vehicle</c:v>
                </c:pt>
              </c:strCache>
            </c:strRef>
          </c:tx>
          <c:marker>
            <c:symbol val="none"/>
          </c:marker>
          <c:cat>
            <c:multiLvlStrRef>
              <c:f>Overview!$A$3:$B$147</c:f>
              <c:multiLvlStrCache>
                <c:ptCount val="145"/>
                <c:lvl>
                  <c:pt idx="1">
                    <c:v>January 2019</c:v>
                  </c:pt>
                  <c:pt idx="2">
                    <c:v>February 2019</c:v>
                  </c:pt>
                  <c:pt idx="3">
                    <c:v>March 2019</c:v>
                  </c:pt>
                  <c:pt idx="4">
                    <c:v>April 2019</c:v>
                  </c:pt>
                  <c:pt idx="5">
                    <c:v>May 2019</c:v>
                  </c:pt>
                  <c:pt idx="6">
                    <c:v>June 2019</c:v>
                  </c:pt>
                  <c:pt idx="7">
                    <c:v>July 2019</c:v>
                  </c:pt>
                  <c:pt idx="8">
                    <c:v>August 2019</c:v>
                  </c:pt>
                  <c:pt idx="9">
                    <c:v>September 2019</c:v>
                  </c:pt>
                  <c:pt idx="10">
                    <c:v>October 2019</c:v>
                  </c:pt>
                  <c:pt idx="11">
                    <c:v>November 2019</c:v>
                  </c:pt>
                  <c:pt idx="12">
                    <c:v>December 2019</c:v>
                  </c:pt>
                  <c:pt idx="13">
                    <c:v>January 2020</c:v>
                  </c:pt>
                  <c:pt idx="14">
                    <c:v>February 2020</c:v>
                  </c:pt>
                  <c:pt idx="15">
                    <c:v>March 2020</c:v>
                  </c:pt>
                  <c:pt idx="16">
                    <c:v>April 2020</c:v>
                  </c:pt>
                  <c:pt idx="17">
                    <c:v>May 2020</c:v>
                  </c:pt>
                  <c:pt idx="18">
                    <c:v>June 2020</c:v>
                  </c:pt>
                  <c:pt idx="19">
                    <c:v>July 2020</c:v>
                  </c:pt>
                  <c:pt idx="20">
                    <c:v>August 2020</c:v>
                  </c:pt>
                  <c:pt idx="21">
                    <c:v>September 2020</c:v>
                  </c:pt>
                  <c:pt idx="22">
                    <c:v>October 2020</c:v>
                  </c:pt>
                  <c:pt idx="23">
                    <c:v>November 2020</c:v>
                  </c:pt>
                  <c:pt idx="24">
                    <c:v>December 2020</c:v>
                  </c:pt>
                  <c:pt idx="25">
                    <c:v>January 2021</c:v>
                  </c:pt>
                  <c:pt idx="26">
                    <c:v>February 2021</c:v>
                  </c:pt>
                  <c:pt idx="27">
                    <c:v>March 2021</c:v>
                  </c:pt>
                  <c:pt idx="28">
                    <c:v>April 2021</c:v>
                  </c:pt>
                  <c:pt idx="29">
                    <c:v>May 2021</c:v>
                  </c:pt>
                  <c:pt idx="30">
                    <c:v>June 2021</c:v>
                  </c:pt>
                  <c:pt idx="31">
                    <c:v>July 2021</c:v>
                  </c:pt>
                  <c:pt idx="32">
                    <c:v>August 2021</c:v>
                  </c:pt>
                  <c:pt idx="33">
                    <c:v>September 2021</c:v>
                  </c:pt>
                  <c:pt idx="34">
                    <c:v>October 2021</c:v>
                  </c:pt>
                  <c:pt idx="35">
                    <c:v>November 2021</c:v>
                  </c:pt>
                  <c:pt idx="36">
                    <c:v>December 2021</c:v>
                  </c:pt>
                  <c:pt idx="37">
                    <c:v>January 2022</c:v>
                  </c:pt>
                  <c:pt idx="38">
                    <c:v>February 2022</c:v>
                  </c:pt>
                  <c:pt idx="39">
                    <c:v>March 2022</c:v>
                  </c:pt>
                  <c:pt idx="40">
                    <c:v>April 2022</c:v>
                  </c:pt>
                  <c:pt idx="41">
                    <c:v>May 2022</c:v>
                  </c:pt>
                  <c:pt idx="42">
                    <c:v>June 2022</c:v>
                  </c:pt>
                  <c:pt idx="43">
                    <c:v>July 2022</c:v>
                  </c:pt>
                  <c:pt idx="44">
                    <c:v>August 2022</c:v>
                  </c:pt>
                  <c:pt idx="45">
                    <c:v>September 2022</c:v>
                  </c:pt>
                  <c:pt idx="46">
                    <c:v>October 2022</c:v>
                  </c:pt>
                  <c:pt idx="47">
                    <c:v>November 2022</c:v>
                  </c:pt>
                  <c:pt idx="48">
                    <c:v>December 2022</c:v>
                  </c:pt>
                  <c:pt idx="49">
                    <c:v>January 2023</c:v>
                  </c:pt>
                  <c:pt idx="50">
                    <c:v>February 2023</c:v>
                  </c:pt>
                  <c:pt idx="51">
                    <c:v>March 2023</c:v>
                  </c:pt>
                  <c:pt idx="52">
                    <c:v>April 2023</c:v>
                  </c:pt>
                  <c:pt idx="53">
                    <c:v>May 2023</c:v>
                  </c:pt>
                  <c:pt idx="54">
                    <c:v>June 2023</c:v>
                  </c:pt>
                  <c:pt idx="55">
                    <c:v>July 2023</c:v>
                  </c:pt>
                  <c:pt idx="56">
                    <c:v>August 2023</c:v>
                  </c:pt>
                  <c:pt idx="57">
                    <c:v>September 2023</c:v>
                  </c:pt>
                  <c:pt idx="58">
                    <c:v>October 2023</c:v>
                  </c:pt>
                  <c:pt idx="59">
                    <c:v>November 2023</c:v>
                  </c:pt>
                  <c:pt idx="60">
                    <c:v>December 2023</c:v>
                  </c:pt>
                  <c:pt idx="61">
                    <c:v>January 2024</c:v>
                  </c:pt>
                  <c:pt idx="62">
                    <c:v>February 2024</c:v>
                  </c:pt>
                  <c:pt idx="63">
                    <c:v>March 2024</c:v>
                  </c:pt>
                  <c:pt idx="64">
                    <c:v>April 2024</c:v>
                  </c:pt>
                  <c:pt idx="65">
                    <c:v>May 2024</c:v>
                  </c:pt>
                  <c:pt idx="66">
                    <c:v>June 2024</c:v>
                  </c:pt>
                  <c:pt idx="67">
                    <c:v>July 2024</c:v>
                  </c:pt>
                  <c:pt idx="68">
                    <c:v>August 2024</c:v>
                  </c:pt>
                  <c:pt idx="69">
                    <c:v>September 2024</c:v>
                  </c:pt>
                  <c:pt idx="70">
                    <c:v>October 2024</c:v>
                  </c:pt>
                  <c:pt idx="71">
                    <c:v>November 2024</c:v>
                  </c:pt>
                  <c:pt idx="72">
                    <c:v>December 2024</c:v>
                  </c:pt>
                  <c:pt idx="73">
                    <c:v>January 2025</c:v>
                  </c:pt>
                  <c:pt idx="74">
                    <c:v>February 2025</c:v>
                  </c:pt>
                  <c:pt idx="75">
                    <c:v>March 2025</c:v>
                  </c:pt>
                  <c:pt idx="76">
                    <c:v>April 2025</c:v>
                  </c:pt>
                  <c:pt idx="77">
                    <c:v>May 2025</c:v>
                  </c:pt>
                  <c:pt idx="78">
                    <c:v>June 2025</c:v>
                  </c:pt>
                  <c:pt idx="79">
                    <c:v>July 2025</c:v>
                  </c:pt>
                  <c:pt idx="80">
                    <c:v>August 2025</c:v>
                  </c:pt>
                  <c:pt idx="81">
                    <c:v>September 2025</c:v>
                  </c:pt>
                  <c:pt idx="82">
                    <c:v>October 2025</c:v>
                  </c:pt>
                  <c:pt idx="83">
                    <c:v>November 2025</c:v>
                  </c:pt>
                  <c:pt idx="84">
                    <c:v>December 2025</c:v>
                  </c:pt>
                  <c:pt idx="85">
                    <c:v>January 2026</c:v>
                  </c:pt>
                  <c:pt idx="86">
                    <c:v>February 2026</c:v>
                  </c:pt>
                  <c:pt idx="87">
                    <c:v>March 2026</c:v>
                  </c:pt>
                  <c:pt idx="88">
                    <c:v>April 2026</c:v>
                  </c:pt>
                  <c:pt idx="89">
                    <c:v>May 2026</c:v>
                  </c:pt>
                  <c:pt idx="90">
                    <c:v>June 2026</c:v>
                  </c:pt>
                  <c:pt idx="91">
                    <c:v>July 2026</c:v>
                  </c:pt>
                  <c:pt idx="92">
                    <c:v>August 2026</c:v>
                  </c:pt>
                  <c:pt idx="93">
                    <c:v>September 2026</c:v>
                  </c:pt>
                  <c:pt idx="94">
                    <c:v>October 2026</c:v>
                  </c:pt>
                  <c:pt idx="95">
                    <c:v>November 2026</c:v>
                  </c:pt>
                  <c:pt idx="96">
                    <c:v>December 2026</c:v>
                  </c:pt>
                  <c:pt idx="97">
                    <c:v>January 2027</c:v>
                  </c:pt>
                  <c:pt idx="98">
                    <c:v>February 2027</c:v>
                  </c:pt>
                  <c:pt idx="99">
                    <c:v>March 2027</c:v>
                  </c:pt>
                  <c:pt idx="100">
                    <c:v>April 2027</c:v>
                  </c:pt>
                  <c:pt idx="101">
                    <c:v>May 2027</c:v>
                  </c:pt>
                  <c:pt idx="102">
                    <c:v>June 2027</c:v>
                  </c:pt>
                  <c:pt idx="103">
                    <c:v>July 2027</c:v>
                  </c:pt>
                  <c:pt idx="104">
                    <c:v>August 2027</c:v>
                  </c:pt>
                  <c:pt idx="105">
                    <c:v>September 2027</c:v>
                  </c:pt>
                  <c:pt idx="106">
                    <c:v>October 2027</c:v>
                  </c:pt>
                  <c:pt idx="107">
                    <c:v>November 2027</c:v>
                  </c:pt>
                  <c:pt idx="108">
                    <c:v>December 2027</c:v>
                  </c:pt>
                  <c:pt idx="109">
                    <c:v>January 2028</c:v>
                  </c:pt>
                  <c:pt idx="110">
                    <c:v>February 2028</c:v>
                  </c:pt>
                  <c:pt idx="111">
                    <c:v>March 2028</c:v>
                  </c:pt>
                  <c:pt idx="112">
                    <c:v>April 2028</c:v>
                  </c:pt>
                  <c:pt idx="113">
                    <c:v>May 2028</c:v>
                  </c:pt>
                  <c:pt idx="114">
                    <c:v>June 2028</c:v>
                  </c:pt>
                  <c:pt idx="115">
                    <c:v>July 2028</c:v>
                  </c:pt>
                  <c:pt idx="116">
                    <c:v>August 2028</c:v>
                  </c:pt>
                  <c:pt idx="117">
                    <c:v>September 2028</c:v>
                  </c:pt>
                  <c:pt idx="118">
                    <c:v>October 2028</c:v>
                  </c:pt>
                  <c:pt idx="119">
                    <c:v>November 2028</c:v>
                  </c:pt>
                  <c:pt idx="120">
                    <c:v>December 2028</c:v>
                  </c:pt>
                  <c:pt idx="121">
                    <c:v>January 2029</c:v>
                  </c:pt>
                  <c:pt idx="122">
                    <c:v>February 2029</c:v>
                  </c:pt>
                  <c:pt idx="123">
                    <c:v>March 2029</c:v>
                  </c:pt>
                  <c:pt idx="124">
                    <c:v>April 2029</c:v>
                  </c:pt>
                  <c:pt idx="125">
                    <c:v>May 2029</c:v>
                  </c:pt>
                  <c:pt idx="126">
                    <c:v>June 2029</c:v>
                  </c:pt>
                  <c:pt idx="127">
                    <c:v>July 2029</c:v>
                  </c:pt>
                  <c:pt idx="128">
                    <c:v>August 2029</c:v>
                  </c:pt>
                  <c:pt idx="129">
                    <c:v>September 2029</c:v>
                  </c:pt>
                  <c:pt idx="130">
                    <c:v>October 2029</c:v>
                  </c:pt>
                  <c:pt idx="131">
                    <c:v>November 2029</c:v>
                  </c:pt>
                  <c:pt idx="132">
                    <c:v>December 2029</c:v>
                  </c:pt>
                  <c:pt idx="133">
                    <c:v>January 2030</c:v>
                  </c:pt>
                  <c:pt idx="134">
                    <c:v>February 2030</c:v>
                  </c:pt>
                  <c:pt idx="135">
                    <c:v>March 2030</c:v>
                  </c:pt>
                  <c:pt idx="136">
                    <c:v>April 2030</c:v>
                  </c:pt>
                  <c:pt idx="137">
                    <c:v>May 2030</c:v>
                  </c:pt>
                  <c:pt idx="138">
                    <c:v>June 2030</c:v>
                  </c:pt>
                  <c:pt idx="139">
                    <c:v>July 2030</c:v>
                  </c:pt>
                  <c:pt idx="140">
                    <c:v>August 2030</c:v>
                  </c:pt>
                  <c:pt idx="141">
                    <c:v>September 2030</c:v>
                  </c:pt>
                  <c:pt idx="142">
                    <c:v>October 2030</c:v>
                  </c:pt>
                  <c:pt idx="143">
                    <c:v>November 2030</c:v>
                  </c:pt>
                  <c:pt idx="144">
                    <c:v>December 2030</c:v>
                  </c:pt>
                </c:lvl>
                <c:lvl>
                  <c:pt idx="1">
                    <c:v>2019-01-01</c:v>
                  </c:pt>
                  <c:pt idx="2">
                    <c:v>2019-02-01</c:v>
                  </c:pt>
                  <c:pt idx="3">
                    <c:v>2019-03-01</c:v>
                  </c:pt>
                  <c:pt idx="4">
                    <c:v>2019-04-01</c:v>
                  </c:pt>
                  <c:pt idx="5">
                    <c:v>2019-05-01</c:v>
                  </c:pt>
                  <c:pt idx="6">
                    <c:v>2019-06-01</c:v>
                  </c:pt>
                  <c:pt idx="7">
                    <c:v>2019-07-01</c:v>
                  </c:pt>
                  <c:pt idx="8">
                    <c:v>2019-08-01</c:v>
                  </c:pt>
                  <c:pt idx="9">
                    <c:v>2019-09-01</c:v>
                  </c:pt>
                  <c:pt idx="10">
                    <c:v>2019-10-01</c:v>
                  </c:pt>
                  <c:pt idx="11">
                    <c:v>2019-11-01</c:v>
                  </c:pt>
                  <c:pt idx="12">
                    <c:v>2019-12-01</c:v>
                  </c:pt>
                  <c:pt idx="13">
                    <c:v>2020-01-01</c:v>
                  </c:pt>
                  <c:pt idx="14">
                    <c:v>2020-02-01</c:v>
                  </c:pt>
                  <c:pt idx="15">
                    <c:v>2020-03-01</c:v>
                  </c:pt>
                  <c:pt idx="16">
                    <c:v>2020-04-01</c:v>
                  </c:pt>
                  <c:pt idx="17">
                    <c:v>2020-05-01</c:v>
                  </c:pt>
                  <c:pt idx="18">
                    <c:v>2020-06-01</c:v>
                  </c:pt>
                  <c:pt idx="19">
                    <c:v>2020-07-01</c:v>
                  </c:pt>
                  <c:pt idx="20">
                    <c:v>2020-08-01</c:v>
                  </c:pt>
                  <c:pt idx="21">
                    <c:v>2020-09-01</c:v>
                  </c:pt>
                  <c:pt idx="22">
                    <c:v>2020-10-01</c:v>
                  </c:pt>
                  <c:pt idx="23">
                    <c:v>2020-11-01</c:v>
                  </c:pt>
                  <c:pt idx="24">
                    <c:v>2020-12-01</c:v>
                  </c:pt>
                  <c:pt idx="25">
                    <c:v>2021-01-01</c:v>
                  </c:pt>
                  <c:pt idx="26">
                    <c:v>2021-02-01</c:v>
                  </c:pt>
                  <c:pt idx="27">
                    <c:v>2021-03-01</c:v>
                  </c:pt>
                  <c:pt idx="28">
                    <c:v>2021-04-01</c:v>
                  </c:pt>
                  <c:pt idx="29">
                    <c:v>2021-05-01</c:v>
                  </c:pt>
                  <c:pt idx="30">
                    <c:v>2021-06-01</c:v>
                  </c:pt>
                  <c:pt idx="31">
                    <c:v>2021-07-01</c:v>
                  </c:pt>
                  <c:pt idx="32">
                    <c:v>2021-08-01</c:v>
                  </c:pt>
                  <c:pt idx="33">
                    <c:v>2021-09-01</c:v>
                  </c:pt>
                  <c:pt idx="34">
                    <c:v>2021-10-01</c:v>
                  </c:pt>
                  <c:pt idx="35">
                    <c:v>2021-11-01</c:v>
                  </c:pt>
                  <c:pt idx="36">
                    <c:v>2021-12-01</c:v>
                  </c:pt>
                  <c:pt idx="37">
                    <c:v>2022-01-01</c:v>
                  </c:pt>
                  <c:pt idx="38">
                    <c:v>2022-02-01</c:v>
                  </c:pt>
                  <c:pt idx="39">
                    <c:v>2022-03-01</c:v>
                  </c:pt>
                  <c:pt idx="40">
                    <c:v>2022-04-01</c:v>
                  </c:pt>
                  <c:pt idx="41">
                    <c:v>2022-05-01</c:v>
                  </c:pt>
                  <c:pt idx="42">
                    <c:v>2022-06-01</c:v>
                  </c:pt>
                  <c:pt idx="43">
                    <c:v>2022-07-01</c:v>
                  </c:pt>
                  <c:pt idx="44">
                    <c:v>2022-08-01</c:v>
                  </c:pt>
                  <c:pt idx="45">
                    <c:v>2022-09-01</c:v>
                  </c:pt>
                  <c:pt idx="46">
                    <c:v>2022-10-01</c:v>
                  </c:pt>
                  <c:pt idx="47">
                    <c:v>2022-11-01</c:v>
                  </c:pt>
                  <c:pt idx="48">
                    <c:v>2022-12-01</c:v>
                  </c:pt>
                  <c:pt idx="49">
                    <c:v>2023-01-01</c:v>
                  </c:pt>
                  <c:pt idx="50">
                    <c:v>2023-02-01</c:v>
                  </c:pt>
                  <c:pt idx="51">
                    <c:v>2023-03-01</c:v>
                  </c:pt>
                  <c:pt idx="52">
                    <c:v>2023-04-01</c:v>
                  </c:pt>
                  <c:pt idx="53">
                    <c:v>2023-05-01</c:v>
                  </c:pt>
                  <c:pt idx="54">
                    <c:v>2023-06-01</c:v>
                  </c:pt>
                  <c:pt idx="55">
                    <c:v>2023-07-01</c:v>
                  </c:pt>
                  <c:pt idx="56">
                    <c:v>2023-08-01</c:v>
                  </c:pt>
                  <c:pt idx="57">
                    <c:v>2023-09-01</c:v>
                  </c:pt>
                  <c:pt idx="58">
                    <c:v>2023-10-01</c:v>
                  </c:pt>
                  <c:pt idx="59">
                    <c:v>2023-11-01</c:v>
                  </c:pt>
                  <c:pt idx="60">
                    <c:v>2023-12-01</c:v>
                  </c:pt>
                  <c:pt idx="61">
                    <c:v>2024-01-01</c:v>
                  </c:pt>
                  <c:pt idx="62">
                    <c:v>2024-02-01</c:v>
                  </c:pt>
                  <c:pt idx="63">
                    <c:v>2024-03-01</c:v>
                  </c:pt>
                  <c:pt idx="64">
                    <c:v>2024-04-01</c:v>
                  </c:pt>
                  <c:pt idx="65">
                    <c:v>2024-05-01</c:v>
                  </c:pt>
                  <c:pt idx="66">
                    <c:v>2024-06-01</c:v>
                  </c:pt>
                  <c:pt idx="67">
                    <c:v>2024-07-01</c:v>
                  </c:pt>
                  <c:pt idx="68">
                    <c:v>2024-08-01</c:v>
                  </c:pt>
                  <c:pt idx="69">
                    <c:v>2024-09-01</c:v>
                  </c:pt>
                  <c:pt idx="70">
                    <c:v>2024-10-01</c:v>
                  </c:pt>
                  <c:pt idx="71">
                    <c:v>2024-11-01</c:v>
                  </c:pt>
                  <c:pt idx="72">
                    <c:v>2024-12-01</c:v>
                  </c:pt>
                  <c:pt idx="73">
                    <c:v>2025-01-01</c:v>
                  </c:pt>
                  <c:pt idx="74">
                    <c:v>2025-02-01</c:v>
                  </c:pt>
                  <c:pt idx="75">
                    <c:v>2025-03-01</c:v>
                  </c:pt>
                  <c:pt idx="76">
                    <c:v>2025-04-01</c:v>
                  </c:pt>
                  <c:pt idx="77">
                    <c:v>2025-05-01</c:v>
                  </c:pt>
                  <c:pt idx="78">
                    <c:v>2025-06-01</c:v>
                  </c:pt>
                  <c:pt idx="79">
                    <c:v>2025-07-01</c:v>
                  </c:pt>
                  <c:pt idx="80">
                    <c:v>2025-08-01</c:v>
                  </c:pt>
                  <c:pt idx="81">
                    <c:v>2025-09-01</c:v>
                  </c:pt>
                  <c:pt idx="82">
                    <c:v>2025-10-01</c:v>
                  </c:pt>
                  <c:pt idx="83">
                    <c:v>2025-11-01</c:v>
                  </c:pt>
                  <c:pt idx="84">
                    <c:v>2025-12-01</c:v>
                  </c:pt>
                  <c:pt idx="85">
                    <c:v>2026-01-01</c:v>
                  </c:pt>
                  <c:pt idx="86">
                    <c:v>2026-02-01</c:v>
                  </c:pt>
                  <c:pt idx="87">
                    <c:v>2026-03-01</c:v>
                  </c:pt>
                  <c:pt idx="88">
                    <c:v>2026-04-01</c:v>
                  </c:pt>
                  <c:pt idx="89">
                    <c:v>2026-05-01</c:v>
                  </c:pt>
                  <c:pt idx="90">
                    <c:v>2026-06-01</c:v>
                  </c:pt>
                  <c:pt idx="91">
                    <c:v>2026-07-01</c:v>
                  </c:pt>
                  <c:pt idx="92">
                    <c:v>2026-08-01</c:v>
                  </c:pt>
                  <c:pt idx="93">
                    <c:v>2026-09-01</c:v>
                  </c:pt>
                  <c:pt idx="94">
                    <c:v>2026-10-01</c:v>
                  </c:pt>
                  <c:pt idx="95">
                    <c:v>2026-11-01</c:v>
                  </c:pt>
                  <c:pt idx="96">
                    <c:v>2026-12-01</c:v>
                  </c:pt>
                  <c:pt idx="97">
                    <c:v>2027-01-01</c:v>
                  </c:pt>
                  <c:pt idx="98">
                    <c:v>2027-02-01</c:v>
                  </c:pt>
                  <c:pt idx="99">
                    <c:v>2027-03-01</c:v>
                  </c:pt>
                  <c:pt idx="100">
                    <c:v>2027-04-01</c:v>
                  </c:pt>
                  <c:pt idx="101">
                    <c:v>2027-05-01</c:v>
                  </c:pt>
                  <c:pt idx="102">
                    <c:v>2027-06-01</c:v>
                  </c:pt>
                  <c:pt idx="103">
                    <c:v>2027-07-01</c:v>
                  </c:pt>
                  <c:pt idx="104">
                    <c:v>2027-08-01</c:v>
                  </c:pt>
                  <c:pt idx="105">
                    <c:v>2027-09-01</c:v>
                  </c:pt>
                  <c:pt idx="106">
                    <c:v>2027-10-01</c:v>
                  </c:pt>
                  <c:pt idx="107">
                    <c:v>2027-11-01</c:v>
                  </c:pt>
                  <c:pt idx="108">
                    <c:v>2027-12-01</c:v>
                  </c:pt>
                  <c:pt idx="109">
                    <c:v>2028-01-01</c:v>
                  </c:pt>
                  <c:pt idx="110">
                    <c:v>2028-02-01</c:v>
                  </c:pt>
                  <c:pt idx="111">
                    <c:v>2028-03-01</c:v>
                  </c:pt>
                  <c:pt idx="112">
                    <c:v>2028-04-01</c:v>
                  </c:pt>
                  <c:pt idx="113">
                    <c:v>2028-05-01</c:v>
                  </c:pt>
                  <c:pt idx="114">
                    <c:v>2028-06-01</c:v>
                  </c:pt>
                  <c:pt idx="115">
                    <c:v>2028-07-01</c:v>
                  </c:pt>
                  <c:pt idx="116">
                    <c:v>2028-08-01</c:v>
                  </c:pt>
                  <c:pt idx="117">
                    <c:v>2028-09-01</c:v>
                  </c:pt>
                  <c:pt idx="118">
                    <c:v>2028-10-01</c:v>
                  </c:pt>
                  <c:pt idx="119">
                    <c:v>2028-11-01</c:v>
                  </c:pt>
                  <c:pt idx="120">
                    <c:v>2028-12-01</c:v>
                  </c:pt>
                  <c:pt idx="121">
                    <c:v>2029-01-01</c:v>
                  </c:pt>
                  <c:pt idx="122">
                    <c:v>2029-02-01</c:v>
                  </c:pt>
                  <c:pt idx="123">
                    <c:v>2029-03-01</c:v>
                  </c:pt>
                  <c:pt idx="124">
                    <c:v>2029-04-01</c:v>
                  </c:pt>
                  <c:pt idx="125">
                    <c:v>2029-05-01</c:v>
                  </c:pt>
                  <c:pt idx="126">
                    <c:v>2029-06-01</c:v>
                  </c:pt>
                  <c:pt idx="127">
                    <c:v>2029-07-01</c:v>
                  </c:pt>
                  <c:pt idx="128">
                    <c:v>2029-08-01</c:v>
                  </c:pt>
                  <c:pt idx="129">
                    <c:v>2029-09-01</c:v>
                  </c:pt>
                  <c:pt idx="130">
                    <c:v>2029-10-01</c:v>
                  </c:pt>
                  <c:pt idx="131">
                    <c:v>2029-11-01</c:v>
                  </c:pt>
                  <c:pt idx="132">
                    <c:v>2029-12-01</c:v>
                  </c:pt>
                  <c:pt idx="133">
                    <c:v>2030-01-01</c:v>
                  </c:pt>
                  <c:pt idx="134">
                    <c:v>2030-02-01</c:v>
                  </c:pt>
                  <c:pt idx="135">
                    <c:v>2030-03-01</c:v>
                  </c:pt>
                  <c:pt idx="136">
                    <c:v>2030-04-01</c:v>
                  </c:pt>
                  <c:pt idx="137">
                    <c:v>2030-05-01</c:v>
                  </c:pt>
                  <c:pt idx="138">
                    <c:v>2030-06-01</c:v>
                  </c:pt>
                  <c:pt idx="139">
                    <c:v>2030-07-01</c:v>
                  </c:pt>
                  <c:pt idx="140">
                    <c:v>2030-08-01</c:v>
                  </c:pt>
                  <c:pt idx="141">
                    <c:v>2030-09-01</c:v>
                  </c:pt>
                  <c:pt idx="142">
                    <c:v>2030-10-01</c:v>
                  </c:pt>
                  <c:pt idx="143">
                    <c:v>2030-11-01</c:v>
                  </c:pt>
                  <c:pt idx="144">
                    <c:v>2030-12-01</c:v>
                  </c:pt>
                </c:lvl>
              </c:multiLvlStrCache>
            </c:multiLvlStrRef>
          </c:cat>
          <c:val>
            <c:numRef>
              <c:f>Overview!$I$3:$I$147</c:f>
              <c:numCache>
                <c:formatCode>_("$"* #,##0.00_);_("$"* \(#,##0.00\);_("$"* "-"??_);_(@_)</c:formatCode>
                <c:ptCount val="145"/>
                <c:pt idx="1">
                  <c:v>-88.6</c:v>
                </c:pt>
                <c:pt idx="2">
                  <c:v>-838.84999999999991</c:v>
                </c:pt>
                <c:pt idx="3">
                  <c:v>-230.60000000000002</c:v>
                </c:pt>
                <c:pt idx="4">
                  <c:v>-50</c:v>
                </c:pt>
                <c:pt idx="5">
                  <c:v>0</c:v>
                </c:pt>
                <c:pt idx="6">
                  <c:v>-98.48</c:v>
                </c:pt>
                <c:pt idx="7">
                  <c:v>-52.91</c:v>
                </c:pt>
                <c:pt idx="8">
                  <c:v>-47.41</c:v>
                </c:pt>
                <c:pt idx="9">
                  <c:v>-55.32</c:v>
                </c:pt>
                <c:pt idx="10">
                  <c:v>-51.96</c:v>
                </c:pt>
                <c:pt idx="11">
                  <c:v>-47.23</c:v>
                </c:pt>
                <c:pt idx="12">
                  <c:v>-47.08</c:v>
                </c:pt>
                <c:pt idx="13">
                  <c:v>-911.8900000000001</c:v>
                </c:pt>
                <c:pt idx="14">
                  <c:v>-49.38</c:v>
                </c:pt>
                <c:pt idx="15">
                  <c:v>-4.42</c:v>
                </c:pt>
                <c:pt idx="16">
                  <c:v>0</c:v>
                </c:pt>
                <c:pt idx="17">
                  <c:v>-44.1</c:v>
                </c:pt>
                <c:pt idx="18">
                  <c:v>-9.1</c:v>
                </c:pt>
                <c:pt idx="19">
                  <c:v>-461.56000000000006</c:v>
                </c:pt>
                <c:pt idx="20">
                  <c:v>-19.63</c:v>
                </c:pt>
                <c:pt idx="21">
                  <c:v>-35.31</c:v>
                </c:pt>
                <c:pt idx="22">
                  <c:v>-142.68</c:v>
                </c:pt>
                <c:pt idx="23">
                  <c:v>-116.25999999999999</c:v>
                </c:pt>
                <c:pt idx="24">
                  <c:v>-532.88</c:v>
                </c:pt>
                <c:pt idx="25">
                  <c:v>-898.61000000000013</c:v>
                </c:pt>
                <c:pt idx="26">
                  <c:v>-44.91</c:v>
                </c:pt>
                <c:pt idx="27">
                  <c:v>-88.27</c:v>
                </c:pt>
                <c:pt idx="28">
                  <c:v>-86.64</c:v>
                </c:pt>
                <c:pt idx="29">
                  <c:v>-111.89</c:v>
                </c:pt>
                <c:pt idx="30">
                  <c:v>-169.6</c:v>
                </c:pt>
                <c:pt idx="31">
                  <c:v>-59.71</c:v>
                </c:pt>
                <c:pt idx="32">
                  <c:v>-68.5</c:v>
                </c:pt>
                <c:pt idx="33">
                  <c:v>-71.77</c:v>
                </c:pt>
                <c:pt idx="34">
                  <c:v>-125.47999999999999</c:v>
                </c:pt>
                <c:pt idx="35">
                  <c:v>-158.33999999999997</c:v>
                </c:pt>
                <c:pt idx="36">
                  <c:v>-115.77000000000001</c:v>
                </c:pt>
                <c:pt idx="37">
                  <c:v>-115.52</c:v>
                </c:pt>
                <c:pt idx="38">
                  <c:v>-127.77000000000001</c:v>
                </c:pt>
                <c:pt idx="39">
                  <c:v>0</c:v>
                </c:pt>
                <c:pt idx="40">
                  <c:v>-210.48000000000002</c:v>
                </c:pt>
                <c:pt idx="41">
                  <c:v>-152.55000000000001</c:v>
                </c:pt>
                <c:pt idx="42">
                  <c:v>-149.49</c:v>
                </c:pt>
                <c:pt idx="43">
                  <c:v>-153.70000000000002</c:v>
                </c:pt>
                <c:pt idx="44">
                  <c:v>-105.36</c:v>
                </c:pt>
                <c:pt idx="45">
                  <c:v>-280.15000000000003</c:v>
                </c:pt>
                <c:pt idx="46">
                  <c:v>-151.67000000000002</c:v>
                </c:pt>
                <c:pt idx="47">
                  <c:v>-227.15</c:v>
                </c:pt>
                <c:pt idx="48">
                  <c:v>-715.42</c:v>
                </c:pt>
                <c:pt idx="49">
                  <c:v>-207.02</c:v>
                </c:pt>
                <c:pt idx="50">
                  <c:v>-127.23</c:v>
                </c:pt>
                <c:pt idx="51">
                  <c:v>-212.23000000000002</c:v>
                </c:pt>
                <c:pt idx="52">
                  <c:v>-317.80999999999995</c:v>
                </c:pt>
                <c:pt idx="53">
                  <c:v>-267.02</c:v>
                </c:pt>
                <c:pt idx="54">
                  <c:v>-101.82000000000001</c:v>
                </c:pt>
                <c:pt idx="55">
                  <c:v>-597.24</c:v>
                </c:pt>
                <c:pt idx="56">
                  <c:v>-203.31</c:v>
                </c:pt>
                <c:pt idx="57">
                  <c:v>-284.53999999999996</c:v>
                </c:pt>
                <c:pt idx="58">
                  <c:v>-142.98000000000002</c:v>
                </c:pt>
                <c:pt idx="59">
                  <c:v>-249.94</c:v>
                </c:pt>
                <c:pt idx="60">
                  <c:v>-392.59000000000003</c:v>
                </c:pt>
                <c:pt idx="61">
                  <c:v>-224.26</c:v>
                </c:pt>
                <c:pt idx="62">
                  <c:v>-52.29</c:v>
                </c:pt>
                <c:pt idx="63">
                  <c:v>-366.3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Overview!$J$2</c:f>
              <c:strCache>
                <c:ptCount val="1"/>
                <c:pt idx="0">
                  <c:v>Personal</c:v>
                </c:pt>
              </c:strCache>
            </c:strRef>
          </c:tx>
          <c:marker>
            <c:symbol val="none"/>
          </c:marker>
          <c:cat>
            <c:multiLvlStrRef>
              <c:f>Overview!$A$3:$B$147</c:f>
              <c:multiLvlStrCache>
                <c:ptCount val="145"/>
                <c:lvl>
                  <c:pt idx="1">
                    <c:v>January 2019</c:v>
                  </c:pt>
                  <c:pt idx="2">
                    <c:v>February 2019</c:v>
                  </c:pt>
                  <c:pt idx="3">
                    <c:v>March 2019</c:v>
                  </c:pt>
                  <c:pt idx="4">
                    <c:v>April 2019</c:v>
                  </c:pt>
                  <c:pt idx="5">
                    <c:v>May 2019</c:v>
                  </c:pt>
                  <c:pt idx="6">
                    <c:v>June 2019</c:v>
                  </c:pt>
                  <c:pt idx="7">
                    <c:v>July 2019</c:v>
                  </c:pt>
                  <c:pt idx="8">
                    <c:v>August 2019</c:v>
                  </c:pt>
                  <c:pt idx="9">
                    <c:v>September 2019</c:v>
                  </c:pt>
                  <c:pt idx="10">
                    <c:v>October 2019</c:v>
                  </c:pt>
                  <c:pt idx="11">
                    <c:v>November 2019</c:v>
                  </c:pt>
                  <c:pt idx="12">
                    <c:v>December 2019</c:v>
                  </c:pt>
                  <c:pt idx="13">
                    <c:v>January 2020</c:v>
                  </c:pt>
                  <c:pt idx="14">
                    <c:v>February 2020</c:v>
                  </c:pt>
                  <c:pt idx="15">
                    <c:v>March 2020</c:v>
                  </c:pt>
                  <c:pt idx="16">
                    <c:v>April 2020</c:v>
                  </c:pt>
                  <c:pt idx="17">
                    <c:v>May 2020</c:v>
                  </c:pt>
                  <c:pt idx="18">
                    <c:v>June 2020</c:v>
                  </c:pt>
                  <c:pt idx="19">
                    <c:v>July 2020</c:v>
                  </c:pt>
                  <c:pt idx="20">
                    <c:v>August 2020</c:v>
                  </c:pt>
                  <c:pt idx="21">
                    <c:v>September 2020</c:v>
                  </c:pt>
                  <c:pt idx="22">
                    <c:v>October 2020</c:v>
                  </c:pt>
                  <c:pt idx="23">
                    <c:v>November 2020</c:v>
                  </c:pt>
                  <c:pt idx="24">
                    <c:v>December 2020</c:v>
                  </c:pt>
                  <c:pt idx="25">
                    <c:v>January 2021</c:v>
                  </c:pt>
                  <c:pt idx="26">
                    <c:v>February 2021</c:v>
                  </c:pt>
                  <c:pt idx="27">
                    <c:v>March 2021</c:v>
                  </c:pt>
                  <c:pt idx="28">
                    <c:v>April 2021</c:v>
                  </c:pt>
                  <c:pt idx="29">
                    <c:v>May 2021</c:v>
                  </c:pt>
                  <c:pt idx="30">
                    <c:v>June 2021</c:v>
                  </c:pt>
                  <c:pt idx="31">
                    <c:v>July 2021</c:v>
                  </c:pt>
                  <c:pt idx="32">
                    <c:v>August 2021</c:v>
                  </c:pt>
                  <c:pt idx="33">
                    <c:v>September 2021</c:v>
                  </c:pt>
                  <c:pt idx="34">
                    <c:v>October 2021</c:v>
                  </c:pt>
                  <c:pt idx="35">
                    <c:v>November 2021</c:v>
                  </c:pt>
                  <c:pt idx="36">
                    <c:v>December 2021</c:v>
                  </c:pt>
                  <c:pt idx="37">
                    <c:v>January 2022</c:v>
                  </c:pt>
                  <c:pt idx="38">
                    <c:v>February 2022</c:v>
                  </c:pt>
                  <c:pt idx="39">
                    <c:v>March 2022</c:v>
                  </c:pt>
                  <c:pt idx="40">
                    <c:v>April 2022</c:v>
                  </c:pt>
                  <c:pt idx="41">
                    <c:v>May 2022</c:v>
                  </c:pt>
                  <c:pt idx="42">
                    <c:v>June 2022</c:v>
                  </c:pt>
                  <c:pt idx="43">
                    <c:v>July 2022</c:v>
                  </c:pt>
                  <c:pt idx="44">
                    <c:v>August 2022</c:v>
                  </c:pt>
                  <c:pt idx="45">
                    <c:v>September 2022</c:v>
                  </c:pt>
                  <c:pt idx="46">
                    <c:v>October 2022</c:v>
                  </c:pt>
                  <c:pt idx="47">
                    <c:v>November 2022</c:v>
                  </c:pt>
                  <c:pt idx="48">
                    <c:v>December 2022</c:v>
                  </c:pt>
                  <c:pt idx="49">
                    <c:v>January 2023</c:v>
                  </c:pt>
                  <c:pt idx="50">
                    <c:v>February 2023</c:v>
                  </c:pt>
                  <c:pt idx="51">
                    <c:v>March 2023</c:v>
                  </c:pt>
                  <c:pt idx="52">
                    <c:v>April 2023</c:v>
                  </c:pt>
                  <c:pt idx="53">
                    <c:v>May 2023</c:v>
                  </c:pt>
                  <c:pt idx="54">
                    <c:v>June 2023</c:v>
                  </c:pt>
                  <c:pt idx="55">
                    <c:v>July 2023</c:v>
                  </c:pt>
                  <c:pt idx="56">
                    <c:v>August 2023</c:v>
                  </c:pt>
                  <c:pt idx="57">
                    <c:v>September 2023</c:v>
                  </c:pt>
                  <c:pt idx="58">
                    <c:v>October 2023</c:v>
                  </c:pt>
                  <c:pt idx="59">
                    <c:v>November 2023</c:v>
                  </c:pt>
                  <c:pt idx="60">
                    <c:v>December 2023</c:v>
                  </c:pt>
                  <c:pt idx="61">
                    <c:v>January 2024</c:v>
                  </c:pt>
                  <c:pt idx="62">
                    <c:v>February 2024</c:v>
                  </c:pt>
                  <c:pt idx="63">
                    <c:v>March 2024</c:v>
                  </c:pt>
                  <c:pt idx="64">
                    <c:v>April 2024</c:v>
                  </c:pt>
                  <c:pt idx="65">
                    <c:v>May 2024</c:v>
                  </c:pt>
                  <c:pt idx="66">
                    <c:v>June 2024</c:v>
                  </c:pt>
                  <c:pt idx="67">
                    <c:v>July 2024</c:v>
                  </c:pt>
                  <c:pt idx="68">
                    <c:v>August 2024</c:v>
                  </c:pt>
                  <c:pt idx="69">
                    <c:v>September 2024</c:v>
                  </c:pt>
                  <c:pt idx="70">
                    <c:v>October 2024</c:v>
                  </c:pt>
                  <c:pt idx="71">
                    <c:v>November 2024</c:v>
                  </c:pt>
                  <c:pt idx="72">
                    <c:v>December 2024</c:v>
                  </c:pt>
                  <c:pt idx="73">
                    <c:v>January 2025</c:v>
                  </c:pt>
                  <c:pt idx="74">
                    <c:v>February 2025</c:v>
                  </c:pt>
                  <c:pt idx="75">
                    <c:v>March 2025</c:v>
                  </c:pt>
                  <c:pt idx="76">
                    <c:v>April 2025</c:v>
                  </c:pt>
                  <c:pt idx="77">
                    <c:v>May 2025</c:v>
                  </c:pt>
                  <c:pt idx="78">
                    <c:v>June 2025</c:v>
                  </c:pt>
                  <c:pt idx="79">
                    <c:v>July 2025</c:v>
                  </c:pt>
                  <c:pt idx="80">
                    <c:v>August 2025</c:v>
                  </c:pt>
                  <c:pt idx="81">
                    <c:v>September 2025</c:v>
                  </c:pt>
                  <c:pt idx="82">
                    <c:v>October 2025</c:v>
                  </c:pt>
                  <c:pt idx="83">
                    <c:v>November 2025</c:v>
                  </c:pt>
                  <c:pt idx="84">
                    <c:v>December 2025</c:v>
                  </c:pt>
                  <c:pt idx="85">
                    <c:v>January 2026</c:v>
                  </c:pt>
                  <c:pt idx="86">
                    <c:v>February 2026</c:v>
                  </c:pt>
                  <c:pt idx="87">
                    <c:v>March 2026</c:v>
                  </c:pt>
                  <c:pt idx="88">
                    <c:v>April 2026</c:v>
                  </c:pt>
                  <c:pt idx="89">
                    <c:v>May 2026</c:v>
                  </c:pt>
                  <c:pt idx="90">
                    <c:v>June 2026</c:v>
                  </c:pt>
                  <c:pt idx="91">
                    <c:v>July 2026</c:v>
                  </c:pt>
                  <c:pt idx="92">
                    <c:v>August 2026</c:v>
                  </c:pt>
                  <c:pt idx="93">
                    <c:v>September 2026</c:v>
                  </c:pt>
                  <c:pt idx="94">
                    <c:v>October 2026</c:v>
                  </c:pt>
                  <c:pt idx="95">
                    <c:v>November 2026</c:v>
                  </c:pt>
                  <c:pt idx="96">
                    <c:v>December 2026</c:v>
                  </c:pt>
                  <c:pt idx="97">
                    <c:v>January 2027</c:v>
                  </c:pt>
                  <c:pt idx="98">
                    <c:v>February 2027</c:v>
                  </c:pt>
                  <c:pt idx="99">
                    <c:v>March 2027</c:v>
                  </c:pt>
                  <c:pt idx="100">
                    <c:v>April 2027</c:v>
                  </c:pt>
                  <c:pt idx="101">
                    <c:v>May 2027</c:v>
                  </c:pt>
                  <c:pt idx="102">
                    <c:v>June 2027</c:v>
                  </c:pt>
                  <c:pt idx="103">
                    <c:v>July 2027</c:v>
                  </c:pt>
                  <c:pt idx="104">
                    <c:v>August 2027</c:v>
                  </c:pt>
                  <c:pt idx="105">
                    <c:v>September 2027</c:v>
                  </c:pt>
                  <c:pt idx="106">
                    <c:v>October 2027</c:v>
                  </c:pt>
                  <c:pt idx="107">
                    <c:v>November 2027</c:v>
                  </c:pt>
                  <c:pt idx="108">
                    <c:v>December 2027</c:v>
                  </c:pt>
                  <c:pt idx="109">
                    <c:v>January 2028</c:v>
                  </c:pt>
                  <c:pt idx="110">
                    <c:v>February 2028</c:v>
                  </c:pt>
                  <c:pt idx="111">
                    <c:v>March 2028</c:v>
                  </c:pt>
                  <c:pt idx="112">
                    <c:v>April 2028</c:v>
                  </c:pt>
                  <c:pt idx="113">
                    <c:v>May 2028</c:v>
                  </c:pt>
                  <c:pt idx="114">
                    <c:v>June 2028</c:v>
                  </c:pt>
                  <c:pt idx="115">
                    <c:v>July 2028</c:v>
                  </c:pt>
                  <c:pt idx="116">
                    <c:v>August 2028</c:v>
                  </c:pt>
                  <c:pt idx="117">
                    <c:v>September 2028</c:v>
                  </c:pt>
                  <c:pt idx="118">
                    <c:v>October 2028</c:v>
                  </c:pt>
                  <c:pt idx="119">
                    <c:v>November 2028</c:v>
                  </c:pt>
                  <c:pt idx="120">
                    <c:v>December 2028</c:v>
                  </c:pt>
                  <c:pt idx="121">
                    <c:v>January 2029</c:v>
                  </c:pt>
                  <c:pt idx="122">
                    <c:v>February 2029</c:v>
                  </c:pt>
                  <c:pt idx="123">
                    <c:v>March 2029</c:v>
                  </c:pt>
                  <c:pt idx="124">
                    <c:v>April 2029</c:v>
                  </c:pt>
                  <c:pt idx="125">
                    <c:v>May 2029</c:v>
                  </c:pt>
                  <c:pt idx="126">
                    <c:v>June 2029</c:v>
                  </c:pt>
                  <c:pt idx="127">
                    <c:v>July 2029</c:v>
                  </c:pt>
                  <c:pt idx="128">
                    <c:v>August 2029</c:v>
                  </c:pt>
                  <c:pt idx="129">
                    <c:v>September 2029</c:v>
                  </c:pt>
                  <c:pt idx="130">
                    <c:v>October 2029</c:v>
                  </c:pt>
                  <c:pt idx="131">
                    <c:v>November 2029</c:v>
                  </c:pt>
                  <c:pt idx="132">
                    <c:v>December 2029</c:v>
                  </c:pt>
                  <c:pt idx="133">
                    <c:v>January 2030</c:v>
                  </c:pt>
                  <c:pt idx="134">
                    <c:v>February 2030</c:v>
                  </c:pt>
                  <c:pt idx="135">
                    <c:v>March 2030</c:v>
                  </c:pt>
                  <c:pt idx="136">
                    <c:v>April 2030</c:v>
                  </c:pt>
                  <c:pt idx="137">
                    <c:v>May 2030</c:v>
                  </c:pt>
                  <c:pt idx="138">
                    <c:v>June 2030</c:v>
                  </c:pt>
                  <c:pt idx="139">
                    <c:v>July 2030</c:v>
                  </c:pt>
                  <c:pt idx="140">
                    <c:v>August 2030</c:v>
                  </c:pt>
                  <c:pt idx="141">
                    <c:v>September 2030</c:v>
                  </c:pt>
                  <c:pt idx="142">
                    <c:v>October 2030</c:v>
                  </c:pt>
                  <c:pt idx="143">
                    <c:v>November 2030</c:v>
                  </c:pt>
                  <c:pt idx="144">
                    <c:v>December 2030</c:v>
                  </c:pt>
                </c:lvl>
                <c:lvl>
                  <c:pt idx="1">
                    <c:v>2019-01-01</c:v>
                  </c:pt>
                  <c:pt idx="2">
                    <c:v>2019-02-01</c:v>
                  </c:pt>
                  <c:pt idx="3">
                    <c:v>2019-03-01</c:v>
                  </c:pt>
                  <c:pt idx="4">
                    <c:v>2019-04-01</c:v>
                  </c:pt>
                  <c:pt idx="5">
                    <c:v>2019-05-01</c:v>
                  </c:pt>
                  <c:pt idx="6">
                    <c:v>2019-06-01</c:v>
                  </c:pt>
                  <c:pt idx="7">
                    <c:v>2019-07-01</c:v>
                  </c:pt>
                  <c:pt idx="8">
                    <c:v>2019-08-01</c:v>
                  </c:pt>
                  <c:pt idx="9">
                    <c:v>2019-09-01</c:v>
                  </c:pt>
                  <c:pt idx="10">
                    <c:v>2019-10-01</c:v>
                  </c:pt>
                  <c:pt idx="11">
                    <c:v>2019-11-01</c:v>
                  </c:pt>
                  <c:pt idx="12">
                    <c:v>2019-12-01</c:v>
                  </c:pt>
                  <c:pt idx="13">
                    <c:v>2020-01-01</c:v>
                  </c:pt>
                  <c:pt idx="14">
                    <c:v>2020-02-01</c:v>
                  </c:pt>
                  <c:pt idx="15">
                    <c:v>2020-03-01</c:v>
                  </c:pt>
                  <c:pt idx="16">
                    <c:v>2020-04-01</c:v>
                  </c:pt>
                  <c:pt idx="17">
                    <c:v>2020-05-01</c:v>
                  </c:pt>
                  <c:pt idx="18">
                    <c:v>2020-06-01</c:v>
                  </c:pt>
                  <c:pt idx="19">
                    <c:v>2020-07-01</c:v>
                  </c:pt>
                  <c:pt idx="20">
                    <c:v>2020-08-01</c:v>
                  </c:pt>
                  <c:pt idx="21">
                    <c:v>2020-09-01</c:v>
                  </c:pt>
                  <c:pt idx="22">
                    <c:v>2020-10-01</c:v>
                  </c:pt>
                  <c:pt idx="23">
                    <c:v>2020-11-01</c:v>
                  </c:pt>
                  <c:pt idx="24">
                    <c:v>2020-12-01</c:v>
                  </c:pt>
                  <c:pt idx="25">
                    <c:v>2021-01-01</c:v>
                  </c:pt>
                  <c:pt idx="26">
                    <c:v>2021-02-01</c:v>
                  </c:pt>
                  <c:pt idx="27">
                    <c:v>2021-03-01</c:v>
                  </c:pt>
                  <c:pt idx="28">
                    <c:v>2021-04-01</c:v>
                  </c:pt>
                  <c:pt idx="29">
                    <c:v>2021-05-01</c:v>
                  </c:pt>
                  <c:pt idx="30">
                    <c:v>2021-06-01</c:v>
                  </c:pt>
                  <c:pt idx="31">
                    <c:v>2021-07-01</c:v>
                  </c:pt>
                  <c:pt idx="32">
                    <c:v>2021-08-01</c:v>
                  </c:pt>
                  <c:pt idx="33">
                    <c:v>2021-09-01</c:v>
                  </c:pt>
                  <c:pt idx="34">
                    <c:v>2021-10-01</c:v>
                  </c:pt>
                  <c:pt idx="35">
                    <c:v>2021-11-01</c:v>
                  </c:pt>
                  <c:pt idx="36">
                    <c:v>2021-12-01</c:v>
                  </c:pt>
                  <c:pt idx="37">
                    <c:v>2022-01-01</c:v>
                  </c:pt>
                  <c:pt idx="38">
                    <c:v>2022-02-01</c:v>
                  </c:pt>
                  <c:pt idx="39">
                    <c:v>2022-03-01</c:v>
                  </c:pt>
                  <c:pt idx="40">
                    <c:v>2022-04-01</c:v>
                  </c:pt>
                  <c:pt idx="41">
                    <c:v>2022-05-01</c:v>
                  </c:pt>
                  <c:pt idx="42">
                    <c:v>2022-06-01</c:v>
                  </c:pt>
                  <c:pt idx="43">
                    <c:v>2022-07-01</c:v>
                  </c:pt>
                  <c:pt idx="44">
                    <c:v>2022-08-01</c:v>
                  </c:pt>
                  <c:pt idx="45">
                    <c:v>2022-09-01</c:v>
                  </c:pt>
                  <c:pt idx="46">
                    <c:v>2022-10-01</c:v>
                  </c:pt>
                  <c:pt idx="47">
                    <c:v>2022-11-01</c:v>
                  </c:pt>
                  <c:pt idx="48">
                    <c:v>2022-12-01</c:v>
                  </c:pt>
                  <c:pt idx="49">
                    <c:v>2023-01-01</c:v>
                  </c:pt>
                  <c:pt idx="50">
                    <c:v>2023-02-01</c:v>
                  </c:pt>
                  <c:pt idx="51">
                    <c:v>2023-03-01</c:v>
                  </c:pt>
                  <c:pt idx="52">
                    <c:v>2023-04-01</c:v>
                  </c:pt>
                  <c:pt idx="53">
                    <c:v>2023-05-01</c:v>
                  </c:pt>
                  <c:pt idx="54">
                    <c:v>2023-06-01</c:v>
                  </c:pt>
                  <c:pt idx="55">
                    <c:v>2023-07-01</c:v>
                  </c:pt>
                  <c:pt idx="56">
                    <c:v>2023-08-01</c:v>
                  </c:pt>
                  <c:pt idx="57">
                    <c:v>2023-09-01</c:v>
                  </c:pt>
                  <c:pt idx="58">
                    <c:v>2023-10-01</c:v>
                  </c:pt>
                  <c:pt idx="59">
                    <c:v>2023-11-01</c:v>
                  </c:pt>
                  <c:pt idx="60">
                    <c:v>2023-12-01</c:v>
                  </c:pt>
                  <c:pt idx="61">
                    <c:v>2024-01-01</c:v>
                  </c:pt>
                  <c:pt idx="62">
                    <c:v>2024-02-01</c:v>
                  </c:pt>
                  <c:pt idx="63">
                    <c:v>2024-03-01</c:v>
                  </c:pt>
                  <c:pt idx="64">
                    <c:v>2024-04-01</c:v>
                  </c:pt>
                  <c:pt idx="65">
                    <c:v>2024-05-01</c:v>
                  </c:pt>
                  <c:pt idx="66">
                    <c:v>2024-06-01</c:v>
                  </c:pt>
                  <c:pt idx="67">
                    <c:v>2024-07-01</c:v>
                  </c:pt>
                  <c:pt idx="68">
                    <c:v>2024-08-01</c:v>
                  </c:pt>
                  <c:pt idx="69">
                    <c:v>2024-09-01</c:v>
                  </c:pt>
                  <c:pt idx="70">
                    <c:v>2024-10-01</c:v>
                  </c:pt>
                  <c:pt idx="71">
                    <c:v>2024-11-01</c:v>
                  </c:pt>
                  <c:pt idx="72">
                    <c:v>2024-12-01</c:v>
                  </c:pt>
                  <c:pt idx="73">
                    <c:v>2025-01-01</c:v>
                  </c:pt>
                  <c:pt idx="74">
                    <c:v>2025-02-01</c:v>
                  </c:pt>
                  <c:pt idx="75">
                    <c:v>2025-03-01</c:v>
                  </c:pt>
                  <c:pt idx="76">
                    <c:v>2025-04-01</c:v>
                  </c:pt>
                  <c:pt idx="77">
                    <c:v>2025-05-01</c:v>
                  </c:pt>
                  <c:pt idx="78">
                    <c:v>2025-06-01</c:v>
                  </c:pt>
                  <c:pt idx="79">
                    <c:v>2025-07-01</c:v>
                  </c:pt>
                  <c:pt idx="80">
                    <c:v>2025-08-01</c:v>
                  </c:pt>
                  <c:pt idx="81">
                    <c:v>2025-09-01</c:v>
                  </c:pt>
                  <c:pt idx="82">
                    <c:v>2025-10-01</c:v>
                  </c:pt>
                  <c:pt idx="83">
                    <c:v>2025-11-01</c:v>
                  </c:pt>
                  <c:pt idx="84">
                    <c:v>2025-12-01</c:v>
                  </c:pt>
                  <c:pt idx="85">
                    <c:v>2026-01-01</c:v>
                  </c:pt>
                  <c:pt idx="86">
                    <c:v>2026-02-01</c:v>
                  </c:pt>
                  <c:pt idx="87">
                    <c:v>2026-03-01</c:v>
                  </c:pt>
                  <c:pt idx="88">
                    <c:v>2026-04-01</c:v>
                  </c:pt>
                  <c:pt idx="89">
                    <c:v>2026-05-01</c:v>
                  </c:pt>
                  <c:pt idx="90">
                    <c:v>2026-06-01</c:v>
                  </c:pt>
                  <c:pt idx="91">
                    <c:v>2026-07-01</c:v>
                  </c:pt>
                  <c:pt idx="92">
                    <c:v>2026-08-01</c:v>
                  </c:pt>
                  <c:pt idx="93">
                    <c:v>2026-09-01</c:v>
                  </c:pt>
                  <c:pt idx="94">
                    <c:v>2026-10-01</c:v>
                  </c:pt>
                  <c:pt idx="95">
                    <c:v>2026-11-01</c:v>
                  </c:pt>
                  <c:pt idx="96">
                    <c:v>2026-12-01</c:v>
                  </c:pt>
                  <c:pt idx="97">
                    <c:v>2027-01-01</c:v>
                  </c:pt>
                  <c:pt idx="98">
                    <c:v>2027-02-01</c:v>
                  </c:pt>
                  <c:pt idx="99">
                    <c:v>2027-03-01</c:v>
                  </c:pt>
                  <c:pt idx="100">
                    <c:v>2027-04-01</c:v>
                  </c:pt>
                  <c:pt idx="101">
                    <c:v>2027-05-01</c:v>
                  </c:pt>
                  <c:pt idx="102">
                    <c:v>2027-06-01</c:v>
                  </c:pt>
                  <c:pt idx="103">
                    <c:v>2027-07-01</c:v>
                  </c:pt>
                  <c:pt idx="104">
                    <c:v>2027-08-01</c:v>
                  </c:pt>
                  <c:pt idx="105">
                    <c:v>2027-09-01</c:v>
                  </c:pt>
                  <c:pt idx="106">
                    <c:v>2027-10-01</c:v>
                  </c:pt>
                  <c:pt idx="107">
                    <c:v>2027-11-01</c:v>
                  </c:pt>
                  <c:pt idx="108">
                    <c:v>2027-12-01</c:v>
                  </c:pt>
                  <c:pt idx="109">
                    <c:v>2028-01-01</c:v>
                  </c:pt>
                  <c:pt idx="110">
                    <c:v>2028-02-01</c:v>
                  </c:pt>
                  <c:pt idx="111">
                    <c:v>2028-03-01</c:v>
                  </c:pt>
                  <c:pt idx="112">
                    <c:v>2028-04-01</c:v>
                  </c:pt>
                  <c:pt idx="113">
                    <c:v>2028-05-01</c:v>
                  </c:pt>
                  <c:pt idx="114">
                    <c:v>2028-06-01</c:v>
                  </c:pt>
                  <c:pt idx="115">
                    <c:v>2028-07-01</c:v>
                  </c:pt>
                  <c:pt idx="116">
                    <c:v>2028-08-01</c:v>
                  </c:pt>
                  <c:pt idx="117">
                    <c:v>2028-09-01</c:v>
                  </c:pt>
                  <c:pt idx="118">
                    <c:v>2028-10-01</c:v>
                  </c:pt>
                  <c:pt idx="119">
                    <c:v>2028-11-01</c:v>
                  </c:pt>
                  <c:pt idx="120">
                    <c:v>2028-12-01</c:v>
                  </c:pt>
                  <c:pt idx="121">
                    <c:v>2029-01-01</c:v>
                  </c:pt>
                  <c:pt idx="122">
                    <c:v>2029-02-01</c:v>
                  </c:pt>
                  <c:pt idx="123">
                    <c:v>2029-03-01</c:v>
                  </c:pt>
                  <c:pt idx="124">
                    <c:v>2029-04-01</c:v>
                  </c:pt>
                  <c:pt idx="125">
                    <c:v>2029-05-01</c:v>
                  </c:pt>
                  <c:pt idx="126">
                    <c:v>2029-06-01</c:v>
                  </c:pt>
                  <c:pt idx="127">
                    <c:v>2029-07-01</c:v>
                  </c:pt>
                  <c:pt idx="128">
                    <c:v>2029-08-01</c:v>
                  </c:pt>
                  <c:pt idx="129">
                    <c:v>2029-09-01</c:v>
                  </c:pt>
                  <c:pt idx="130">
                    <c:v>2029-10-01</c:v>
                  </c:pt>
                  <c:pt idx="131">
                    <c:v>2029-11-01</c:v>
                  </c:pt>
                  <c:pt idx="132">
                    <c:v>2029-12-01</c:v>
                  </c:pt>
                  <c:pt idx="133">
                    <c:v>2030-01-01</c:v>
                  </c:pt>
                  <c:pt idx="134">
                    <c:v>2030-02-01</c:v>
                  </c:pt>
                  <c:pt idx="135">
                    <c:v>2030-03-01</c:v>
                  </c:pt>
                  <c:pt idx="136">
                    <c:v>2030-04-01</c:v>
                  </c:pt>
                  <c:pt idx="137">
                    <c:v>2030-05-01</c:v>
                  </c:pt>
                  <c:pt idx="138">
                    <c:v>2030-06-01</c:v>
                  </c:pt>
                  <c:pt idx="139">
                    <c:v>2030-07-01</c:v>
                  </c:pt>
                  <c:pt idx="140">
                    <c:v>2030-08-01</c:v>
                  </c:pt>
                  <c:pt idx="141">
                    <c:v>2030-09-01</c:v>
                  </c:pt>
                  <c:pt idx="142">
                    <c:v>2030-10-01</c:v>
                  </c:pt>
                  <c:pt idx="143">
                    <c:v>2030-11-01</c:v>
                  </c:pt>
                  <c:pt idx="144">
                    <c:v>2030-12-01</c:v>
                  </c:pt>
                </c:lvl>
              </c:multiLvlStrCache>
            </c:multiLvlStrRef>
          </c:cat>
          <c:val>
            <c:numRef>
              <c:f>Overview!$J$3:$J$147</c:f>
              <c:numCache>
                <c:formatCode>_("$"* #,##0.00_);_("$"* \(#,##0.00\);_("$"* "-"??_);_(@_)</c:formatCode>
                <c:ptCount val="145"/>
                <c:pt idx="1">
                  <c:v>-55.5</c:v>
                </c:pt>
                <c:pt idx="2">
                  <c:v>0</c:v>
                </c:pt>
                <c:pt idx="3">
                  <c:v>-809.43999999999994</c:v>
                </c:pt>
                <c:pt idx="4">
                  <c:v>-29.22</c:v>
                </c:pt>
                <c:pt idx="5">
                  <c:v>-6.16</c:v>
                </c:pt>
                <c:pt idx="6">
                  <c:v>-350.57</c:v>
                </c:pt>
                <c:pt idx="7">
                  <c:v>40</c:v>
                </c:pt>
                <c:pt idx="8">
                  <c:v>-50.61</c:v>
                </c:pt>
                <c:pt idx="9">
                  <c:v>-26.05</c:v>
                </c:pt>
                <c:pt idx="10">
                  <c:v>-256.2</c:v>
                </c:pt>
                <c:pt idx="11">
                  <c:v>-84.600000000000009</c:v>
                </c:pt>
                <c:pt idx="12">
                  <c:v>-273.05</c:v>
                </c:pt>
                <c:pt idx="13">
                  <c:v>0</c:v>
                </c:pt>
                <c:pt idx="14">
                  <c:v>-55.05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-208.93</c:v>
                </c:pt>
                <c:pt idx="19">
                  <c:v>0</c:v>
                </c:pt>
                <c:pt idx="20">
                  <c:v>-925.68000000000006</c:v>
                </c:pt>
                <c:pt idx="21">
                  <c:v>-33.840000000000003</c:v>
                </c:pt>
                <c:pt idx="22">
                  <c:v>-250.56</c:v>
                </c:pt>
                <c:pt idx="23">
                  <c:v>-320.66000000000003</c:v>
                </c:pt>
                <c:pt idx="24">
                  <c:v>-194.42</c:v>
                </c:pt>
                <c:pt idx="25">
                  <c:v>-512.49</c:v>
                </c:pt>
                <c:pt idx="26">
                  <c:v>-751.4</c:v>
                </c:pt>
                <c:pt idx="27">
                  <c:v>-86.87</c:v>
                </c:pt>
                <c:pt idx="28">
                  <c:v>-39.869999999999997</c:v>
                </c:pt>
                <c:pt idx="29">
                  <c:v>-296.69</c:v>
                </c:pt>
                <c:pt idx="30">
                  <c:v>-108.50999999999999</c:v>
                </c:pt>
                <c:pt idx="31">
                  <c:v>1829.9099999999999</c:v>
                </c:pt>
                <c:pt idx="32">
                  <c:v>-81.02</c:v>
                </c:pt>
                <c:pt idx="33">
                  <c:v>-1325.69</c:v>
                </c:pt>
                <c:pt idx="34">
                  <c:v>-170.92000000000002</c:v>
                </c:pt>
                <c:pt idx="35">
                  <c:v>-39.06</c:v>
                </c:pt>
                <c:pt idx="36">
                  <c:v>-78.55</c:v>
                </c:pt>
                <c:pt idx="37">
                  <c:v>-169.84</c:v>
                </c:pt>
                <c:pt idx="38">
                  <c:v>-52.629999999999995</c:v>
                </c:pt>
                <c:pt idx="39">
                  <c:v>0</c:v>
                </c:pt>
                <c:pt idx="40">
                  <c:v>-388.63</c:v>
                </c:pt>
                <c:pt idx="41">
                  <c:v>-125.73</c:v>
                </c:pt>
                <c:pt idx="42">
                  <c:v>-68.8</c:v>
                </c:pt>
                <c:pt idx="43">
                  <c:v>-342.06000000000006</c:v>
                </c:pt>
                <c:pt idx="44">
                  <c:v>-213.21999999999997</c:v>
                </c:pt>
                <c:pt idx="45">
                  <c:v>-1032.28</c:v>
                </c:pt>
                <c:pt idx="46">
                  <c:v>-200</c:v>
                </c:pt>
                <c:pt idx="47">
                  <c:v>-90.48</c:v>
                </c:pt>
                <c:pt idx="48">
                  <c:v>-160.84</c:v>
                </c:pt>
                <c:pt idx="49">
                  <c:v>-382.01000000000005</c:v>
                </c:pt>
                <c:pt idx="50">
                  <c:v>-223.33</c:v>
                </c:pt>
                <c:pt idx="51">
                  <c:v>-36.89</c:v>
                </c:pt>
                <c:pt idx="52">
                  <c:v>-289.87</c:v>
                </c:pt>
                <c:pt idx="53">
                  <c:v>-533.30999999999995</c:v>
                </c:pt>
                <c:pt idx="54">
                  <c:v>-283.71000000000004</c:v>
                </c:pt>
                <c:pt idx="55">
                  <c:v>-119.63</c:v>
                </c:pt>
                <c:pt idx="56">
                  <c:v>-120.78999999999999</c:v>
                </c:pt>
                <c:pt idx="57">
                  <c:v>-104.77000000000001</c:v>
                </c:pt>
                <c:pt idx="58">
                  <c:v>-38.39</c:v>
                </c:pt>
                <c:pt idx="59">
                  <c:v>-125.4</c:v>
                </c:pt>
                <c:pt idx="60">
                  <c:v>-161.19</c:v>
                </c:pt>
                <c:pt idx="61">
                  <c:v>-60.09</c:v>
                </c:pt>
                <c:pt idx="62">
                  <c:v>-10.55</c:v>
                </c:pt>
                <c:pt idx="63">
                  <c:v>-155.10000000000002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Overview!$K$2</c:f>
              <c:strCache>
                <c:ptCount val="1"/>
                <c:pt idx="0">
                  <c:v>Education</c:v>
                </c:pt>
              </c:strCache>
            </c:strRef>
          </c:tx>
          <c:marker>
            <c:symbol val="none"/>
          </c:marker>
          <c:cat>
            <c:multiLvlStrRef>
              <c:f>Overview!$A$3:$B$147</c:f>
              <c:multiLvlStrCache>
                <c:ptCount val="145"/>
                <c:lvl>
                  <c:pt idx="1">
                    <c:v>January 2019</c:v>
                  </c:pt>
                  <c:pt idx="2">
                    <c:v>February 2019</c:v>
                  </c:pt>
                  <c:pt idx="3">
                    <c:v>March 2019</c:v>
                  </c:pt>
                  <c:pt idx="4">
                    <c:v>April 2019</c:v>
                  </c:pt>
                  <c:pt idx="5">
                    <c:v>May 2019</c:v>
                  </c:pt>
                  <c:pt idx="6">
                    <c:v>June 2019</c:v>
                  </c:pt>
                  <c:pt idx="7">
                    <c:v>July 2019</c:v>
                  </c:pt>
                  <c:pt idx="8">
                    <c:v>August 2019</c:v>
                  </c:pt>
                  <c:pt idx="9">
                    <c:v>September 2019</c:v>
                  </c:pt>
                  <c:pt idx="10">
                    <c:v>October 2019</c:v>
                  </c:pt>
                  <c:pt idx="11">
                    <c:v>November 2019</c:v>
                  </c:pt>
                  <c:pt idx="12">
                    <c:v>December 2019</c:v>
                  </c:pt>
                  <c:pt idx="13">
                    <c:v>January 2020</c:v>
                  </c:pt>
                  <c:pt idx="14">
                    <c:v>February 2020</c:v>
                  </c:pt>
                  <c:pt idx="15">
                    <c:v>March 2020</c:v>
                  </c:pt>
                  <c:pt idx="16">
                    <c:v>April 2020</c:v>
                  </c:pt>
                  <c:pt idx="17">
                    <c:v>May 2020</c:v>
                  </c:pt>
                  <c:pt idx="18">
                    <c:v>June 2020</c:v>
                  </c:pt>
                  <c:pt idx="19">
                    <c:v>July 2020</c:v>
                  </c:pt>
                  <c:pt idx="20">
                    <c:v>August 2020</c:v>
                  </c:pt>
                  <c:pt idx="21">
                    <c:v>September 2020</c:v>
                  </c:pt>
                  <c:pt idx="22">
                    <c:v>October 2020</c:v>
                  </c:pt>
                  <c:pt idx="23">
                    <c:v>November 2020</c:v>
                  </c:pt>
                  <c:pt idx="24">
                    <c:v>December 2020</c:v>
                  </c:pt>
                  <c:pt idx="25">
                    <c:v>January 2021</c:v>
                  </c:pt>
                  <c:pt idx="26">
                    <c:v>February 2021</c:v>
                  </c:pt>
                  <c:pt idx="27">
                    <c:v>March 2021</c:v>
                  </c:pt>
                  <c:pt idx="28">
                    <c:v>April 2021</c:v>
                  </c:pt>
                  <c:pt idx="29">
                    <c:v>May 2021</c:v>
                  </c:pt>
                  <c:pt idx="30">
                    <c:v>June 2021</c:v>
                  </c:pt>
                  <c:pt idx="31">
                    <c:v>July 2021</c:v>
                  </c:pt>
                  <c:pt idx="32">
                    <c:v>August 2021</c:v>
                  </c:pt>
                  <c:pt idx="33">
                    <c:v>September 2021</c:v>
                  </c:pt>
                  <c:pt idx="34">
                    <c:v>October 2021</c:v>
                  </c:pt>
                  <c:pt idx="35">
                    <c:v>November 2021</c:v>
                  </c:pt>
                  <c:pt idx="36">
                    <c:v>December 2021</c:v>
                  </c:pt>
                  <c:pt idx="37">
                    <c:v>January 2022</c:v>
                  </c:pt>
                  <c:pt idx="38">
                    <c:v>February 2022</c:v>
                  </c:pt>
                  <c:pt idx="39">
                    <c:v>March 2022</c:v>
                  </c:pt>
                  <c:pt idx="40">
                    <c:v>April 2022</c:v>
                  </c:pt>
                  <c:pt idx="41">
                    <c:v>May 2022</c:v>
                  </c:pt>
                  <c:pt idx="42">
                    <c:v>June 2022</c:v>
                  </c:pt>
                  <c:pt idx="43">
                    <c:v>July 2022</c:v>
                  </c:pt>
                  <c:pt idx="44">
                    <c:v>August 2022</c:v>
                  </c:pt>
                  <c:pt idx="45">
                    <c:v>September 2022</c:v>
                  </c:pt>
                  <c:pt idx="46">
                    <c:v>October 2022</c:v>
                  </c:pt>
                  <c:pt idx="47">
                    <c:v>November 2022</c:v>
                  </c:pt>
                  <c:pt idx="48">
                    <c:v>December 2022</c:v>
                  </c:pt>
                  <c:pt idx="49">
                    <c:v>January 2023</c:v>
                  </c:pt>
                  <c:pt idx="50">
                    <c:v>February 2023</c:v>
                  </c:pt>
                  <c:pt idx="51">
                    <c:v>March 2023</c:v>
                  </c:pt>
                  <c:pt idx="52">
                    <c:v>April 2023</c:v>
                  </c:pt>
                  <c:pt idx="53">
                    <c:v>May 2023</c:v>
                  </c:pt>
                  <c:pt idx="54">
                    <c:v>June 2023</c:v>
                  </c:pt>
                  <c:pt idx="55">
                    <c:v>July 2023</c:v>
                  </c:pt>
                  <c:pt idx="56">
                    <c:v>August 2023</c:v>
                  </c:pt>
                  <c:pt idx="57">
                    <c:v>September 2023</c:v>
                  </c:pt>
                  <c:pt idx="58">
                    <c:v>October 2023</c:v>
                  </c:pt>
                  <c:pt idx="59">
                    <c:v>November 2023</c:v>
                  </c:pt>
                  <c:pt idx="60">
                    <c:v>December 2023</c:v>
                  </c:pt>
                  <c:pt idx="61">
                    <c:v>January 2024</c:v>
                  </c:pt>
                  <c:pt idx="62">
                    <c:v>February 2024</c:v>
                  </c:pt>
                  <c:pt idx="63">
                    <c:v>March 2024</c:v>
                  </c:pt>
                  <c:pt idx="64">
                    <c:v>April 2024</c:v>
                  </c:pt>
                  <c:pt idx="65">
                    <c:v>May 2024</c:v>
                  </c:pt>
                  <c:pt idx="66">
                    <c:v>June 2024</c:v>
                  </c:pt>
                  <c:pt idx="67">
                    <c:v>July 2024</c:v>
                  </c:pt>
                  <c:pt idx="68">
                    <c:v>August 2024</c:v>
                  </c:pt>
                  <c:pt idx="69">
                    <c:v>September 2024</c:v>
                  </c:pt>
                  <c:pt idx="70">
                    <c:v>October 2024</c:v>
                  </c:pt>
                  <c:pt idx="71">
                    <c:v>November 2024</c:v>
                  </c:pt>
                  <c:pt idx="72">
                    <c:v>December 2024</c:v>
                  </c:pt>
                  <c:pt idx="73">
                    <c:v>January 2025</c:v>
                  </c:pt>
                  <c:pt idx="74">
                    <c:v>February 2025</c:v>
                  </c:pt>
                  <c:pt idx="75">
                    <c:v>March 2025</c:v>
                  </c:pt>
                  <c:pt idx="76">
                    <c:v>April 2025</c:v>
                  </c:pt>
                  <c:pt idx="77">
                    <c:v>May 2025</c:v>
                  </c:pt>
                  <c:pt idx="78">
                    <c:v>June 2025</c:v>
                  </c:pt>
                  <c:pt idx="79">
                    <c:v>July 2025</c:v>
                  </c:pt>
                  <c:pt idx="80">
                    <c:v>August 2025</c:v>
                  </c:pt>
                  <c:pt idx="81">
                    <c:v>September 2025</c:v>
                  </c:pt>
                  <c:pt idx="82">
                    <c:v>October 2025</c:v>
                  </c:pt>
                  <c:pt idx="83">
                    <c:v>November 2025</c:v>
                  </c:pt>
                  <c:pt idx="84">
                    <c:v>December 2025</c:v>
                  </c:pt>
                  <c:pt idx="85">
                    <c:v>January 2026</c:v>
                  </c:pt>
                  <c:pt idx="86">
                    <c:v>February 2026</c:v>
                  </c:pt>
                  <c:pt idx="87">
                    <c:v>March 2026</c:v>
                  </c:pt>
                  <c:pt idx="88">
                    <c:v>April 2026</c:v>
                  </c:pt>
                  <c:pt idx="89">
                    <c:v>May 2026</c:v>
                  </c:pt>
                  <c:pt idx="90">
                    <c:v>June 2026</c:v>
                  </c:pt>
                  <c:pt idx="91">
                    <c:v>July 2026</c:v>
                  </c:pt>
                  <c:pt idx="92">
                    <c:v>August 2026</c:v>
                  </c:pt>
                  <c:pt idx="93">
                    <c:v>September 2026</c:v>
                  </c:pt>
                  <c:pt idx="94">
                    <c:v>October 2026</c:v>
                  </c:pt>
                  <c:pt idx="95">
                    <c:v>November 2026</c:v>
                  </c:pt>
                  <c:pt idx="96">
                    <c:v>December 2026</c:v>
                  </c:pt>
                  <c:pt idx="97">
                    <c:v>January 2027</c:v>
                  </c:pt>
                  <c:pt idx="98">
                    <c:v>February 2027</c:v>
                  </c:pt>
                  <c:pt idx="99">
                    <c:v>March 2027</c:v>
                  </c:pt>
                  <c:pt idx="100">
                    <c:v>April 2027</c:v>
                  </c:pt>
                  <c:pt idx="101">
                    <c:v>May 2027</c:v>
                  </c:pt>
                  <c:pt idx="102">
                    <c:v>June 2027</c:v>
                  </c:pt>
                  <c:pt idx="103">
                    <c:v>July 2027</c:v>
                  </c:pt>
                  <c:pt idx="104">
                    <c:v>August 2027</c:v>
                  </c:pt>
                  <c:pt idx="105">
                    <c:v>September 2027</c:v>
                  </c:pt>
                  <c:pt idx="106">
                    <c:v>October 2027</c:v>
                  </c:pt>
                  <c:pt idx="107">
                    <c:v>November 2027</c:v>
                  </c:pt>
                  <c:pt idx="108">
                    <c:v>December 2027</c:v>
                  </c:pt>
                  <c:pt idx="109">
                    <c:v>January 2028</c:v>
                  </c:pt>
                  <c:pt idx="110">
                    <c:v>February 2028</c:v>
                  </c:pt>
                  <c:pt idx="111">
                    <c:v>March 2028</c:v>
                  </c:pt>
                  <c:pt idx="112">
                    <c:v>April 2028</c:v>
                  </c:pt>
                  <c:pt idx="113">
                    <c:v>May 2028</c:v>
                  </c:pt>
                  <c:pt idx="114">
                    <c:v>June 2028</c:v>
                  </c:pt>
                  <c:pt idx="115">
                    <c:v>July 2028</c:v>
                  </c:pt>
                  <c:pt idx="116">
                    <c:v>August 2028</c:v>
                  </c:pt>
                  <c:pt idx="117">
                    <c:v>September 2028</c:v>
                  </c:pt>
                  <c:pt idx="118">
                    <c:v>October 2028</c:v>
                  </c:pt>
                  <c:pt idx="119">
                    <c:v>November 2028</c:v>
                  </c:pt>
                  <c:pt idx="120">
                    <c:v>December 2028</c:v>
                  </c:pt>
                  <c:pt idx="121">
                    <c:v>January 2029</c:v>
                  </c:pt>
                  <c:pt idx="122">
                    <c:v>February 2029</c:v>
                  </c:pt>
                  <c:pt idx="123">
                    <c:v>March 2029</c:v>
                  </c:pt>
                  <c:pt idx="124">
                    <c:v>April 2029</c:v>
                  </c:pt>
                  <c:pt idx="125">
                    <c:v>May 2029</c:v>
                  </c:pt>
                  <c:pt idx="126">
                    <c:v>June 2029</c:v>
                  </c:pt>
                  <c:pt idx="127">
                    <c:v>July 2029</c:v>
                  </c:pt>
                  <c:pt idx="128">
                    <c:v>August 2029</c:v>
                  </c:pt>
                  <c:pt idx="129">
                    <c:v>September 2029</c:v>
                  </c:pt>
                  <c:pt idx="130">
                    <c:v>October 2029</c:v>
                  </c:pt>
                  <c:pt idx="131">
                    <c:v>November 2029</c:v>
                  </c:pt>
                  <c:pt idx="132">
                    <c:v>December 2029</c:v>
                  </c:pt>
                  <c:pt idx="133">
                    <c:v>January 2030</c:v>
                  </c:pt>
                  <c:pt idx="134">
                    <c:v>February 2030</c:v>
                  </c:pt>
                  <c:pt idx="135">
                    <c:v>March 2030</c:v>
                  </c:pt>
                  <c:pt idx="136">
                    <c:v>April 2030</c:v>
                  </c:pt>
                  <c:pt idx="137">
                    <c:v>May 2030</c:v>
                  </c:pt>
                  <c:pt idx="138">
                    <c:v>June 2030</c:v>
                  </c:pt>
                  <c:pt idx="139">
                    <c:v>July 2030</c:v>
                  </c:pt>
                  <c:pt idx="140">
                    <c:v>August 2030</c:v>
                  </c:pt>
                  <c:pt idx="141">
                    <c:v>September 2030</c:v>
                  </c:pt>
                  <c:pt idx="142">
                    <c:v>October 2030</c:v>
                  </c:pt>
                  <c:pt idx="143">
                    <c:v>November 2030</c:v>
                  </c:pt>
                  <c:pt idx="144">
                    <c:v>December 2030</c:v>
                  </c:pt>
                </c:lvl>
                <c:lvl>
                  <c:pt idx="1">
                    <c:v>2019-01-01</c:v>
                  </c:pt>
                  <c:pt idx="2">
                    <c:v>2019-02-01</c:v>
                  </c:pt>
                  <c:pt idx="3">
                    <c:v>2019-03-01</c:v>
                  </c:pt>
                  <c:pt idx="4">
                    <c:v>2019-04-01</c:v>
                  </c:pt>
                  <c:pt idx="5">
                    <c:v>2019-05-01</c:v>
                  </c:pt>
                  <c:pt idx="6">
                    <c:v>2019-06-01</c:v>
                  </c:pt>
                  <c:pt idx="7">
                    <c:v>2019-07-01</c:v>
                  </c:pt>
                  <c:pt idx="8">
                    <c:v>2019-08-01</c:v>
                  </c:pt>
                  <c:pt idx="9">
                    <c:v>2019-09-01</c:v>
                  </c:pt>
                  <c:pt idx="10">
                    <c:v>2019-10-01</c:v>
                  </c:pt>
                  <c:pt idx="11">
                    <c:v>2019-11-01</c:v>
                  </c:pt>
                  <c:pt idx="12">
                    <c:v>2019-12-01</c:v>
                  </c:pt>
                  <c:pt idx="13">
                    <c:v>2020-01-01</c:v>
                  </c:pt>
                  <c:pt idx="14">
                    <c:v>2020-02-01</c:v>
                  </c:pt>
                  <c:pt idx="15">
                    <c:v>2020-03-01</c:v>
                  </c:pt>
                  <c:pt idx="16">
                    <c:v>2020-04-01</c:v>
                  </c:pt>
                  <c:pt idx="17">
                    <c:v>2020-05-01</c:v>
                  </c:pt>
                  <c:pt idx="18">
                    <c:v>2020-06-01</c:v>
                  </c:pt>
                  <c:pt idx="19">
                    <c:v>2020-07-01</c:v>
                  </c:pt>
                  <c:pt idx="20">
                    <c:v>2020-08-01</c:v>
                  </c:pt>
                  <c:pt idx="21">
                    <c:v>2020-09-01</c:v>
                  </c:pt>
                  <c:pt idx="22">
                    <c:v>2020-10-01</c:v>
                  </c:pt>
                  <c:pt idx="23">
                    <c:v>2020-11-01</c:v>
                  </c:pt>
                  <c:pt idx="24">
                    <c:v>2020-12-01</c:v>
                  </c:pt>
                  <c:pt idx="25">
                    <c:v>2021-01-01</c:v>
                  </c:pt>
                  <c:pt idx="26">
                    <c:v>2021-02-01</c:v>
                  </c:pt>
                  <c:pt idx="27">
                    <c:v>2021-03-01</c:v>
                  </c:pt>
                  <c:pt idx="28">
                    <c:v>2021-04-01</c:v>
                  </c:pt>
                  <c:pt idx="29">
                    <c:v>2021-05-01</c:v>
                  </c:pt>
                  <c:pt idx="30">
                    <c:v>2021-06-01</c:v>
                  </c:pt>
                  <c:pt idx="31">
                    <c:v>2021-07-01</c:v>
                  </c:pt>
                  <c:pt idx="32">
                    <c:v>2021-08-01</c:v>
                  </c:pt>
                  <c:pt idx="33">
                    <c:v>2021-09-01</c:v>
                  </c:pt>
                  <c:pt idx="34">
                    <c:v>2021-10-01</c:v>
                  </c:pt>
                  <c:pt idx="35">
                    <c:v>2021-11-01</c:v>
                  </c:pt>
                  <c:pt idx="36">
                    <c:v>2021-12-01</c:v>
                  </c:pt>
                  <c:pt idx="37">
                    <c:v>2022-01-01</c:v>
                  </c:pt>
                  <c:pt idx="38">
                    <c:v>2022-02-01</c:v>
                  </c:pt>
                  <c:pt idx="39">
                    <c:v>2022-03-01</c:v>
                  </c:pt>
                  <c:pt idx="40">
                    <c:v>2022-04-01</c:v>
                  </c:pt>
                  <c:pt idx="41">
                    <c:v>2022-05-01</c:v>
                  </c:pt>
                  <c:pt idx="42">
                    <c:v>2022-06-01</c:v>
                  </c:pt>
                  <c:pt idx="43">
                    <c:v>2022-07-01</c:v>
                  </c:pt>
                  <c:pt idx="44">
                    <c:v>2022-08-01</c:v>
                  </c:pt>
                  <c:pt idx="45">
                    <c:v>2022-09-01</c:v>
                  </c:pt>
                  <c:pt idx="46">
                    <c:v>2022-10-01</c:v>
                  </c:pt>
                  <c:pt idx="47">
                    <c:v>2022-11-01</c:v>
                  </c:pt>
                  <c:pt idx="48">
                    <c:v>2022-12-01</c:v>
                  </c:pt>
                  <c:pt idx="49">
                    <c:v>2023-01-01</c:v>
                  </c:pt>
                  <c:pt idx="50">
                    <c:v>2023-02-01</c:v>
                  </c:pt>
                  <c:pt idx="51">
                    <c:v>2023-03-01</c:v>
                  </c:pt>
                  <c:pt idx="52">
                    <c:v>2023-04-01</c:v>
                  </c:pt>
                  <c:pt idx="53">
                    <c:v>2023-05-01</c:v>
                  </c:pt>
                  <c:pt idx="54">
                    <c:v>2023-06-01</c:v>
                  </c:pt>
                  <c:pt idx="55">
                    <c:v>2023-07-01</c:v>
                  </c:pt>
                  <c:pt idx="56">
                    <c:v>2023-08-01</c:v>
                  </c:pt>
                  <c:pt idx="57">
                    <c:v>2023-09-01</c:v>
                  </c:pt>
                  <c:pt idx="58">
                    <c:v>2023-10-01</c:v>
                  </c:pt>
                  <c:pt idx="59">
                    <c:v>2023-11-01</c:v>
                  </c:pt>
                  <c:pt idx="60">
                    <c:v>2023-12-01</c:v>
                  </c:pt>
                  <c:pt idx="61">
                    <c:v>2024-01-01</c:v>
                  </c:pt>
                  <c:pt idx="62">
                    <c:v>2024-02-01</c:v>
                  </c:pt>
                  <c:pt idx="63">
                    <c:v>2024-03-01</c:v>
                  </c:pt>
                  <c:pt idx="64">
                    <c:v>2024-04-01</c:v>
                  </c:pt>
                  <c:pt idx="65">
                    <c:v>2024-05-01</c:v>
                  </c:pt>
                  <c:pt idx="66">
                    <c:v>2024-06-01</c:v>
                  </c:pt>
                  <c:pt idx="67">
                    <c:v>2024-07-01</c:v>
                  </c:pt>
                  <c:pt idx="68">
                    <c:v>2024-08-01</c:v>
                  </c:pt>
                  <c:pt idx="69">
                    <c:v>2024-09-01</c:v>
                  </c:pt>
                  <c:pt idx="70">
                    <c:v>2024-10-01</c:v>
                  </c:pt>
                  <c:pt idx="71">
                    <c:v>2024-11-01</c:v>
                  </c:pt>
                  <c:pt idx="72">
                    <c:v>2024-12-01</c:v>
                  </c:pt>
                  <c:pt idx="73">
                    <c:v>2025-01-01</c:v>
                  </c:pt>
                  <c:pt idx="74">
                    <c:v>2025-02-01</c:v>
                  </c:pt>
                  <c:pt idx="75">
                    <c:v>2025-03-01</c:v>
                  </c:pt>
                  <c:pt idx="76">
                    <c:v>2025-04-01</c:v>
                  </c:pt>
                  <c:pt idx="77">
                    <c:v>2025-05-01</c:v>
                  </c:pt>
                  <c:pt idx="78">
                    <c:v>2025-06-01</c:v>
                  </c:pt>
                  <c:pt idx="79">
                    <c:v>2025-07-01</c:v>
                  </c:pt>
                  <c:pt idx="80">
                    <c:v>2025-08-01</c:v>
                  </c:pt>
                  <c:pt idx="81">
                    <c:v>2025-09-01</c:v>
                  </c:pt>
                  <c:pt idx="82">
                    <c:v>2025-10-01</c:v>
                  </c:pt>
                  <c:pt idx="83">
                    <c:v>2025-11-01</c:v>
                  </c:pt>
                  <c:pt idx="84">
                    <c:v>2025-12-01</c:v>
                  </c:pt>
                  <c:pt idx="85">
                    <c:v>2026-01-01</c:v>
                  </c:pt>
                  <c:pt idx="86">
                    <c:v>2026-02-01</c:v>
                  </c:pt>
                  <c:pt idx="87">
                    <c:v>2026-03-01</c:v>
                  </c:pt>
                  <c:pt idx="88">
                    <c:v>2026-04-01</c:v>
                  </c:pt>
                  <c:pt idx="89">
                    <c:v>2026-05-01</c:v>
                  </c:pt>
                  <c:pt idx="90">
                    <c:v>2026-06-01</c:v>
                  </c:pt>
                  <c:pt idx="91">
                    <c:v>2026-07-01</c:v>
                  </c:pt>
                  <c:pt idx="92">
                    <c:v>2026-08-01</c:v>
                  </c:pt>
                  <c:pt idx="93">
                    <c:v>2026-09-01</c:v>
                  </c:pt>
                  <c:pt idx="94">
                    <c:v>2026-10-01</c:v>
                  </c:pt>
                  <c:pt idx="95">
                    <c:v>2026-11-01</c:v>
                  </c:pt>
                  <c:pt idx="96">
                    <c:v>2026-12-01</c:v>
                  </c:pt>
                  <c:pt idx="97">
                    <c:v>2027-01-01</c:v>
                  </c:pt>
                  <c:pt idx="98">
                    <c:v>2027-02-01</c:v>
                  </c:pt>
                  <c:pt idx="99">
                    <c:v>2027-03-01</c:v>
                  </c:pt>
                  <c:pt idx="100">
                    <c:v>2027-04-01</c:v>
                  </c:pt>
                  <c:pt idx="101">
                    <c:v>2027-05-01</c:v>
                  </c:pt>
                  <c:pt idx="102">
                    <c:v>2027-06-01</c:v>
                  </c:pt>
                  <c:pt idx="103">
                    <c:v>2027-07-01</c:v>
                  </c:pt>
                  <c:pt idx="104">
                    <c:v>2027-08-01</c:v>
                  </c:pt>
                  <c:pt idx="105">
                    <c:v>2027-09-01</c:v>
                  </c:pt>
                  <c:pt idx="106">
                    <c:v>2027-10-01</c:v>
                  </c:pt>
                  <c:pt idx="107">
                    <c:v>2027-11-01</c:v>
                  </c:pt>
                  <c:pt idx="108">
                    <c:v>2027-12-01</c:v>
                  </c:pt>
                  <c:pt idx="109">
                    <c:v>2028-01-01</c:v>
                  </c:pt>
                  <c:pt idx="110">
                    <c:v>2028-02-01</c:v>
                  </c:pt>
                  <c:pt idx="111">
                    <c:v>2028-03-01</c:v>
                  </c:pt>
                  <c:pt idx="112">
                    <c:v>2028-04-01</c:v>
                  </c:pt>
                  <c:pt idx="113">
                    <c:v>2028-05-01</c:v>
                  </c:pt>
                  <c:pt idx="114">
                    <c:v>2028-06-01</c:v>
                  </c:pt>
                  <c:pt idx="115">
                    <c:v>2028-07-01</c:v>
                  </c:pt>
                  <c:pt idx="116">
                    <c:v>2028-08-01</c:v>
                  </c:pt>
                  <c:pt idx="117">
                    <c:v>2028-09-01</c:v>
                  </c:pt>
                  <c:pt idx="118">
                    <c:v>2028-10-01</c:v>
                  </c:pt>
                  <c:pt idx="119">
                    <c:v>2028-11-01</c:v>
                  </c:pt>
                  <c:pt idx="120">
                    <c:v>2028-12-01</c:v>
                  </c:pt>
                  <c:pt idx="121">
                    <c:v>2029-01-01</c:v>
                  </c:pt>
                  <c:pt idx="122">
                    <c:v>2029-02-01</c:v>
                  </c:pt>
                  <c:pt idx="123">
                    <c:v>2029-03-01</c:v>
                  </c:pt>
                  <c:pt idx="124">
                    <c:v>2029-04-01</c:v>
                  </c:pt>
                  <c:pt idx="125">
                    <c:v>2029-05-01</c:v>
                  </c:pt>
                  <c:pt idx="126">
                    <c:v>2029-06-01</c:v>
                  </c:pt>
                  <c:pt idx="127">
                    <c:v>2029-07-01</c:v>
                  </c:pt>
                  <c:pt idx="128">
                    <c:v>2029-08-01</c:v>
                  </c:pt>
                  <c:pt idx="129">
                    <c:v>2029-09-01</c:v>
                  </c:pt>
                  <c:pt idx="130">
                    <c:v>2029-10-01</c:v>
                  </c:pt>
                  <c:pt idx="131">
                    <c:v>2029-11-01</c:v>
                  </c:pt>
                  <c:pt idx="132">
                    <c:v>2029-12-01</c:v>
                  </c:pt>
                  <c:pt idx="133">
                    <c:v>2030-01-01</c:v>
                  </c:pt>
                  <c:pt idx="134">
                    <c:v>2030-02-01</c:v>
                  </c:pt>
                  <c:pt idx="135">
                    <c:v>2030-03-01</c:v>
                  </c:pt>
                  <c:pt idx="136">
                    <c:v>2030-04-01</c:v>
                  </c:pt>
                  <c:pt idx="137">
                    <c:v>2030-05-01</c:v>
                  </c:pt>
                  <c:pt idx="138">
                    <c:v>2030-06-01</c:v>
                  </c:pt>
                  <c:pt idx="139">
                    <c:v>2030-07-01</c:v>
                  </c:pt>
                  <c:pt idx="140">
                    <c:v>2030-08-01</c:v>
                  </c:pt>
                  <c:pt idx="141">
                    <c:v>2030-09-01</c:v>
                  </c:pt>
                  <c:pt idx="142">
                    <c:v>2030-10-01</c:v>
                  </c:pt>
                  <c:pt idx="143">
                    <c:v>2030-11-01</c:v>
                  </c:pt>
                  <c:pt idx="144">
                    <c:v>2030-12-01</c:v>
                  </c:pt>
                </c:lvl>
              </c:multiLvlStrCache>
            </c:multiLvlStrRef>
          </c:cat>
          <c:val>
            <c:numRef>
              <c:f>Overview!$K$3:$K$147</c:f>
              <c:numCache>
                <c:formatCode>_("$"* #,##0.00_);_("$"* \(#,##0.00\);_("$"* "-"??_);_(@_)</c:formatCode>
                <c:ptCount val="145"/>
                <c:pt idx="1">
                  <c:v>0</c:v>
                </c:pt>
                <c:pt idx="2">
                  <c:v>-4140.6000000000004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-897.47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Overview!$L$2</c:f>
              <c:strCache>
                <c:ptCount val="1"/>
                <c:pt idx="0">
                  <c:v>Investment</c:v>
                </c:pt>
              </c:strCache>
            </c:strRef>
          </c:tx>
          <c:marker>
            <c:symbol val="none"/>
          </c:marker>
          <c:cat>
            <c:multiLvlStrRef>
              <c:f>Overview!$A$3:$B$147</c:f>
              <c:multiLvlStrCache>
                <c:ptCount val="145"/>
                <c:lvl>
                  <c:pt idx="1">
                    <c:v>January 2019</c:v>
                  </c:pt>
                  <c:pt idx="2">
                    <c:v>February 2019</c:v>
                  </c:pt>
                  <c:pt idx="3">
                    <c:v>March 2019</c:v>
                  </c:pt>
                  <c:pt idx="4">
                    <c:v>April 2019</c:v>
                  </c:pt>
                  <c:pt idx="5">
                    <c:v>May 2019</c:v>
                  </c:pt>
                  <c:pt idx="6">
                    <c:v>June 2019</c:v>
                  </c:pt>
                  <c:pt idx="7">
                    <c:v>July 2019</c:v>
                  </c:pt>
                  <c:pt idx="8">
                    <c:v>August 2019</c:v>
                  </c:pt>
                  <c:pt idx="9">
                    <c:v>September 2019</c:v>
                  </c:pt>
                  <c:pt idx="10">
                    <c:v>October 2019</c:v>
                  </c:pt>
                  <c:pt idx="11">
                    <c:v>November 2019</c:v>
                  </c:pt>
                  <c:pt idx="12">
                    <c:v>December 2019</c:v>
                  </c:pt>
                  <c:pt idx="13">
                    <c:v>January 2020</c:v>
                  </c:pt>
                  <c:pt idx="14">
                    <c:v>February 2020</c:v>
                  </c:pt>
                  <c:pt idx="15">
                    <c:v>March 2020</c:v>
                  </c:pt>
                  <c:pt idx="16">
                    <c:v>April 2020</c:v>
                  </c:pt>
                  <c:pt idx="17">
                    <c:v>May 2020</c:v>
                  </c:pt>
                  <c:pt idx="18">
                    <c:v>June 2020</c:v>
                  </c:pt>
                  <c:pt idx="19">
                    <c:v>July 2020</c:v>
                  </c:pt>
                  <c:pt idx="20">
                    <c:v>August 2020</c:v>
                  </c:pt>
                  <c:pt idx="21">
                    <c:v>September 2020</c:v>
                  </c:pt>
                  <c:pt idx="22">
                    <c:v>October 2020</c:v>
                  </c:pt>
                  <c:pt idx="23">
                    <c:v>November 2020</c:v>
                  </c:pt>
                  <c:pt idx="24">
                    <c:v>December 2020</c:v>
                  </c:pt>
                  <c:pt idx="25">
                    <c:v>January 2021</c:v>
                  </c:pt>
                  <c:pt idx="26">
                    <c:v>February 2021</c:v>
                  </c:pt>
                  <c:pt idx="27">
                    <c:v>March 2021</c:v>
                  </c:pt>
                  <c:pt idx="28">
                    <c:v>April 2021</c:v>
                  </c:pt>
                  <c:pt idx="29">
                    <c:v>May 2021</c:v>
                  </c:pt>
                  <c:pt idx="30">
                    <c:v>June 2021</c:v>
                  </c:pt>
                  <c:pt idx="31">
                    <c:v>July 2021</c:v>
                  </c:pt>
                  <c:pt idx="32">
                    <c:v>August 2021</c:v>
                  </c:pt>
                  <c:pt idx="33">
                    <c:v>September 2021</c:v>
                  </c:pt>
                  <c:pt idx="34">
                    <c:v>October 2021</c:v>
                  </c:pt>
                  <c:pt idx="35">
                    <c:v>November 2021</c:v>
                  </c:pt>
                  <c:pt idx="36">
                    <c:v>December 2021</c:v>
                  </c:pt>
                  <c:pt idx="37">
                    <c:v>January 2022</c:v>
                  </c:pt>
                  <c:pt idx="38">
                    <c:v>February 2022</c:v>
                  </c:pt>
                  <c:pt idx="39">
                    <c:v>March 2022</c:v>
                  </c:pt>
                  <c:pt idx="40">
                    <c:v>April 2022</c:v>
                  </c:pt>
                  <c:pt idx="41">
                    <c:v>May 2022</c:v>
                  </c:pt>
                  <c:pt idx="42">
                    <c:v>June 2022</c:v>
                  </c:pt>
                  <c:pt idx="43">
                    <c:v>July 2022</c:v>
                  </c:pt>
                  <c:pt idx="44">
                    <c:v>August 2022</c:v>
                  </c:pt>
                  <c:pt idx="45">
                    <c:v>September 2022</c:v>
                  </c:pt>
                  <c:pt idx="46">
                    <c:v>October 2022</c:v>
                  </c:pt>
                  <c:pt idx="47">
                    <c:v>November 2022</c:v>
                  </c:pt>
                  <c:pt idx="48">
                    <c:v>December 2022</c:v>
                  </c:pt>
                  <c:pt idx="49">
                    <c:v>January 2023</c:v>
                  </c:pt>
                  <c:pt idx="50">
                    <c:v>February 2023</c:v>
                  </c:pt>
                  <c:pt idx="51">
                    <c:v>March 2023</c:v>
                  </c:pt>
                  <c:pt idx="52">
                    <c:v>April 2023</c:v>
                  </c:pt>
                  <c:pt idx="53">
                    <c:v>May 2023</c:v>
                  </c:pt>
                  <c:pt idx="54">
                    <c:v>June 2023</c:v>
                  </c:pt>
                  <c:pt idx="55">
                    <c:v>July 2023</c:v>
                  </c:pt>
                  <c:pt idx="56">
                    <c:v>August 2023</c:v>
                  </c:pt>
                  <c:pt idx="57">
                    <c:v>September 2023</c:v>
                  </c:pt>
                  <c:pt idx="58">
                    <c:v>October 2023</c:v>
                  </c:pt>
                  <c:pt idx="59">
                    <c:v>November 2023</c:v>
                  </c:pt>
                  <c:pt idx="60">
                    <c:v>December 2023</c:v>
                  </c:pt>
                  <c:pt idx="61">
                    <c:v>January 2024</c:v>
                  </c:pt>
                  <c:pt idx="62">
                    <c:v>February 2024</c:v>
                  </c:pt>
                  <c:pt idx="63">
                    <c:v>March 2024</c:v>
                  </c:pt>
                  <c:pt idx="64">
                    <c:v>April 2024</c:v>
                  </c:pt>
                  <c:pt idx="65">
                    <c:v>May 2024</c:v>
                  </c:pt>
                  <c:pt idx="66">
                    <c:v>June 2024</c:v>
                  </c:pt>
                  <c:pt idx="67">
                    <c:v>July 2024</c:v>
                  </c:pt>
                  <c:pt idx="68">
                    <c:v>August 2024</c:v>
                  </c:pt>
                  <c:pt idx="69">
                    <c:v>September 2024</c:v>
                  </c:pt>
                  <c:pt idx="70">
                    <c:v>October 2024</c:v>
                  </c:pt>
                  <c:pt idx="71">
                    <c:v>November 2024</c:v>
                  </c:pt>
                  <c:pt idx="72">
                    <c:v>December 2024</c:v>
                  </c:pt>
                  <c:pt idx="73">
                    <c:v>January 2025</c:v>
                  </c:pt>
                  <c:pt idx="74">
                    <c:v>February 2025</c:v>
                  </c:pt>
                  <c:pt idx="75">
                    <c:v>March 2025</c:v>
                  </c:pt>
                  <c:pt idx="76">
                    <c:v>April 2025</c:v>
                  </c:pt>
                  <c:pt idx="77">
                    <c:v>May 2025</c:v>
                  </c:pt>
                  <c:pt idx="78">
                    <c:v>June 2025</c:v>
                  </c:pt>
                  <c:pt idx="79">
                    <c:v>July 2025</c:v>
                  </c:pt>
                  <c:pt idx="80">
                    <c:v>August 2025</c:v>
                  </c:pt>
                  <c:pt idx="81">
                    <c:v>September 2025</c:v>
                  </c:pt>
                  <c:pt idx="82">
                    <c:v>October 2025</c:v>
                  </c:pt>
                  <c:pt idx="83">
                    <c:v>November 2025</c:v>
                  </c:pt>
                  <c:pt idx="84">
                    <c:v>December 2025</c:v>
                  </c:pt>
                  <c:pt idx="85">
                    <c:v>January 2026</c:v>
                  </c:pt>
                  <c:pt idx="86">
                    <c:v>February 2026</c:v>
                  </c:pt>
                  <c:pt idx="87">
                    <c:v>March 2026</c:v>
                  </c:pt>
                  <c:pt idx="88">
                    <c:v>April 2026</c:v>
                  </c:pt>
                  <c:pt idx="89">
                    <c:v>May 2026</c:v>
                  </c:pt>
                  <c:pt idx="90">
                    <c:v>June 2026</c:v>
                  </c:pt>
                  <c:pt idx="91">
                    <c:v>July 2026</c:v>
                  </c:pt>
                  <c:pt idx="92">
                    <c:v>August 2026</c:v>
                  </c:pt>
                  <c:pt idx="93">
                    <c:v>September 2026</c:v>
                  </c:pt>
                  <c:pt idx="94">
                    <c:v>October 2026</c:v>
                  </c:pt>
                  <c:pt idx="95">
                    <c:v>November 2026</c:v>
                  </c:pt>
                  <c:pt idx="96">
                    <c:v>December 2026</c:v>
                  </c:pt>
                  <c:pt idx="97">
                    <c:v>January 2027</c:v>
                  </c:pt>
                  <c:pt idx="98">
                    <c:v>February 2027</c:v>
                  </c:pt>
                  <c:pt idx="99">
                    <c:v>March 2027</c:v>
                  </c:pt>
                  <c:pt idx="100">
                    <c:v>April 2027</c:v>
                  </c:pt>
                  <c:pt idx="101">
                    <c:v>May 2027</c:v>
                  </c:pt>
                  <c:pt idx="102">
                    <c:v>June 2027</c:v>
                  </c:pt>
                  <c:pt idx="103">
                    <c:v>July 2027</c:v>
                  </c:pt>
                  <c:pt idx="104">
                    <c:v>August 2027</c:v>
                  </c:pt>
                  <c:pt idx="105">
                    <c:v>September 2027</c:v>
                  </c:pt>
                  <c:pt idx="106">
                    <c:v>October 2027</c:v>
                  </c:pt>
                  <c:pt idx="107">
                    <c:v>November 2027</c:v>
                  </c:pt>
                  <c:pt idx="108">
                    <c:v>December 2027</c:v>
                  </c:pt>
                  <c:pt idx="109">
                    <c:v>January 2028</c:v>
                  </c:pt>
                  <c:pt idx="110">
                    <c:v>February 2028</c:v>
                  </c:pt>
                  <c:pt idx="111">
                    <c:v>March 2028</c:v>
                  </c:pt>
                  <c:pt idx="112">
                    <c:v>April 2028</c:v>
                  </c:pt>
                  <c:pt idx="113">
                    <c:v>May 2028</c:v>
                  </c:pt>
                  <c:pt idx="114">
                    <c:v>June 2028</c:v>
                  </c:pt>
                  <c:pt idx="115">
                    <c:v>July 2028</c:v>
                  </c:pt>
                  <c:pt idx="116">
                    <c:v>August 2028</c:v>
                  </c:pt>
                  <c:pt idx="117">
                    <c:v>September 2028</c:v>
                  </c:pt>
                  <c:pt idx="118">
                    <c:v>October 2028</c:v>
                  </c:pt>
                  <c:pt idx="119">
                    <c:v>November 2028</c:v>
                  </c:pt>
                  <c:pt idx="120">
                    <c:v>December 2028</c:v>
                  </c:pt>
                  <c:pt idx="121">
                    <c:v>January 2029</c:v>
                  </c:pt>
                  <c:pt idx="122">
                    <c:v>February 2029</c:v>
                  </c:pt>
                  <c:pt idx="123">
                    <c:v>March 2029</c:v>
                  </c:pt>
                  <c:pt idx="124">
                    <c:v>April 2029</c:v>
                  </c:pt>
                  <c:pt idx="125">
                    <c:v>May 2029</c:v>
                  </c:pt>
                  <c:pt idx="126">
                    <c:v>June 2029</c:v>
                  </c:pt>
                  <c:pt idx="127">
                    <c:v>July 2029</c:v>
                  </c:pt>
                  <c:pt idx="128">
                    <c:v>August 2029</c:v>
                  </c:pt>
                  <c:pt idx="129">
                    <c:v>September 2029</c:v>
                  </c:pt>
                  <c:pt idx="130">
                    <c:v>October 2029</c:v>
                  </c:pt>
                  <c:pt idx="131">
                    <c:v>November 2029</c:v>
                  </c:pt>
                  <c:pt idx="132">
                    <c:v>December 2029</c:v>
                  </c:pt>
                  <c:pt idx="133">
                    <c:v>January 2030</c:v>
                  </c:pt>
                  <c:pt idx="134">
                    <c:v>February 2030</c:v>
                  </c:pt>
                  <c:pt idx="135">
                    <c:v>March 2030</c:v>
                  </c:pt>
                  <c:pt idx="136">
                    <c:v>April 2030</c:v>
                  </c:pt>
                  <c:pt idx="137">
                    <c:v>May 2030</c:v>
                  </c:pt>
                  <c:pt idx="138">
                    <c:v>June 2030</c:v>
                  </c:pt>
                  <c:pt idx="139">
                    <c:v>July 2030</c:v>
                  </c:pt>
                  <c:pt idx="140">
                    <c:v>August 2030</c:v>
                  </c:pt>
                  <c:pt idx="141">
                    <c:v>September 2030</c:v>
                  </c:pt>
                  <c:pt idx="142">
                    <c:v>October 2030</c:v>
                  </c:pt>
                  <c:pt idx="143">
                    <c:v>November 2030</c:v>
                  </c:pt>
                  <c:pt idx="144">
                    <c:v>December 2030</c:v>
                  </c:pt>
                </c:lvl>
                <c:lvl>
                  <c:pt idx="1">
                    <c:v>2019-01-01</c:v>
                  </c:pt>
                  <c:pt idx="2">
                    <c:v>2019-02-01</c:v>
                  </c:pt>
                  <c:pt idx="3">
                    <c:v>2019-03-01</c:v>
                  </c:pt>
                  <c:pt idx="4">
                    <c:v>2019-04-01</c:v>
                  </c:pt>
                  <c:pt idx="5">
                    <c:v>2019-05-01</c:v>
                  </c:pt>
                  <c:pt idx="6">
                    <c:v>2019-06-01</c:v>
                  </c:pt>
                  <c:pt idx="7">
                    <c:v>2019-07-01</c:v>
                  </c:pt>
                  <c:pt idx="8">
                    <c:v>2019-08-01</c:v>
                  </c:pt>
                  <c:pt idx="9">
                    <c:v>2019-09-01</c:v>
                  </c:pt>
                  <c:pt idx="10">
                    <c:v>2019-10-01</c:v>
                  </c:pt>
                  <c:pt idx="11">
                    <c:v>2019-11-01</c:v>
                  </c:pt>
                  <c:pt idx="12">
                    <c:v>2019-12-01</c:v>
                  </c:pt>
                  <c:pt idx="13">
                    <c:v>2020-01-01</c:v>
                  </c:pt>
                  <c:pt idx="14">
                    <c:v>2020-02-01</c:v>
                  </c:pt>
                  <c:pt idx="15">
                    <c:v>2020-03-01</c:v>
                  </c:pt>
                  <c:pt idx="16">
                    <c:v>2020-04-01</c:v>
                  </c:pt>
                  <c:pt idx="17">
                    <c:v>2020-05-01</c:v>
                  </c:pt>
                  <c:pt idx="18">
                    <c:v>2020-06-01</c:v>
                  </c:pt>
                  <c:pt idx="19">
                    <c:v>2020-07-01</c:v>
                  </c:pt>
                  <c:pt idx="20">
                    <c:v>2020-08-01</c:v>
                  </c:pt>
                  <c:pt idx="21">
                    <c:v>2020-09-01</c:v>
                  </c:pt>
                  <c:pt idx="22">
                    <c:v>2020-10-01</c:v>
                  </c:pt>
                  <c:pt idx="23">
                    <c:v>2020-11-01</c:v>
                  </c:pt>
                  <c:pt idx="24">
                    <c:v>2020-12-01</c:v>
                  </c:pt>
                  <c:pt idx="25">
                    <c:v>2021-01-01</c:v>
                  </c:pt>
                  <c:pt idx="26">
                    <c:v>2021-02-01</c:v>
                  </c:pt>
                  <c:pt idx="27">
                    <c:v>2021-03-01</c:v>
                  </c:pt>
                  <c:pt idx="28">
                    <c:v>2021-04-01</c:v>
                  </c:pt>
                  <c:pt idx="29">
                    <c:v>2021-05-01</c:v>
                  </c:pt>
                  <c:pt idx="30">
                    <c:v>2021-06-01</c:v>
                  </c:pt>
                  <c:pt idx="31">
                    <c:v>2021-07-01</c:v>
                  </c:pt>
                  <c:pt idx="32">
                    <c:v>2021-08-01</c:v>
                  </c:pt>
                  <c:pt idx="33">
                    <c:v>2021-09-01</c:v>
                  </c:pt>
                  <c:pt idx="34">
                    <c:v>2021-10-01</c:v>
                  </c:pt>
                  <c:pt idx="35">
                    <c:v>2021-11-01</c:v>
                  </c:pt>
                  <c:pt idx="36">
                    <c:v>2021-12-01</c:v>
                  </c:pt>
                  <c:pt idx="37">
                    <c:v>2022-01-01</c:v>
                  </c:pt>
                  <c:pt idx="38">
                    <c:v>2022-02-01</c:v>
                  </c:pt>
                  <c:pt idx="39">
                    <c:v>2022-03-01</c:v>
                  </c:pt>
                  <c:pt idx="40">
                    <c:v>2022-04-01</c:v>
                  </c:pt>
                  <c:pt idx="41">
                    <c:v>2022-05-01</c:v>
                  </c:pt>
                  <c:pt idx="42">
                    <c:v>2022-06-01</c:v>
                  </c:pt>
                  <c:pt idx="43">
                    <c:v>2022-07-01</c:v>
                  </c:pt>
                  <c:pt idx="44">
                    <c:v>2022-08-01</c:v>
                  </c:pt>
                  <c:pt idx="45">
                    <c:v>2022-09-01</c:v>
                  </c:pt>
                  <c:pt idx="46">
                    <c:v>2022-10-01</c:v>
                  </c:pt>
                  <c:pt idx="47">
                    <c:v>2022-11-01</c:v>
                  </c:pt>
                  <c:pt idx="48">
                    <c:v>2022-12-01</c:v>
                  </c:pt>
                  <c:pt idx="49">
                    <c:v>2023-01-01</c:v>
                  </c:pt>
                  <c:pt idx="50">
                    <c:v>2023-02-01</c:v>
                  </c:pt>
                  <c:pt idx="51">
                    <c:v>2023-03-01</c:v>
                  </c:pt>
                  <c:pt idx="52">
                    <c:v>2023-04-01</c:v>
                  </c:pt>
                  <c:pt idx="53">
                    <c:v>2023-05-01</c:v>
                  </c:pt>
                  <c:pt idx="54">
                    <c:v>2023-06-01</c:v>
                  </c:pt>
                  <c:pt idx="55">
                    <c:v>2023-07-01</c:v>
                  </c:pt>
                  <c:pt idx="56">
                    <c:v>2023-08-01</c:v>
                  </c:pt>
                  <c:pt idx="57">
                    <c:v>2023-09-01</c:v>
                  </c:pt>
                  <c:pt idx="58">
                    <c:v>2023-10-01</c:v>
                  </c:pt>
                  <c:pt idx="59">
                    <c:v>2023-11-01</c:v>
                  </c:pt>
                  <c:pt idx="60">
                    <c:v>2023-12-01</c:v>
                  </c:pt>
                  <c:pt idx="61">
                    <c:v>2024-01-01</c:v>
                  </c:pt>
                  <c:pt idx="62">
                    <c:v>2024-02-01</c:v>
                  </c:pt>
                  <c:pt idx="63">
                    <c:v>2024-03-01</c:v>
                  </c:pt>
                  <c:pt idx="64">
                    <c:v>2024-04-01</c:v>
                  </c:pt>
                  <c:pt idx="65">
                    <c:v>2024-05-01</c:v>
                  </c:pt>
                  <c:pt idx="66">
                    <c:v>2024-06-01</c:v>
                  </c:pt>
                  <c:pt idx="67">
                    <c:v>2024-07-01</c:v>
                  </c:pt>
                  <c:pt idx="68">
                    <c:v>2024-08-01</c:v>
                  </c:pt>
                  <c:pt idx="69">
                    <c:v>2024-09-01</c:v>
                  </c:pt>
                  <c:pt idx="70">
                    <c:v>2024-10-01</c:v>
                  </c:pt>
                  <c:pt idx="71">
                    <c:v>2024-11-01</c:v>
                  </c:pt>
                  <c:pt idx="72">
                    <c:v>2024-12-01</c:v>
                  </c:pt>
                  <c:pt idx="73">
                    <c:v>2025-01-01</c:v>
                  </c:pt>
                  <c:pt idx="74">
                    <c:v>2025-02-01</c:v>
                  </c:pt>
                  <c:pt idx="75">
                    <c:v>2025-03-01</c:v>
                  </c:pt>
                  <c:pt idx="76">
                    <c:v>2025-04-01</c:v>
                  </c:pt>
                  <c:pt idx="77">
                    <c:v>2025-05-01</c:v>
                  </c:pt>
                  <c:pt idx="78">
                    <c:v>2025-06-01</c:v>
                  </c:pt>
                  <c:pt idx="79">
                    <c:v>2025-07-01</c:v>
                  </c:pt>
                  <c:pt idx="80">
                    <c:v>2025-08-01</c:v>
                  </c:pt>
                  <c:pt idx="81">
                    <c:v>2025-09-01</c:v>
                  </c:pt>
                  <c:pt idx="82">
                    <c:v>2025-10-01</c:v>
                  </c:pt>
                  <c:pt idx="83">
                    <c:v>2025-11-01</c:v>
                  </c:pt>
                  <c:pt idx="84">
                    <c:v>2025-12-01</c:v>
                  </c:pt>
                  <c:pt idx="85">
                    <c:v>2026-01-01</c:v>
                  </c:pt>
                  <c:pt idx="86">
                    <c:v>2026-02-01</c:v>
                  </c:pt>
                  <c:pt idx="87">
                    <c:v>2026-03-01</c:v>
                  </c:pt>
                  <c:pt idx="88">
                    <c:v>2026-04-01</c:v>
                  </c:pt>
                  <c:pt idx="89">
                    <c:v>2026-05-01</c:v>
                  </c:pt>
                  <c:pt idx="90">
                    <c:v>2026-06-01</c:v>
                  </c:pt>
                  <c:pt idx="91">
                    <c:v>2026-07-01</c:v>
                  </c:pt>
                  <c:pt idx="92">
                    <c:v>2026-08-01</c:v>
                  </c:pt>
                  <c:pt idx="93">
                    <c:v>2026-09-01</c:v>
                  </c:pt>
                  <c:pt idx="94">
                    <c:v>2026-10-01</c:v>
                  </c:pt>
                  <c:pt idx="95">
                    <c:v>2026-11-01</c:v>
                  </c:pt>
                  <c:pt idx="96">
                    <c:v>2026-12-01</c:v>
                  </c:pt>
                  <c:pt idx="97">
                    <c:v>2027-01-01</c:v>
                  </c:pt>
                  <c:pt idx="98">
                    <c:v>2027-02-01</c:v>
                  </c:pt>
                  <c:pt idx="99">
                    <c:v>2027-03-01</c:v>
                  </c:pt>
                  <c:pt idx="100">
                    <c:v>2027-04-01</c:v>
                  </c:pt>
                  <c:pt idx="101">
                    <c:v>2027-05-01</c:v>
                  </c:pt>
                  <c:pt idx="102">
                    <c:v>2027-06-01</c:v>
                  </c:pt>
                  <c:pt idx="103">
                    <c:v>2027-07-01</c:v>
                  </c:pt>
                  <c:pt idx="104">
                    <c:v>2027-08-01</c:v>
                  </c:pt>
                  <c:pt idx="105">
                    <c:v>2027-09-01</c:v>
                  </c:pt>
                  <c:pt idx="106">
                    <c:v>2027-10-01</c:v>
                  </c:pt>
                  <c:pt idx="107">
                    <c:v>2027-11-01</c:v>
                  </c:pt>
                  <c:pt idx="108">
                    <c:v>2027-12-01</c:v>
                  </c:pt>
                  <c:pt idx="109">
                    <c:v>2028-01-01</c:v>
                  </c:pt>
                  <c:pt idx="110">
                    <c:v>2028-02-01</c:v>
                  </c:pt>
                  <c:pt idx="111">
                    <c:v>2028-03-01</c:v>
                  </c:pt>
                  <c:pt idx="112">
                    <c:v>2028-04-01</c:v>
                  </c:pt>
                  <c:pt idx="113">
                    <c:v>2028-05-01</c:v>
                  </c:pt>
                  <c:pt idx="114">
                    <c:v>2028-06-01</c:v>
                  </c:pt>
                  <c:pt idx="115">
                    <c:v>2028-07-01</c:v>
                  </c:pt>
                  <c:pt idx="116">
                    <c:v>2028-08-01</c:v>
                  </c:pt>
                  <c:pt idx="117">
                    <c:v>2028-09-01</c:v>
                  </c:pt>
                  <c:pt idx="118">
                    <c:v>2028-10-01</c:v>
                  </c:pt>
                  <c:pt idx="119">
                    <c:v>2028-11-01</c:v>
                  </c:pt>
                  <c:pt idx="120">
                    <c:v>2028-12-01</c:v>
                  </c:pt>
                  <c:pt idx="121">
                    <c:v>2029-01-01</c:v>
                  </c:pt>
                  <c:pt idx="122">
                    <c:v>2029-02-01</c:v>
                  </c:pt>
                  <c:pt idx="123">
                    <c:v>2029-03-01</c:v>
                  </c:pt>
                  <c:pt idx="124">
                    <c:v>2029-04-01</c:v>
                  </c:pt>
                  <c:pt idx="125">
                    <c:v>2029-05-01</c:v>
                  </c:pt>
                  <c:pt idx="126">
                    <c:v>2029-06-01</c:v>
                  </c:pt>
                  <c:pt idx="127">
                    <c:v>2029-07-01</c:v>
                  </c:pt>
                  <c:pt idx="128">
                    <c:v>2029-08-01</c:v>
                  </c:pt>
                  <c:pt idx="129">
                    <c:v>2029-09-01</c:v>
                  </c:pt>
                  <c:pt idx="130">
                    <c:v>2029-10-01</c:v>
                  </c:pt>
                  <c:pt idx="131">
                    <c:v>2029-11-01</c:v>
                  </c:pt>
                  <c:pt idx="132">
                    <c:v>2029-12-01</c:v>
                  </c:pt>
                  <c:pt idx="133">
                    <c:v>2030-01-01</c:v>
                  </c:pt>
                  <c:pt idx="134">
                    <c:v>2030-02-01</c:v>
                  </c:pt>
                  <c:pt idx="135">
                    <c:v>2030-03-01</c:v>
                  </c:pt>
                  <c:pt idx="136">
                    <c:v>2030-04-01</c:v>
                  </c:pt>
                  <c:pt idx="137">
                    <c:v>2030-05-01</c:v>
                  </c:pt>
                  <c:pt idx="138">
                    <c:v>2030-06-01</c:v>
                  </c:pt>
                  <c:pt idx="139">
                    <c:v>2030-07-01</c:v>
                  </c:pt>
                  <c:pt idx="140">
                    <c:v>2030-08-01</c:v>
                  </c:pt>
                  <c:pt idx="141">
                    <c:v>2030-09-01</c:v>
                  </c:pt>
                  <c:pt idx="142">
                    <c:v>2030-10-01</c:v>
                  </c:pt>
                  <c:pt idx="143">
                    <c:v>2030-11-01</c:v>
                  </c:pt>
                  <c:pt idx="144">
                    <c:v>2030-12-01</c:v>
                  </c:pt>
                </c:lvl>
              </c:multiLvlStrCache>
            </c:multiLvlStrRef>
          </c:cat>
          <c:val>
            <c:numRef>
              <c:f>Overview!$L$3:$L$147</c:f>
              <c:numCache>
                <c:formatCode>_("$"* #,##0.00_);_("$"* \(#,##0.00\);_("$"* "-"??_);_(@_)</c:formatCode>
                <c:ptCount val="14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-5000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-200</c:v>
                </c:pt>
                <c:pt idx="26">
                  <c:v>-47.430000000000007</c:v>
                </c:pt>
                <c:pt idx="27">
                  <c:v>0</c:v>
                </c:pt>
                <c:pt idx="28">
                  <c:v>-250</c:v>
                </c:pt>
                <c:pt idx="29">
                  <c:v>0</c:v>
                </c:pt>
                <c:pt idx="30">
                  <c:v>-250</c:v>
                </c:pt>
                <c:pt idx="31">
                  <c:v>0</c:v>
                </c:pt>
                <c:pt idx="32">
                  <c:v>0</c:v>
                </c:pt>
                <c:pt idx="33">
                  <c:v>-250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-500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-1500</c:v>
                </c:pt>
                <c:pt idx="56">
                  <c:v>-65000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-14650</c:v>
                </c:pt>
                <c:pt idx="62">
                  <c:v>-800</c:v>
                </c:pt>
                <c:pt idx="63">
                  <c:v>-1200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Overview!$M$2</c:f>
              <c:strCache>
                <c:ptCount val="1"/>
                <c:pt idx="0">
                  <c:v>Sports</c:v>
                </c:pt>
              </c:strCache>
            </c:strRef>
          </c:tx>
          <c:marker>
            <c:symbol val="none"/>
          </c:marker>
          <c:cat>
            <c:multiLvlStrRef>
              <c:f>Overview!$A$3:$B$147</c:f>
              <c:multiLvlStrCache>
                <c:ptCount val="145"/>
                <c:lvl>
                  <c:pt idx="1">
                    <c:v>January 2019</c:v>
                  </c:pt>
                  <c:pt idx="2">
                    <c:v>February 2019</c:v>
                  </c:pt>
                  <c:pt idx="3">
                    <c:v>March 2019</c:v>
                  </c:pt>
                  <c:pt idx="4">
                    <c:v>April 2019</c:v>
                  </c:pt>
                  <c:pt idx="5">
                    <c:v>May 2019</c:v>
                  </c:pt>
                  <c:pt idx="6">
                    <c:v>June 2019</c:v>
                  </c:pt>
                  <c:pt idx="7">
                    <c:v>July 2019</c:v>
                  </c:pt>
                  <c:pt idx="8">
                    <c:v>August 2019</c:v>
                  </c:pt>
                  <c:pt idx="9">
                    <c:v>September 2019</c:v>
                  </c:pt>
                  <c:pt idx="10">
                    <c:v>October 2019</c:v>
                  </c:pt>
                  <c:pt idx="11">
                    <c:v>November 2019</c:v>
                  </c:pt>
                  <c:pt idx="12">
                    <c:v>December 2019</c:v>
                  </c:pt>
                  <c:pt idx="13">
                    <c:v>January 2020</c:v>
                  </c:pt>
                  <c:pt idx="14">
                    <c:v>February 2020</c:v>
                  </c:pt>
                  <c:pt idx="15">
                    <c:v>March 2020</c:v>
                  </c:pt>
                  <c:pt idx="16">
                    <c:v>April 2020</c:v>
                  </c:pt>
                  <c:pt idx="17">
                    <c:v>May 2020</c:v>
                  </c:pt>
                  <c:pt idx="18">
                    <c:v>June 2020</c:v>
                  </c:pt>
                  <c:pt idx="19">
                    <c:v>July 2020</c:v>
                  </c:pt>
                  <c:pt idx="20">
                    <c:v>August 2020</c:v>
                  </c:pt>
                  <c:pt idx="21">
                    <c:v>September 2020</c:v>
                  </c:pt>
                  <c:pt idx="22">
                    <c:v>October 2020</c:v>
                  </c:pt>
                  <c:pt idx="23">
                    <c:v>November 2020</c:v>
                  </c:pt>
                  <c:pt idx="24">
                    <c:v>December 2020</c:v>
                  </c:pt>
                  <c:pt idx="25">
                    <c:v>January 2021</c:v>
                  </c:pt>
                  <c:pt idx="26">
                    <c:v>February 2021</c:v>
                  </c:pt>
                  <c:pt idx="27">
                    <c:v>March 2021</c:v>
                  </c:pt>
                  <c:pt idx="28">
                    <c:v>April 2021</c:v>
                  </c:pt>
                  <c:pt idx="29">
                    <c:v>May 2021</c:v>
                  </c:pt>
                  <c:pt idx="30">
                    <c:v>June 2021</c:v>
                  </c:pt>
                  <c:pt idx="31">
                    <c:v>July 2021</c:v>
                  </c:pt>
                  <c:pt idx="32">
                    <c:v>August 2021</c:v>
                  </c:pt>
                  <c:pt idx="33">
                    <c:v>September 2021</c:v>
                  </c:pt>
                  <c:pt idx="34">
                    <c:v>October 2021</c:v>
                  </c:pt>
                  <c:pt idx="35">
                    <c:v>November 2021</c:v>
                  </c:pt>
                  <c:pt idx="36">
                    <c:v>December 2021</c:v>
                  </c:pt>
                  <c:pt idx="37">
                    <c:v>January 2022</c:v>
                  </c:pt>
                  <c:pt idx="38">
                    <c:v>February 2022</c:v>
                  </c:pt>
                  <c:pt idx="39">
                    <c:v>March 2022</c:v>
                  </c:pt>
                  <c:pt idx="40">
                    <c:v>April 2022</c:v>
                  </c:pt>
                  <c:pt idx="41">
                    <c:v>May 2022</c:v>
                  </c:pt>
                  <c:pt idx="42">
                    <c:v>June 2022</c:v>
                  </c:pt>
                  <c:pt idx="43">
                    <c:v>July 2022</c:v>
                  </c:pt>
                  <c:pt idx="44">
                    <c:v>August 2022</c:v>
                  </c:pt>
                  <c:pt idx="45">
                    <c:v>September 2022</c:v>
                  </c:pt>
                  <c:pt idx="46">
                    <c:v>October 2022</c:v>
                  </c:pt>
                  <c:pt idx="47">
                    <c:v>November 2022</c:v>
                  </c:pt>
                  <c:pt idx="48">
                    <c:v>December 2022</c:v>
                  </c:pt>
                  <c:pt idx="49">
                    <c:v>January 2023</c:v>
                  </c:pt>
                  <c:pt idx="50">
                    <c:v>February 2023</c:v>
                  </c:pt>
                  <c:pt idx="51">
                    <c:v>March 2023</c:v>
                  </c:pt>
                  <c:pt idx="52">
                    <c:v>April 2023</c:v>
                  </c:pt>
                  <c:pt idx="53">
                    <c:v>May 2023</c:v>
                  </c:pt>
                  <c:pt idx="54">
                    <c:v>June 2023</c:v>
                  </c:pt>
                  <c:pt idx="55">
                    <c:v>July 2023</c:v>
                  </c:pt>
                  <c:pt idx="56">
                    <c:v>August 2023</c:v>
                  </c:pt>
                  <c:pt idx="57">
                    <c:v>September 2023</c:v>
                  </c:pt>
                  <c:pt idx="58">
                    <c:v>October 2023</c:v>
                  </c:pt>
                  <c:pt idx="59">
                    <c:v>November 2023</c:v>
                  </c:pt>
                  <c:pt idx="60">
                    <c:v>December 2023</c:v>
                  </c:pt>
                  <c:pt idx="61">
                    <c:v>January 2024</c:v>
                  </c:pt>
                  <c:pt idx="62">
                    <c:v>February 2024</c:v>
                  </c:pt>
                  <c:pt idx="63">
                    <c:v>March 2024</c:v>
                  </c:pt>
                  <c:pt idx="64">
                    <c:v>April 2024</c:v>
                  </c:pt>
                  <c:pt idx="65">
                    <c:v>May 2024</c:v>
                  </c:pt>
                  <c:pt idx="66">
                    <c:v>June 2024</c:v>
                  </c:pt>
                  <c:pt idx="67">
                    <c:v>July 2024</c:v>
                  </c:pt>
                  <c:pt idx="68">
                    <c:v>August 2024</c:v>
                  </c:pt>
                  <c:pt idx="69">
                    <c:v>September 2024</c:v>
                  </c:pt>
                  <c:pt idx="70">
                    <c:v>October 2024</c:v>
                  </c:pt>
                  <c:pt idx="71">
                    <c:v>November 2024</c:v>
                  </c:pt>
                  <c:pt idx="72">
                    <c:v>December 2024</c:v>
                  </c:pt>
                  <c:pt idx="73">
                    <c:v>January 2025</c:v>
                  </c:pt>
                  <c:pt idx="74">
                    <c:v>February 2025</c:v>
                  </c:pt>
                  <c:pt idx="75">
                    <c:v>March 2025</c:v>
                  </c:pt>
                  <c:pt idx="76">
                    <c:v>April 2025</c:v>
                  </c:pt>
                  <c:pt idx="77">
                    <c:v>May 2025</c:v>
                  </c:pt>
                  <c:pt idx="78">
                    <c:v>June 2025</c:v>
                  </c:pt>
                  <c:pt idx="79">
                    <c:v>July 2025</c:v>
                  </c:pt>
                  <c:pt idx="80">
                    <c:v>August 2025</c:v>
                  </c:pt>
                  <c:pt idx="81">
                    <c:v>September 2025</c:v>
                  </c:pt>
                  <c:pt idx="82">
                    <c:v>October 2025</c:v>
                  </c:pt>
                  <c:pt idx="83">
                    <c:v>November 2025</c:v>
                  </c:pt>
                  <c:pt idx="84">
                    <c:v>December 2025</c:v>
                  </c:pt>
                  <c:pt idx="85">
                    <c:v>January 2026</c:v>
                  </c:pt>
                  <c:pt idx="86">
                    <c:v>February 2026</c:v>
                  </c:pt>
                  <c:pt idx="87">
                    <c:v>March 2026</c:v>
                  </c:pt>
                  <c:pt idx="88">
                    <c:v>April 2026</c:v>
                  </c:pt>
                  <c:pt idx="89">
                    <c:v>May 2026</c:v>
                  </c:pt>
                  <c:pt idx="90">
                    <c:v>June 2026</c:v>
                  </c:pt>
                  <c:pt idx="91">
                    <c:v>July 2026</c:v>
                  </c:pt>
                  <c:pt idx="92">
                    <c:v>August 2026</c:v>
                  </c:pt>
                  <c:pt idx="93">
                    <c:v>September 2026</c:v>
                  </c:pt>
                  <c:pt idx="94">
                    <c:v>October 2026</c:v>
                  </c:pt>
                  <c:pt idx="95">
                    <c:v>November 2026</c:v>
                  </c:pt>
                  <c:pt idx="96">
                    <c:v>December 2026</c:v>
                  </c:pt>
                  <c:pt idx="97">
                    <c:v>January 2027</c:v>
                  </c:pt>
                  <c:pt idx="98">
                    <c:v>February 2027</c:v>
                  </c:pt>
                  <c:pt idx="99">
                    <c:v>March 2027</c:v>
                  </c:pt>
                  <c:pt idx="100">
                    <c:v>April 2027</c:v>
                  </c:pt>
                  <c:pt idx="101">
                    <c:v>May 2027</c:v>
                  </c:pt>
                  <c:pt idx="102">
                    <c:v>June 2027</c:v>
                  </c:pt>
                  <c:pt idx="103">
                    <c:v>July 2027</c:v>
                  </c:pt>
                  <c:pt idx="104">
                    <c:v>August 2027</c:v>
                  </c:pt>
                  <c:pt idx="105">
                    <c:v>September 2027</c:v>
                  </c:pt>
                  <c:pt idx="106">
                    <c:v>October 2027</c:v>
                  </c:pt>
                  <c:pt idx="107">
                    <c:v>November 2027</c:v>
                  </c:pt>
                  <c:pt idx="108">
                    <c:v>December 2027</c:v>
                  </c:pt>
                  <c:pt idx="109">
                    <c:v>January 2028</c:v>
                  </c:pt>
                  <c:pt idx="110">
                    <c:v>February 2028</c:v>
                  </c:pt>
                  <c:pt idx="111">
                    <c:v>March 2028</c:v>
                  </c:pt>
                  <c:pt idx="112">
                    <c:v>April 2028</c:v>
                  </c:pt>
                  <c:pt idx="113">
                    <c:v>May 2028</c:v>
                  </c:pt>
                  <c:pt idx="114">
                    <c:v>June 2028</c:v>
                  </c:pt>
                  <c:pt idx="115">
                    <c:v>July 2028</c:v>
                  </c:pt>
                  <c:pt idx="116">
                    <c:v>August 2028</c:v>
                  </c:pt>
                  <c:pt idx="117">
                    <c:v>September 2028</c:v>
                  </c:pt>
                  <c:pt idx="118">
                    <c:v>October 2028</c:v>
                  </c:pt>
                  <c:pt idx="119">
                    <c:v>November 2028</c:v>
                  </c:pt>
                  <c:pt idx="120">
                    <c:v>December 2028</c:v>
                  </c:pt>
                  <c:pt idx="121">
                    <c:v>January 2029</c:v>
                  </c:pt>
                  <c:pt idx="122">
                    <c:v>February 2029</c:v>
                  </c:pt>
                  <c:pt idx="123">
                    <c:v>March 2029</c:v>
                  </c:pt>
                  <c:pt idx="124">
                    <c:v>April 2029</c:v>
                  </c:pt>
                  <c:pt idx="125">
                    <c:v>May 2029</c:v>
                  </c:pt>
                  <c:pt idx="126">
                    <c:v>June 2029</c:v>
                  </c:pt>
                  <c:pt idx="127">
                    <c:v>July 2029</c:v>
                  </c:pt>
                  <c:pt idx="128">
                    <c:v>August 2029</c:v>
                  </c:pt>
                  <c:pt idx="129">
                    <c:v>September 2029</c:v>
                  </c:pt>
                  <c:pt idx="130">
                    <c:v>October 2029</c:v>
                  </c:pt>
                  <c:pt idx="131">
                    <c:v>November 2029</c:v>
                  </c:pt>
                  <c:pt idx="132">
                    <c:v>December 2029</c:v>
                  </c:pt>
                  <c:pt idx="133">
                    <c:v>January 2030</c:v>
                  </c:pt>
                  <c:pt idx="134">
                    <c:v>February 2030</c:v>
                  </c:pt>
                  <c:pt idx="135">
                    <c:v>March 2030</c:v>
                  </c:pt>
                  <c:pt idx="136">
                    <c:v>April 2030</c:v>
                  </c:pt>
                  <c:pt idx="137">
                    <c:v>May 2030</c:v>
                  </c:pt>
                  <c:pt idx="138">
                    <c:v>June 2030</c:v>
                  </c:pt>
                  <c:pt idx="139">
                    <c:v>July 2030</c:v>
                  </c:pt>
                  <c:pt idx="140">
                    <c:v>August 2030</c:v>
                  </c:pt>
                  <c:pt idx="141">
                    <c:v>September 2030</c:v>
                  </c:pt>
                  <c:pt idx="142">
                    <c:v>October 2030</c:v>
                  </c:pt>
                  <c:pt idx="143">
                    <c:v>November 2030</c:v>
                  </c:pt>
                  <c:pt idx="144">
                    <c:v>December 2030</c:v>
                  </c:pt>
                </c:lvl>
                <c:lvl>
                  <c:pt idx="1">
                    <c:v>2019-01-01</c:v>
                  </c:pt>
                  <c:pt idx="2">
                    <c:v>2019-02-01</c:v>
                  </c:pt>
                  <c:pt idx="3">
                    <c:v>2019-03-01</c:v>
                  </c:pt>
                  <c:pt idx="4">
                    <c:v>2019-04-01</c:v>
                  </c:pt>
                  <c:pt idx="5">
                    <c:v>2019-05-01</c:v>
                  </c:pt>
                  <c:pt idx="6">
                    <c:v>2019-06-01</c:v>
                  </c:pt>
                  <c:pt idx="7">
                    <c:v>2019-07-01</c:v>
                  </c:pt>
                  <c:pt idx="8">
                    <c:v>2019-08-01</c:v>
                  </c:pt>
                  <c:pt idx="9">
                    <c:v>2019-09-01</c:v>
                  </c:pt>
                  <c:pt idx="10">
                    <c:v>2019-10-01</c:v>
                  </c:pt>
                  <c:pt idx="11">
                    <c:v>2019-11-01</c:v>
                  </c:pt>
                  <c:pt idx="12">
                    <c:v>2019-12-01</c:v>
                  </c:pt>
                  <c:pt idx="13">
                    <c:v>2020-01-01</c:v>
                  </c:pt>
                  <c:pt idx="14">
                    <c:v>2020-02-01</c:v>
                  </c:pt>
                  <c:pt idx="15">
                    <c:v>2020-03-01</c:v>
                  </c:pt>
                  <c:pt idx="16">
                    <c:v>2020-04-01</c:v>
                  </c:pt>
                  <c:pt idx="17">
                    <c:v>2020-05-01</c:v>
                  </c:pt>
                  <c:pt idx="18">
                    <c:v>2020-06-01</c:v>
                  </c:pt>
                  <c:pt idx="19">
                    <c:v>2020-07-01</c:v>
                  </c:pt>
                  <c:pt idx="20">
                    <c:v>2020-08-01</c:v>
                  </c:pt>
                  <c:pt idx="21">
                    <c:v>2020-09-01</c:v>
                  </c:pt>
                  <c:pt idx="22">
                    <c:v>2020-10-01</c:v>
                  </c:pt>
                  <c:pt idx="23">
                    <c:v>2020-11-01</c:v>
                  </c:pt>
                  <c:pt idx="24">
                    <c:v>2020-12-01</c:v>
                  </c:pt>
                  <c:pt idx="25">
                    <c:v>2021-01-01</c:v>
                  </c:pt>
                  <c:pt idx="26">
                    <c:v>2021-02-01</c:v>
                  </c:pt>
                  <c:pt idx="27">
                    <c:v>2021-03-01</c:v>
                  </c:pt>
                  <c:pt idx="28">
                    <c:v>2021-04-01</c:v>
                  </c:pt>
                  <c:pt idx="29">
                    <c:v>2021-05-01</c:v>
                  </c:pt>
                  <c:pt idx="30">
                    <c:v>2021-06-01</c:v>
                  </c:pt>
                  <c:pt idx="31">
                    <c:v>2021-07-01</c:v>
                  </c:pt>
                  <c:pt idx="32">
                    <c:v>2021-08-01</c:v>
                  </c:pt>
                  <c:pt idx="33">
                    <c:v>2021-09-01</c:v>
                  </c:pt>
                  <c:pt idx="34">
                    <c:v>2021-10-01</c:v>
                  </c:pt>
                  <c:pt idx="35">
                    <c:v>2021-11-01</c:v>
                  </c:pt>
                  <c:pt idx="36">
                    <c:v>2021-12-01</c:v>
                  </c:pt>
                  <c:pt idx="37">
                    <c:v>2022-01-01</c:v>
                  </c:pt>
                  <c:pt idx="38">
                    <c:v>2022-02-01</c:v>
                  </c:pt>
                  <c:pt idx="39">
                    <c:v>2022-03-01</c:v>
                  </c:pt>
                  <c:pt idx="40">
                    <c:v>2022-04-01</c:v>
                  </c:pt>
                  <c:pt idx="41">
                    <c:v>2022-05-01</c:v>
                  </c:pt>
                  <c:pt idx="42">
                    <c:v>2022-06-01</c:v>
                  </c:pt>
                  <c:pt idx="43">
                    <c:v>2022-07-01</c:v>
                  </c:pt>
                  <c:pt idx="44">
                    <c:v>2022-08-01</c:v>
                  </c:pt>
                  <c:pt idx="45">
                    <c:v>2022-09-01</c:v>
                  </c:pt>
                  <c:pt idx="46">
                    <c:v>2022-10-01</c:v>
                  </c:pt>
                  <c:pt idx="47">
                    <c:v>2022-11-01</c:v>
                  </c:pt>
                  <c:pt idx="48">
                    <c:v>2022-12-01</c:v>
                  </c:pt>
                  <c:pt idx="49">
                    <c:v>2023-01-01</c:v>
                  </c:pt>
                  <c:pt idx="50">
                    <c:v>2023-02-01</c:v>
                  </c:pt>
                  <c:pt idx="51">
                    <c:v>2023-03-01</c:v>
                  </c:pt>
                  <c:pt idx="52">
                    <c:v>2023-04-01</c:v>
                  </c:pt>
                  <c:pt idx="53">
                    <c:v>2023-05-01</c:v>
                  </c:pt>
                  <c:pt idx="54">
                    <c:v>2023-06-01</c:v>
                  </c:pt>
                  <c:pt idx="55">
                    <c:v>2023-07-01</c:v>
                  </c:pt>
                  <c:pt idx="56">
                    <c:v>2023-08-01</c:v>
                  </c:pt>
                  <c:pt idx="57">
                    <c:v>2023-09-01</c:v>
                  </c:pt>
                  <c:pt idx="58">
                    <c:v>2023-10-01</c:v>
                  </c:pt>
                  <c:pt idx="59">
                    <c:v>2023-11-01</c:v>
                  </c:pt>
                  <c:pt idx="60">
                    <c:v>2023-12-01</c:v>
                  </c:pt>
                  <c:pt idx="61">
                    <c:v>2024-01-01</c:v>
                  </c:pt>
                  <c:pt idx="62">
                    <c:v>2024-02-01</c:v>
                  </c:pt>
                  <c:pt idx="63">
                    <c:v>2024-03-01</c:v>
                  </c:pt>
                  <c:pt idx="64">
                    <c:v>2024-04-01</c:v>
                  </c:pt>
                  <c:pt idx="65">
                    <c:v>2024-05-01</c:v>
                  </c:pt>
                  <c:pt idx="66">
                    <c:v>2024-06-01</c:v>
                  </c:pt>
                  <c:pt idx="67">
                    <c:v>2024-07-01</c:v>
                  </c:pt>
                  <c:pt idx="68">
                    <c:v>2024-08-01</c:v>
                  </c:pt>
                  <c:pt idx="69">
                    <c:v>2024-09-01</c:v>
                  </c:pt>
                  <c:pt idx="70">
                    <c:v>2024-10-01</c:v>
                  </c:pt>
                  <c:pt idx="71">
                    <c:v>2024-11-01</c:v>
                  </c:pt>
                  <c:pt idx="72">
                    <c:v>2024-12-01</c:v>
                  </c:pt>
                  <c:pt idx="73">
                    <c:v>2025-01-01</c:v>
                  </c:pt>
                  <c:pt idx="74">
                    <c:v>2025-02-01</c:v>
                  </c:pt>
                  <c:pt idx="75">
                    <c:v>2025-03-01</c:v>
                  </c:pt>
                  <c:pt idx="76">
                    <c:v>2025-04-01</c:v>
                  </c:pt>
                  <c:pt idx="77">
                    <c:v>2025-05-01</c:v>
                  </c:pt>
                  <c:pt idx="78">
                    <c:v>2025-06-01</c:v>
                  </c:pt>
                  <c:pt idx="79">
                    <c:v>2025-07-01</c:v>
                  </c:pt>
                  <c:pt idx="80">
                    <c:v>2025-08-01</c:v>
                  </c:pt>
                  <c:pt idx="81">
                    <c:v>2025-09-01</c:v>
                  </c:pt>
                  <c:pt idx="82">
                    <c:v>2025-10-01</c:v>
                  </c:pt>
                  <c:pt idx="83">
                    <c:v>2025-11-01</c:v>
                  </c:pt>
                  <c:pt idx="84">
                    <c:v>2025-12-01</c:v>
                  </c:pt>
                  <c:pt idx="85">
                    <c:v>2026-01-01</c:v>
                  </c:pt>
                  <c:pt idx="86">
                    <c:v>2026-02-01</c:v>
                  </c:pt>
                  <c:pt idx="87">
                    <c:v>2026-03-01</c:v>
                  </c:pt>
                  <c:pt idx="88">
                    <c:v>2026-04-01</c:v>
                  </c:pt>
                  <c:pt idx="89">
                    <c:v>2026-05-01</c:v>
                  </c:pt>
                  <c:pt idx="90">
                    <c:v>2026-06-01</c:v>
                  </c:pt>
                  <c:pt idx="91">
                    <c:v>2026-07-01</c:v>
                  </c:pt>
                  <c:pt idx="92">
                    <c:v>2026-08-01</c:v>
                  </c:pt>
                  <c:pt idx="93">
                    <c:v>2026-09-01</c:v>
                  </c:pt>
                  <c:pt idx="94">
                    <c:v>2026-10-01</c:v>
                  </c:pt>
                  <c:pt idx="95">
                    <c:v>2026-11-01</c:v>
                  </c:pt>
                  <c:pt idx="96">
                    <c:v>2026-12-01</c:v>
                  </c:pt>
                  <c:pt idx="97">
                    <c:v>2027-01-01</c:v>
                  </c:pt>
                  <c:pt idx="98">
                    <c:v>2027-02-01</c:v>
                  </c:pt>
                  <c:pt idx="99">
                    <c:v>2027-03-01</c:v>
                  </c:pt>
                  <c:pt idx="100">
                    <c:v>2027-04-01</c:v>
                  </c:pt>
                  <c:pt idx="101">
                    <c:v>2027-05-01</c:v>
                  </c:pt>
                  <c:pt idx="102">
                    <c:v>2027-06-01</c:v>
                  </c:pt>
                  <c:pt idx="103">
                    <c:v>2027-07-01</c:v>
                  </c:pt>
                  <c:pt idx="104">
                    <c:v>2027-08-01</c:v>
                  </c:pt>
                  <c:pt idx="105">
                    <c:v>2027-09-01</c:v>
                  </c:pt>
                  <c:pt idx="106">
                    <c:v>2027-10-01</c:v>
                  </c:pt>
                  <c:pt idx="107">
                    <c:v>2027-11-01</c:v>
                  </c:pt>
                  <c:pt idx="108">
                    <c:v>2027-12-01</c:v>
                  </c:pt>
                  <c:pt idx="109">
                    <c:v>2028-01-01</c:v>
                  </c:pt>
                  <c:pt idx="110">
                    <c:v>2028-02-01</c:v>
                  </c:pt>
                  <c:pt idx="111">
                    <c:v>2028-03-01</c:v>
                  </c:pt>
                  <c:pt idx="112">
                    <c:v>2028-04-01</c:v>
                  </c:pt>
                  <c:pt idx="113">
                    <c:v>2028-05-01</c:v>
                  </c:pt>
                  <c:pt idx="114">
                    <c:v>2028-06-01</c:v>
                  </c:pt>
                  <c:pt idx="115">
                    <c:v>2028-07-01</c:v>
                  </c:pt>
                  <c:pt idx="116">
                    <c:v>2028-08-01</c:v>
                  </c:pt>
                  <c:pt idx="117">
                    <c:v>2028-09-01</c:v>
                  </c:pt>
                  <c:pt idx="118">
                    <c:v>2028-10-01</c:v>
                  </c:pt>
                  <c:pt idx="119">
                    <c:v>2028-11-01</c:v>
                  </c:pt>
                  <c:pt idx="120">
                    <c:v>2028-12-01</c:v>
                  </c:pt>
                  <c:pt idx="121">
                    <c:v>2029-01-01</c:v>
                  </c:pt>
                  <c:pt idx="122">
                    <c:v>2029-02-01</c:v>
                  </c:pt>
                  <c:pt idx="123">
                    <c:v>2029-03-01</c:v>
                  </c:pt>
                  <c:pt idx="124">
                    <c:v>2029-04-01</c:v>
                  </c:pt>
                  <c:pt idx="125">
                    <c:v>2029-05-01</c:v>
                  </c:pt>
                  <c:pt idx="126">
                    <c:v>2029-06-01</c:v>
                  </c:pt>
                  <c:pt idx="127">
                    <c:v>2029-07-01</c:v>
                  </c:pt>
                  <c:pt idx="128">
                    <c:v>2029-08-01</c:v>
                  </c:pt>
                  <c:pt idx="129">
                    <c:v>2029-09-01</c:v>
                  </c:pt>
                  <c:pt idx="130">
                    <c:v>2029-10-01</c:v>
                  </c:pt>
                  <c:pt idx="131">
                    <c:v>2029-11-01</c:v>
                  </c:pt>
                  <c:pt idx="132">
                    <c:v>2029-12-01</c:v>
                  </c:pt>
                  <c:pt idx="133">
                    <c:v>2030-01-01</c:v>
                  </c:pt>
                  <c:pt idx="134">
                    <c:v>2030-02-01</c:v>
                  </c:pt>
                  <c:pt idx="135">
                    <c:v>2030-03-01</c:v>
                  </c:pt>
                  <c:pt idx="136">
                    <c:v>2030-04-01</c:v>
                  </c:pt>
                  <c:pt idx="137">
                    <c:v>2030-05-01</c:v>
                  </c:pt>
                  <c:pt idx="138">
                    <c:v>2030-06-01</c:v>
                  </c:pt>
                  <c:pt idx="139">
                    <c:v>2030-07-01</c:v>
                  </c:pt>
                  <c:pt idx="140">
                    <c:v>2030-08-01</c:v>
                  </c:pt>
                  <c:pt idx="141">
                    <c:v>2030-09-01</c:v>
                  </c:pt>
                  <c:pt idx="142">
                    <c:v>2030-10-01</c:v>
                  </c:pt>
                  <c:pt idx="143">
                    <c:v>2030-11-01</c:v>
                  </c:pt>
                  <c:pt idx="144">
                    <c:v>2030-12-01</c:v>
                  </c:pt>
                </c:lvl>
              </c:multiLvlStrCache>
            </c:multiLvlStrRef>
          </c:cat>
          <c:val>
            <c:numRef>
              <c:f>Overview!$M$3:$M$147</c:f>
              <c:numCache>
                <c:formatCode>_("$"* #,##0.00_);_("$"* \(#,##0.00\);_("$"* "-"??_);_(@_)</c:formatCode>
                <c:ptCount val="14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-148.80000000000001</c:v>
                </c:pt>
                <c:pt idx="32">
                  <c:v>0</c:v>
                </c:pt>
                <c:pt idx="33">
                  <c:v>0</c:v>
                </c:pt>
                <c:pt idx="34">
                  <c:v>-162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-84</c:v>
                </c:pt>
                <c:pt idx="40">
                  <c:v>-138.75</c:v>
                </c:pt>
                <c:pt idx="41">
                  <c:v>-210.88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-168.85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-90.6</c:v>
                </c:pt>
                <c:pt idx="51">
                  <c:v>0</c:v>
                </c:pt>
                <c:pt idx="52">
                  <c:v>-233.26</c:v>
                </c:pt>
                <c:pt idx="53">
                  <c:v>-199.27</c:v>
                </c:pt>
                <c:pt idx="54">
                  <c:v>0</c:v>
                </c:pt>
                <c:pt idx="55">
                  <c:v>-11.63</c:v>
                </c:pt>
                <c:pt idx="56">
                  <c:v>-115.5</c:v>
                </c:pt>
                <c:pt idx="57">
                  <c:v>-177.59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Overview!$N$2</c:f>
              <c:strCache>
                <c:ptCount val="1"/>
                <c:pt idx="0">
                  <c:v>Vacation</c:v>
                </c:pt>
              </c:strCache>
            </c:strRef>
          </c:tx>
          <c:marker>
            <c:symbol val="none"/>
          </c:marker>
          <c:cat>
            <c:multiLvlStrRef>
              <c:f>Overview!$A$3:$B$147</c:f>
              <c:multiLvlStrCache>
                <c:ptCount val="145"/>
                <c:lvl>
                  <c:pt idx="1">
                    <c:v>January 2019</c:v>
                  </c:pt>
                  <c:pt idx="2">
                    <c:v>February 2019</c:v>
                  </c:pt>
                  <c:pt idx="3">
                    <c:v>March 2019</c:v>
                  </c:pt>
                  <c:pt idx="4">
                    <c:v>April 2019</c:v>
                  </c:pt>
                  <c:pt idx="5">
                    <c:v>May 2019</c:v>
                  </c:pt>
                  <c:pt idx="6">
                    <c:v>June 2019</c:v>
                  </c:pt>
                  <c:pt idx="7">
                    <c:v>July 2019</c:v>
                  </c:pt>
                  <c:pt idx="8">
                    <c:v>August 2019</c:v>
                  </c:pt>
                  <c:pt idx="9">
                    <c:v>September 2019</c:v>
                  </c:pt>
                  <c:pt idx="10">
                    <c:v>October 2019</c:v>
                  </c:pt>
                  <c:pt idx="11">
                    <c:v>November 2019</c:v>
                  </c:pt>
                  <c:pt idx="12">
                    <c:v>December 2019</c:v>
                  </c:pt>
                  <c:pt idx="13">
                    <c:v>January 2020</c:v>
                  </c:pt>
                  <c:pt idx="14">
                    <c:v>February 2020</c:v>
                  </c:pt>
                  <c:pt idx="15">
                    <c:v>March 2020</c:v>
                  </c:pt>
                  <c:pt idx="16">
                    <c:v>April 2020</c:v>
                  </c:pt>
                  <c:pt idx="17">
                    <c:v>May 2020</c:v>
                  </c:pt>
                  <c:pt idx="18">
                    <c:v>June 2020</c:v>
                  </c:pt>
                  <c:pt idx="19">
                    <c:v>July 2020</c:v>
                  </c:pt>
                  <c:pt idx="20">
                    <c:v>August 2020</c:v>
                  </c:pt>
                  <c:pt idx="21">
                    <c:v>September 2020</c:v>
                  </c:pt>
                  <c:pt idx="22">
                    <c:v>October 2020</c:v>
                  </c:pt>
                  <c:pt idx="23">
                    <c:v>November 2020</c:v>
                  </c:pt>
                  <c:pt idx="24">
                    <c:v>December 2020</c:v>
                  </c:pt>
                  <c:pt idx="25">
                    <c:v>January 2021</c:v>
                  </c:pt>
                  <c:pt idx="26">
                    <c:v>February 2021</c:v>
                  </c:pt>
                  <c:pt idx="27">
                    <c:v>March 2021</c:v>
                  </c:pt>
                  <c:pt idx="28">
                    <c:v>April 2021</c:v>
                  </c:pt>
                  <c:pt idx="29">
                    <c:v>May 2021</c:v>
                  </c:pt>
                  <c:pt idx="30">
                    <c:v>June 2021</c:v>
                  </c:pt>
                  <c:pt idx="31">
                    <c:v>July 2021</c:v>
                  </c:pt>
                  <c:pt idx="32">
                    <c:v>August 2021</c:v>
                  </c:pt>
                  <c:pt idx="33">
                    <c:v>September 2021</c:v>
                  </c:pt>
                  <c:pt idx="34">
                    <c:v>October 2021</c:v>
                  </c:pt>
                  <c:pt idx="35">
                    <c:v>November 2021</c:v>
                  </c:pt>
                  <c:pt idx="36">
                    <c:v>December 2021</c:v>
                  </c:pt>
                  <c:pt idx="37">
                    <c:v>January 2022</c:v>
                  </c:pt>
                  <c:pt idx="38">
                    <c:v>February 2022</c:v>
                  </c:pt>
                  <c:pt idx="39">
                    <c:v>March 2022</c:v>
                  </c:pt>
                  <c:pt idx="40">
                    <c:v>April 2022</c:v>
                  </c:pt>
                  <c:pt idx="41">
                    <c:v>May 2022</c:v>
                  </c:pt>
                  <c:pt idx="42">
                    <c:v>June 2022</c:v>
                  </c:pt>
                  <c:pt idx="43">
                    <c:v>July 2022</c:v>
                  </c:pt>
                  <c:pt idx="44">
                    <c:v>August 2022</c:v>
                  </c:pt>
                  <c:pt idx="45">
                    <c:v>September 2022</c:v>
                  </c:pt>
                  <c:pt idx="46">
                    <c:v>October 2022</c:v>
                  </c:pt>
                  <c:pt idx="47">
                    <c:v>November 2022</c:v>
                  </c:pt>
                  <c:pt idx="48">
                    <c:v>December 2022</c:v>
                  </c:pt>
                  <c:pt idx="49">
                    <c:v>January 2023</c:v>
                  </c:pt>
                  <c:pt idx="50">
                    <c:v>February 2023</c:v>
                  </c:pt>
                  <c:pt idx="51">
                    <c:v>March 2023</c:v>
                  </c:pt>
                  <c:pt idx="52">
                    <c:v>April 2023</c:v>
                  </c:pt>
                  <c:pt idx="53">
                    <c:v>May 2023</c:v>
                  </c:pt>
                  <c:pt idx="54">
                    <c:v>June 2023</c:v>
                  </c:pt>
                  <c:pt idx="55">
                    <c:v>July 2023</c:v>
                  </c:pt>
                  <c:pt idx="56">
                    <c:v>August 2023</c:v>
                  </c:pt>
                  <c:pt idx="57">
                    <c:v>September 2023</c:v>
                  </c:pt>
                  <c:pt idx="58">
                    <c:v>October 2023</c:v>
                  </c:pt>
                  <c:pt idx="59">
                    <c:v>November 2023</c:v>
                  </c:pt>
                  <c:pt idx="60">
                    <c:v>December 2023</c:v>
                  </c:pt>
                  <c:pt idx="61">
                    <c:v>January 2024</c:v>
                  </c:pt>
                  <c:pt idx="62">
                    <c:v>February 2024</c:v>
                  </c:pt>
                  <c:pt idx="63">
                    <c:v>March 2024</c:v>
                  </c:pt>
                  <c:pt idx="64">
                    <c:v>April 2024</c:v>
                  </c:pt>
                  <c:pt idx="65">
                    <c:v>May 2024</c:v>
                  </c:pt>
                  <c:pt idx="66">
                    <c:v>June 2024</c:v>
                  </c:pt>
                  <c:pt idx="67">
                    <c:v>July 2024</c:v>
                  </c:pt>
                  <c:pt idx="68">
                    <c:v>August 2024</c:v>
                  </c:pt>
                  <c:pt idx="69">
                    <c:v>September 2024</c:v>
                  </c:pt>
                  <c:pt idx="70">
                    <c:v>October 2024</c:v>
                  </c:pt>
                  <c:pt idx="71">
                    <c:v>November 2024</c:v>
                  </c:pt>
                  <c:pt idx="72">
                    <c:v>December 2024</c:v>
                  </c:pt>
                  <c:pt idx="73">
                    <c:v>January 2025</c:v>
                  </c:pt>
                  <c:pt idx="74">
                    <c:v>February 2025</c:v>
                  </c:pt>
                  <c:pt idx="75">
                    <c:v>March 2025</c:v>
                  </c:pt>
                  <c:pt idx="76">
                    <c:v>April 2025</c:v>
                  </c:pt>
                  <c:pt idx="77">
                    <c:v>May 2025</c:v>
                  </c:pt>
                  <c:pt idx="78">
                    <c:v>June 2025</c:v>
                  </c:pt>
                  <c:pt idx="79">
                    <c:v>July 2025</c:v>
                  </c:pt>
                  <c:pt idx="80">
                    <c:v>August 2025</c:v>
                  </c:pt>
                  <c:pt idx="81">
                    <c:v>September 2025</c:v>
                  </c:pt>
                  <c:pt idx="82">
                    <c:v>October 2025</c:v>
                  </c:pt>
                  <c:pt idx="83">
                    <c:v>November 2025</c:v>
                  </c:pt>
                  <c:pt idx="84">
                    <c:v>December 2025</c:v>
                  </c:pt>
                  <c:pt idx="85">
                    <c:v>January 2026</c:v>
                  </c:pt>
                  <c:pt idx="86">
                    <c:v>February 2026</c:v>
                  </c:pt>
                  <c:pt idx="87">
                    <c:v>March 2026</c:v>
                  </c:pt>
                  <c:pt idx="88">
                    <c:v>April 2026</c:v>
                  </c:pt>
                  <c:pt idx="89">
                    <c:v>May 2026</c:v>
                  </c:pt>
                  <c:pt idx="90">
                    <c:v>June 2026</c:v>
                  </c:pt>
                  <c:pt idx="91">
                    <c:v>July 2026</c:v>
                  </c:pt>
                  <c:pt idx="92">
                    <c:v>August 2026</c:v>
                  </c:pt>
                  <c:pt idx="93">
                    <c:v>September 2026</c:v>
                  </c:pt>
                  <c:pt idx="94">
                    <c:v>October 2026</c:v>
                  </c:pt>
                  <c:pt idx="95">
                    <c:v>November 2026</c:v>
                  </c:pt>
                  <c:pt idx="96">
                    <c:v>December 2026</c:v>
                  </c:pt>
                  <c:pt idx="97">
                    <c:v>January 2027</c:v>
                  </c:pt>
                  <c:pt idx="98">
                    <c:v>February 2027</c:v>
                  </c:pt>
                  <c:pt idx="99">
                    <c:v>March 2027</c:v>
                  </c:pt>
                  <c:pt idx="100">
                    <c:v>April 2027</c:v>
                  </c:pt>
                  <c:pt idx="101">
                    <c:v>May 2027</c:v>
                  </c:pt>
                  <c:pt idx="102">
                    <c:v>June 2027</c:v>
                  </c:pt>
                  <c:pt idx="103">
                    <c:v>July 2027</c:v>
                  </c:pt>
                  <c:pt idx="104">
                    <c:v>August 2027</c:v>
                  </c:pt>
                  <c:pt idx="105">
                    <c:v>September 2027</c:v>
                  </c:pt>
                  <c:pt idx="106">
                    <c:v>October 2027</c:v>
                  </c:pt>
                  <c:pt idx="107">
                    <c:v>November 2027</c:v>
                  </c:pt>
                  <c:pt idx="108">
                    <c:v>December 2027</c:v>
                  </c:pt>
                  <c:pt idx="109">
                    <c:v>January 2028</c:v>
                  </c:pt>
                  <c:pt idx="110">
                    <c:v>February 2028</c:v>
                  </c:pt>
                  <c:pt idx="111">
                    <c:v>March 2028</c:v>
                  </c:pt>
                  <c:pt idx="112">
                    <c:v>April 2028</c:v>
                  </c:pt>
                  <c:pt idx="113">
                    <c:v>May 2028</c:v>
                  </c:pt>
                  <c:pt idx="114">
                    <c:v>June 2028</c:v>
                  </c:pt>
                  <c:pt idx="115">
                    <c:v>July 2028</c:v>
                  </c:pt>
                  <c:pt idx="116">
                    <c:v>August 2028</c:v>
                  </c:pt>
                  <c:pt idx="117">
                    <c:v>September 2028</c:v>
                  </c:pt>
                  <c:pt idx="118">
                    <c:v>October 2028</c:v>
                  </c:pt>
                  <c:pt idx="119">
                    <c:v>November 2028</c:v>
                  </c:pt>
                  <c:pt idx="120">
                    <c:v>December 2028</c:v>
                  </c:pt>
                  <c:pt idx="121">
                    <c:v>January 2029</c:v>
                  </c:pt>
                  <c:pt idx="122">
                    <c:v>February 2029</c:v>
                  </c:pt>
                  <c:pt idx="123">
                    <c:v>March 2029</c:v>
                  </c:pt>
                  <c:pt idx="124">
                    <c:v>April 2029</c:v>
                  </c:pt>
                  <c:pt idx="125">
                    <c:v>May 2029</c:v>
                  </c:pt>
                  <c:pt idx="126">
                    <c:v>June 2029</c:v>
                  </c:pt>
                  <c:pt idx="127">
                    <c:v>July 2029</c:v>
                  </c:pt>
                  <c:pt idx="128">
                    <c:v>August 2029</c:v>
                  </c:pt>
                  <c:pt idx="129">
                    <c:v>September 2029</c:v>
                  </c:pt>
                  <c:pt idx="130">
                    <c:v>October 2029</c:v>
                  </c:pt>
                  <c:pt idx="131">
                    <c:v>November 2029</c:v>
                  </c:pt>
                  <c:pt idx="132">
                    <c:v>December 2029</c:v>
                  </c:pt>
                  <c:pt idx="133">
                    <c:v>January 2030</c:v>
                  </c:pt>
                  <c:pt idx="134">
                    <c:v>February 2030</c:v>
                  </c:pt>
                  <c:pt idx="135">
                    <c:v>March 2030</c:v>
                  </c:pt>
                  <c:pt idx="136">
                    <c:v>April 2030</c:v>
                  </c:pt>
                  <c:pt idx="137">
                    <c:v>May 2030</c:v>
                  </c:pt>
                  <c:pt idx="138">
                    <c:v>June 2030</c:v>
                  </c:pt>
                  <c:pt idx="139">
                    <c:v>July 2030</c:v>
                  </c:pt>
                  <c:pt idx="140">
                    <c:v>August 2030</c:v>
                  </c:pt>
                  <c:pt idx="141">
                    <c:v>September 2030</c:v>
                  </c:pt>
                  <c:pt idx="142">
                    <c:v>October 2030</c:v>
                  </c:pt>
                  <c:pt idx="143">
                    <c:v>November 2030</c:v>
                  </c:pt>
                  <c:pt idx="144">
                    <c:v>December 2030</c:v>
                  </c:pt>
                </c:lvl>
                <c:lvl>
                  <c:pt idx="1">
                    <c:v>2019-01-01</c:v>
                  </c:pt>
                  <c:pt idx="2">
                    <c:v>2019-02-01</c:v>
                  </c:pt>
                  <c:pt idx="3">
                    <c:v>2019-03-01</c:v>
                  </c:pt>
                  <c:pt idx="4">
                    <c:v>2019-04-01</c:v>
                  </c:pt>
                  <c:pt idx="5">
                    <c:v>2019-05-01</c:v>
                  </c:pt>
                  <c:pt idx="6">
                    <c:v>2019-06-01</c:v>
                  </c:pt>
                  <c:pt idx="7">
                    <c:v>2019-07-01</c:v>
                  </c:pt>
                  <c:pt idx="8">
                    <c:v>2019-08-01</c:v>
                  </c:pt>
                  <c:pt idx="9">
                    <c:v>2019-09-01</c:v>
                  </c:pt>
                  <c:pt idx="10">
                    <c:v>2019-10-01</c:v>
                  </c:pt>
                  <c:pt idx="11">
                    <c:v>2019-11-01</c:v>
                  </c:pt>
                  <c:pt idx="12">
                    <c:v>2019-12-01</c:v>
                  </c:pt>
                  <c:pt idx="13">
                    <c:v>2020-01-01</c:v>
                  </c:pt>
                  <c:pt idx="14">
                    <c:v>2020-02-01</c:v>
                  </c:pt>
                  <c:pt idx="15">
                    <c:v>2020-03-01</c:v>
                  </c:pt>
                  <c:pt idx="16">
                    <c:v>2020-04-01</c:v>
                  </c:pt>
                  <c:pt idx="17">
                    <c:v>2020-05-01</c:v>
                  </c:pt>
                  <c:pt idx="18">
                    <c:v>2020-06-01</c:v>
                  </c:pt>
                  <c:pt idx="19">
                    <c:v>2020-07-01</c:v>
                  </c:pt>
                  <c:pt idx="20">
                    <c:v>2020-08-01</c:v>
                  </c:pt>
                  <c:pt idx="21">
                    <c:v>2020-09-01</c:v>
                  </c:pt>
                  <c:pt idx="22">
                    <c:v>2020-10-01</c:v>
                  </c:pt>
                  <c:pt idx="23">
                    <c:v>2020-11-01</c:v>
                  </c:pt>
                  <c:pt idx="24">
                    <c:v>2020-12-01</c:v>
                  </c:pt>
                  <c:pt idx="25">
                    <c:v>2021-01-01</c:v>
                  </c:pt>
                  <c:pt idx="26">
                    <c:v>2021-02-01</c:v>
                  </c:pt>
                  <c:pt idx="27">
                    <c:v>2021-03-01</c:v>
                  </c:pt>
                  <c:pt idx="28">
                    <c:v>2021-04-01</c:v>
                  </c:pt>
                  <c:pt idx="29">
                    <c:v>2021-05-01</c:v>
                  </c:pt>
                  <c:pt idx="30">
                    <c:v>2021-06-01</c:v>
                  </c:pt>
                  <c:pt idx="31">
                    <c:v>2021-07-01</c:v>
                  </c:pt>
                  <c:pt idx="32">
                    <c:v>2021-08-01</c:v>
                  </c:pt>
                  <c:pt idx="33">
                    <c:v>2021-09-01</c:v>
                  </c:pt>
                  <c:pt idx="34">
                    <c:v>2021-10-01</c:v>
                  </c:pt>
                  <c:pt idx="35">
                    <c:v>2021-11-01</c:v>
                  </c:pt>
                  <c:pt idx="36">
                    <c:v>2021-12-01</c:v>
                  </c:pt>
                  <c:pt idx="37">
                    <c:v>2022-01-01</c:v>
                  </c:pt>
                  <c:pt idx="38">
                    <c:v>2022-02-01</c:v>
                  </c:pt>
                  <c:pt idx="39">
                    <c:v>2022-03-01</c:v>
                  </c:pt>
                  <c:pt idx="40">
                    <c:v>2022-04-01</c:v>
                  </c:pt>
                  <c:pt idx="41">
                    <c:v>2022-05-01</c:v>
                  </c:pt>
                  <c:pt idx="42">
                    <c:v>2022-06-01</c:v>
                  </c:pt>
                  <c:pt idx="43">
                    <c:v>2022-07-01</c:v>
                  </c:pt>
                  <c:pt idx="44">
                    <c:v>2022-08-01</c:v>
                  </c:pt>
                  <c:pt idx="45">
                    <c:v>2022-09-01</c:v>
                  </c:pt>
                  <c:pt idx="46">
                    <c:v>2022-10-01</c:v>
                  </c:pt>
                  <c:pt idx="47">
                    <c:v>2022-11-01</c:v>
                  </c:pt>
                  <c:pt idx="48">
                    <c:v>2022-12-01</c:v>
                  </c:pt>
                  <c:pt idx="49">
                    <c:v>2023-01-01</c:v>
                  </c:pt>
                  <c:pt idx="50">
                    <c:v>2023-02-01</c:v>
                  </c:pt>
                  <c:pt idx="51">
                    <c:v>2023-03-01</c:v>
                  </c:pt>
                  <c:pt idx="52">
                    <c:v>2023-04-01</c:v>
                  </c:pt>
                  <c:pt idx="53">
                    <c:v>2023-05-01</c:v>
                  </c:pt>
                  <c:pt idx="54">
                    <c:v>2023-06-01</c:v>
                  </c:pt>
                  <c:pt idx="55">
                    <c:v>2023-07-01</c:v>
                  </c:pt>
                  <c:pt idx="56">
                    <c:v>2023-08-01</c:v>
                  </c:pt>
                  <c:pt idx="57">
                    <c:v>2023-09-01</c:v>
                  </c:pt>
                  <c:pt idx="58">
                    <c:v>2023-10-01</c:v>
                  </c:pt>
                  <c:pt idx="59">
                    <c:v>2023-11-01</c:v>
                  </c:pt>
                  <c:pt idx="60">
                    <c:v>2023-12-01</c:v>
                  </c:pt>
                  <c:pt idx="61">
                    <c:v>2024-01-01</c:v>
                  </c:pt>
                  <c:pt idx="62">
                    <c:v>2024-02-01</c:v>
                  </c:pt>
                  <c:pt idx="63">
                    <c:v>2024-03-01</c:v>
                  </c:pt>
                  <c:pt idx="64">
                    <c:v>2024-04-01</c:v>
                  </c:pt>
                  <c:pt idx="65">
                    <c:v>2024-05-01</c:v>
                  </c:pt>
                  <c:pt idx="66">
                    <c:v>2024-06-01</c:v>
                  </c:pt>
                  <c:pt idx="67">
                    <c:v>2024-07-01</c:v>
                  </c:pt>
                  <c:pt idx="68">
                    <c:v>2024-08-01</c:v>
                  </c:pt>
                  <c:pt idx="69">
                    <c:v>2024-09-01</c:v>
                  </c:pt>
                  <c:pt idx="70">
                    <c:v>2024-10-01</c:v>
                  </c:pt>
                  <c:pt idx="71">
                    <c:v>2024-11-01</c:v>
                  </c:pt>
                  <c:pt idx="72">
                    <c:v>2024-12-01</c:v>
                  </c:pt>
                  <c:pt idx="73">
                    <c:v>2025-01-01</c:v>
                  </c:pt>
                  <c:pt idx="74">
                    <c:v>2025-02-01</c:v>
                  </c:pt>
                  <c:pt idx="75">
                    <c:v>2025-03-01</c:v>
                  </c:pt>
                  <c:pt idx="76">
                    <c:v>2025-04-01</c:v>
                  </c:pt>
                  <c:pt idx="77">
                    <c:v>2025-05-01</c:v>
                  </c:pt>
                  <c:pt idx="78">
                    <c:v>2025-06-01</c:v>
                  </c:pt>
                  <c:pt idx="79">
                    <c:v>2025-07-01</c:v>
                  </c:pt>
                  <c:pt idx="80">
                    <c:v>2025-08-01</c:v>
                  </c:pt>
                  <c:pt idx="81">
                    <c:v>2025-09-01</c:v>
                  </c:pt>
                  <c:pt idx="82">
                    <c:v>2025-10-01</c:v>
                  </c:pt>
                  <c:pt idx="83">
                    <c:v>2025-11-01</c:v>
                  </c:pt>
                  <c:pt idx="84">
                    <c:v>2025-12-01</c:v>
                  </c:pt>
                  <c:pt idx="85">
                    <c:v>2026-01-01</c:v>
                  </c:pt>
                  <c:pt idx="86">
                    <c:v>2026-02-01</c:v>
                  </c:pt>
                  <c:pt idx="87">
                    <c:v>2026-03-01</c:v>
                  </c:pt>
                  <c:pt idx="88">
                    <c:v>2026-04-01</c:v>
                  </c:pt>
                  <c:pt idx="89">
                    <c:v>2026-05-01</c:v>
                  </c:pt>
                  <c:pt idx="90">
                    <c:v>2026-06-01</c:v>
                  </c:pt>
                  <c:pt idx="91">
                    <c:v>2026-07-01</c:v>
                  </c:pt>
                  <c:pt idx="92">
                    <c:v>2026-08-01</c:v>
                  </c:pt>
                  <c:pt idx="93">
                    <c:v>2026-09-01</c:v>
                  </c:pt>
                  <c:pt idx="94">
                    <c:v>2026-10-01</c:v>
                  </c:pt>
                  <c:pt idx="95">
                    <c:v>2026-11-01</c:v>
                  </c:pt>
                  <c:pt idx="96">
                    <c:v>2026-12-01</c:v>
                  </c:pt>
                  <c:pt idx="97">
                    <c:v>2027-01-01</c:v>
                  </c:pt>
                  <c:pt idx="98">
                    <c:v>2027-02-01</c:v>
                  </c:pt>
                  <c:pt idx="99">
                    <c:v>2027-03-01</c:v>
                  </c:pt>
                  <c:pt idx="100">
                    <c:v>2027-04-01</c:v>
                  </c:pt>
                  <c:pt idx="101">
                    <c:v>2027-05-01</c:v>
                  </c:pt>
                  <c:pt idx="102">
                    <c:v>2027-06-01</c:v>
                  </c:pt>
                  <c:pt idx="103">
                    <c:v>2027-07-01</c:v>
                  </c:pt>
                  <c:pt idx="104">
                    <c:v>2027-08-01</c:v>
                  </c:pt>
                  <c:pt idx="105">
                    <c:v>2027-09-01</c:v>
                  </c:pt>
                  <c:pt idx="106">
                    <c:v>2027-10-01</c:v>
                  </c:pt>
                  <c:pt idx="107">
                    <c:v>2027-11-01</c:v>
                  </c:pt>
                  <c:pt idx="108">
                    <c:v>2027-12-01</c:v>
                  </c:pt>
                  <c:pt idx="109">
                    <c:v>2028-01-01</c:v>
                  </c:pt>
                  <c:pt idx="110">
                    <c:v>2028-02-01</c:v>
                  </c:pt>
                  <c:pt idx="111">
                    <c:v>2028-03-01</c:v>
                  </c:pt>
                  <c:pt idx="112">
                    <c:v>2028-04-01</c:v>
                  </c:pt>
                  <c:pt idx="113">
                    <c:v>2028-05-01</c:v>
                  </c:pt>
                  <c:pt idx="114">
                    <c:v>2028-06-01</c:v>
                  </c:pt>
                  <c:pt idx="115">
                    <c:v>2028-07-01</c:v>
                  </c:pt>
                  <c:pt idx="116">
                    <c:v>2028-08-01</c:v>
                  </c:pt>
                  <c:pt idx="117">
                    <c:v>2028-09-01</c:v>
                  </c:pt>
                  <c:pt idx="118">
                    <c:v>2028-10-01</c:v>
                  </c:pt>
                  <c:pt idx="119">
                    <c:v>2028-11-01</c:v>
                  </c:pt>
                  <c:pt idx="120">
                    <c:v>2028-12-01</c:v>
                  </c:pt>
                  <c:pt idx="121">
                    <c:v>2029-01-01</c:v>
                  </c:pt>
                  <c:pt idx="122">
                    <c:v>2029-02-01</c:v>
                  </c:pt>
                  <c:pt idx="123">
                    <c:v>2029-03-01</c:v>
                  </c:pt>
                  <c:pt idx="124">
                    <c:v>2029-04-01</c:v>
                  </c:pt>
                  <c:pt idx="125">
                    <c:v>2029-05-01</c:v>
                  </c:pt>
                  <c:pt idx="126">
                    <c:v>2029-06-01</c:v>
                  </c:pt>
                  <c:pt idx="127">
                    <c:v>2029-07-01</c:v>
                  </c:pt>
                  <c:pt idx="128">
                    <c:v>2029-08-01</c:v>
                  </c:pt>
                  <c:pt idx="129">
                    <c:v>2029-09-01</c:v>
                  </c:pt>
                  <c:pt idx="130">
                    <c:v>2029-10-01</c:v>
                  </c:pt>
                  <c:pt idx="131">
                    <c:v>2029-11-01</c:v>
                  </c:pt>
                  <c:pt idx="132">
                    <c:v>2029-12-01</c:v>
                  </c:pt>
                  <c:pt idx="133">
                    <c:v>2030-01-01</c:v>
                  </c:pt>
                  <c:pt idx="134">
                    <c:v>2030-02-01</c:v>
                  </c:pt>
                  <c:pt idx="135">
                    <c:v>2030-03-01</c:v>
                  </c:pt>
                  <c:pt idx="136">
                    <c:v>2030-04-01</c:v>
                  </c:pt>
                  <c:pt idx="137">
                    <c:v>2030-05-01</c:v>
                  </c:pt>
                  <c:pt idx="138">
                    <c:v>2030-06-01</c:v>
                  </c:pt>
                  <c:pt idx="139">
                    <c:v>2030-07-01</c:v>
                  </c:pt>
                  <c:pt idx="140">
                    <c:v>2030-08-01</c:v>
                  </c:pt>
                  <c:pt idx="141">
                    <c:v>2030-09-01</c:v>
                  </c:pt>
                  <c:pt idx="142">
                    <c:v>2030-10-01</c:v>
                  </c:pt>
                  <c:pt idx="143">
                    <c:v>2030-11-01</c:v>
                  </c:pt>
                  <c:pt idx="144">
                    <c:v>2030-12-01</c:v>
                  </c:pt>
                </c:lvl>
              </c:multiLvlStrCache>
            </c:multiLvlStrRef>
          </c:cat>
          <c:val>
            <c:numRef>
              <c:f>Overview!$N$3:$N$147</c:f>
              <c:numCache>
                <c:formatCode>_("$"* #,##0.00_);_("$"* \(#,##0.00\);_("$"* "-"??_);_(@_)</c:formatCode>
                <c:ptCount val="14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-1547.6399999999999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-192.31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-3.16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-44.14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Overview!$O$2</c:f>
              <c:strCache>
                <c:ptCount val="1"/>
                <c:pt idx="0">
                  <c:v>Gifts</c:v>
                </c:pt>
              </c:strCache>
            </c:strRef>
          </c:tx>
          <c:spPr>
            <a:ln w="28575"/>
          </c:spPr>
          <c:marker>
            <c:symbol val="none"/>
          </c:marker>
          <c:cat>
            <c:multiLvlStrRef>
              <c:f>Overview!$A$3:$B$147</c:f>
              <c:multiLvlStrCache>
                <c:ptCount val="145"/>
                <c:lvl>
                  <c:pt idx="1">
                    <c:v>January 2019</c:v>
                  </c:pt>
                  <c:pt idx="2">
                    <c:v>February 2019</c:v>
                  </c:pt>
                  <c:pt idx="3">
                    <c:v>March 2019</c:v>
                  </c:pt>
                  <c:pt idx="4">
                    <c:v>April 2019</c:v>
                  </c:pt>
                  <c:pt idx="5">
                    <c:v>May 2019</c:v>
                  </c:pt>
                  <c:pt idx="6">
                    <c:v>June 2019</c:v>
                  </c:pt>
                  <c:pt idx="7">
                    <c:v>July 2019</c:v>
                  </c:pt>
                  <c:pt idx="8">
                    <c:v>August 2019</c:v>
                  </c:pt>
                  <c:pt idx="9">
                    <c:v>September 2019</c:v>
                  </c:pt>
                  <c:pt idx="10">
                    <c:v>October 2019</c:v>
                  </c:pt>
                  <c:pt idx="11">
                    <c:v>November 2019</c:v>
                  </c:pt>
                  <c:pt idx="12">
                    <c:v>December 2019</c:v>
                  </c:pt>
                  <c:pt idx="13">
                    <c:v>January 2020</c:v>
                  </c:pt>
                  <c:pt idx="14">
                    <c:v>February 2020</c:v>
                  </c:pt>
                  <c:pt idx="15">
                    <c:v>March 2020</c:v>
                  </c:pt>
                  <c:pt idx="16">
                    <c:v>April 2020</c:v>
                  </c:pt>
                  <c:pt idx="17">
                    <c:v>May 2020</c:v>
                  </c:pt>
                  <c:pt idx="18">
                    <c:v>June 2020</c:v>
                  </c:pt>
                  <c:pt idx="19">
                    <c:v>July 2020</c:v>
                  </c:pt>
                  <c:pt idx="20">
                    <c:v>August 2020</c:v>
                  </c:pt>
                  <c:pt idx="21">
                    <c:v>September 2020</c:v>
                  </c:pt>
                  <c:pt idx="22">
                    <c:v>October 2020</c:v>
                  </c:pt>
                  <c:pt idx="23">
                    <c:v>November 2020</c:v>
                  </c:pt>
                  <c:pt idx="24">
                    <c:v>December 2020</c:v>
                  </c:pt>
                  <c:pt idx="25">
                    <c:v>January 2021</c:v>
                  </c:pt>
                  <c:pt idx="26">
                    <c:v>February 2021</c:v>
                  </c:pt>
                  <c:pt idx="27">
                    <c:v>March 2021</c:v>
                  </c:pt>
                  <c:pt idx="28">
                    <c:v>April 2021</c:v>
                  </c:pt>
                  <c:pt idx="29">
                    <c:v>May 2021</c:v>
                  </c:pt>
                  <c:pt idx="30">
                    <c:v>June 2021</c:v>
                  </c:pt>
                  <c:pt idx="31">
                    <c:v>July 2021</c:v>
                  </c:pt>
                  <c:pt idx="32">
                    <c:v>August 2021</c:v>
                  </c:pt>
                  <c:pt idx="33">
                    <c:v>September 2021</c:v>
                  </c:pt>
                  <c:pt idx="34">
                    <c:v>October 2021</c:v>
                  </c:pt>
                  <c:pt idx="35">
                    <c:v>November 2021</c:v>
                  </c:pt>
                  <c:pt idx="36">
                    <c:v>December 2021</c:v>
                  </c:pt>
                  <c:pt idx="37">
                    <c:v>January 2022</c:v>
                  </c:pt>
                  <c:pt idx="38">
                    <c:v>February 2022</c:v>
                  </c:pt>
                  <c:pt idx="39">
                    <c:v>March 2022</c:v>
                  </c:pt>
                  <c:pt idx="40">
                    <c:v>April 2022</c:v>
                  </c:pt>
                  <c:pt idx="41">
                    <c:v>May 2022</c:v>
                  </c:pt>
                  <c:pt idx="42">
                    <c:v>June 2022</c:v>
                  </c:pt>
                  <c:pt idx="43">
                    <c:v>July 2022</c:v>
                  </c:pt>
                  <c:pt idx="44">
                    <c:v>August 2022</c:v>
                  </c:pt>
                  <c:pt idx="45">
                    <c:v>September 2022</c:v>
                  </c:pt>
                  <c:pt idx="46">
                    <c:v>October 2022</c:v>
                  </c:pt>
                  <c:pt idx="47">
                    <c:v>November 2022</c:v>
                  </c:pt>
                  <c:pt idx="48">
                    <c:v>December 2022</c:v>
                  </c:pt>
                  <c:pt idx="49">
                    <c:v>January 2023</c:v>
                  </c:pt>
                  <c:pt idx="50">
                    <c:v>February 2023</c:v>
                  </c:pt>
                  <c:pt idx="51">
                    <c:v>March 2023</c:v>
                  </c:pt>
                  <c:pt idx="52">
                    <c:v>April 2023</c:v>
                  </c:pt>
                  <c:pt idx="53">
                    <c:v>May 2023</c:v>
                  </c:pt>
                  <c:pt idx="54">
                    <c:v>June 2023</c:v>
                  </c:pt>
                  <c:pt idx="55">
                    <c:v>July 2023</c:v>
                  </c:pt>
                  <c:pt idx="56">
                    <c:v>August 2023</c:v>
                  </c:pt>
                  <c:pt idx="57">
                    <c:v>September 2023</c:v>
                  </c:pt>
                  <c:pt idx="58">
                    <c:v>October 2023</c:v>
                  </c:pt>
                  <c:pt idx="59">
                    <c:v>November 2023</c:v>
                  </c:pt>
                  <c:pt idx="60">
                    <c:v>December 2023</c:v>
                  </c:pt>
                  <c:pt idx="61">
                    <c:v>January 2024</c:v>
                  </c:pt>
                  <c:pt idx="62">
                    <c:v>February 2024</c:v>
                  </c:pt>
                  <c:pt idx="63">
                    <c:v>March 2024</c:v>
                  </c:pt>
                  <c:pt idx="64">
                    <c:v>April 2024</c:v>
                  </c:pt>
                  <c:pt idx="65">
                    <c:v>May 2024</c:v>
                  </c:pt>
                  <c:pt idx="66">
                    <c:v>June 2024</c:v>
                  </c:pt>
                  <c:pt idx="67">
                    <c:v>July 2024</c:v>
                  </c:pt>
                  <c:pt idx="68">
                    <c:v>August 2024</c:v>
                  </c:pt>
                  <c:pt idx="69">
                    <c:v>September 2024</c:v>
                  </c:pt>
                  <c:pt idx="70">
                    <c:v>October 2024</c:v>
                  </c:pt>
                  <c:pt idx="71">
                    <c:v>November 2024</c:v>
                  </c:pt>
                  <c:pt idx="72">
                    <c:v>December 2024</c:v>
                  </c:pt>
                  <c:pt idx="73">
                    <c:v>January 2025</c:v>
                  </c:pt>
                  <c:pt idx="74">
                    <c:v>February 2025</c:v>
                  </c:pt>
                  <c:pt idx="75">
                    <c:v>March 2025</c:v>
                  </c:pt>
                  <c:pt idx="76">
                    <c:v>April 2025</c:v>
                  </c:pt>
                  <c:pt idx="77">
                    <c:v>May 2025</c:v>
                  </c:pt>
                  <c:pt idx="78">
                    <c:v>June 2025</c:v>
                  </c:pt>
                  <c:pt idx="79">
                    <c:v>July 2025</c:v>
                  </c:pt>
                  <c:pt idx="80">
                    <c:v>August 2025</c:v>
                  </c:pt>
                  <c:pt idx="81">
                    <c:v>September 2025</c:v>
                  </c:pt>
                  <c:pt idx="82">
                    <c:v>October 2025</c:v>
                  </c:pt>
                  <c:pt idx="83">
                    <c:v>November 2025</c:v>
                  </c:pt>
                  <c:pt idx="84">
                    <c:v>December 2025</c:v>
                  </c:pt>
                  <c:pt idx="85">
                    <c:v>January 2026</c:v>
                  </c:pt>
                  <c:pt idx="86">
                    <c:v>February 2026</c:v>
                  </c:pt>
                  <c:pt idx="87">
                    <c:v>March 2026</c:v>
                  </c:pt>
                  <c:pt idx="88">
                    <c:v>April 2026</c:v>
                  </c:pt>
                  <c:pt idx="89">
                    <c:v>May 2026</c:v>
                  </c:pt>
                  <c:pt idx="90">
                    <c:v>June 2026</c:v>
                  </c:pt>
                  <c:pt idx="91">
                    <c:v>July 2026</c:v>
                  </c:pt>
                  <c:pt idx="92">
                    <c:v>August 2026</c:v>
                  </c:pt>
                  <c:pt idx="93">
                    <c:v>September 2026</c:v>
                  </c:pt>
                  <c:pt idx="94">
                    <c:v>October 2026</c:v>
                  </c:pt>
                  <c:pt idx="95">
                    <c:v>November 2026</c:v>
                  </c:pt>
                  <c:pt idx="96">
                    <c:v>December 2026</c:v>
                  </c:pt>
                  <c:pt idx="97">
                    <c:v>January 2027</c:v>
                  </c:pt>
                  <c:pt idx="98">
                    <c:v>February 2027</c:v>
                  </c:pt>
                  <c:pt idx="99">
                    <c:v>March 2027</c:v>
                  </c:pt>
                  <c:pt idx="100">
                    <c:v>April 2027</c:v>
                  </c:pt>
                  <c:pt idx="101">
                    <c:v>May 2027</c:v>
                  </c:pt>
                  <c:pt idx="102">
                    <c:v>June 2027</c:v>
                  </c:pt>
                  <c:pt idx="103">
                    <c:v>July 2027</c:v>
                  </c:pt>
                  <c:pt idx="104">
                    <c:v>August 2027</c:v>
                  </c:pt>
                  <c:pt idx="105">
                    <c:v>September 2027</c:v>
                  </c:pt>
                  <c:pt idx="106">
                    <c:v>October 2027</c:v>
                  </c:pt>
                  <c:pt idx="107">
                    <c:v>November 2027</c:v>
                  </c:pt>
                  <c:pt idx="108">
                    <c:v>December 2027</c:v>
                  </c:pt>
                  <c:pt idx="109">
                    <c:v>January 2028</c:v>
                  </c:pt>
                  <c:pt idx="110">
                    <c:v>February 2028</c:v>
                  </c:pt>
                  <c:pt idx="111">
                    <c:v>March 2028</c:v>
                  </c:pt>
                  <c:pt idx="112">
                    <c:v>April 2028</c:v>
                  </c:pt>
                  <c:pt idx="113">
                    <c:v>May 2028</c:v>
                  </c:pt>
                  <c:pt idx="114">
                    <c:v>June 2028</c:v>
                  </c:pt>
                  <c:pt idx="115">
                    <c:v>July 2028</c:v>
                  </c:pt>
                  <c:pt idx="116">
                    <c:v>August 2028</c:v>
                  </c:pt>
                  <c:pt idx="117">
                    <c:v>September 2028</c:v>
                  </c:pt>
                  <c:pt idx="118">
                    <c:v>October 2028</c:v>
                  </c:pt>
                  <c:pt idx="119">
                    <c:v>November 2028</c:v>
                  </c:pt>
                  <c:pt idx="120">
                    <c:v>December 2028</c:v>
                  </c:pt>
                  <c:pt idx="121">
                    <c:v>January 2029</c:v>
                  </c:pt>
                  <c:pt idx="122">
                    <c:v>February 2029</c:v>
                  </c:pt>
                  <c:pt idx="123">
                    <c:v>March 2029</c:v>
                  </c:pt>
                  <c:pt idx="124">
                    <c:v>April 2029</c:v>
                  </c:pt>
                  <c:pt idx="125">
                    <c:v>May 2029</c:v>
                  </c:pt>
                  <c:pt idx="126">
                    <c:v>June 2029</c:v>
                  </c:pt>
                  <c:pt idx="127">
                    <c:v>July 2029</c:v>
                  </c:pt>
                  <c:pt idx="128">
                    <c:v>August 2029</c:v>
                  </c:pt>
                  <c:pt idx="129">
                    <c:v>September 2029</c:v>
                  </c:pt>
                  <c:pt idx="130">
                    <c:v>October 2029</c:v>
                  </c:pt>
                  <c:pt idx="131">
                    <c:v>November 2029</c:v>
                  </c:pt>
                  <c:pt idx="132">
                    <c:v>December 2029</c:v>
                  </c:pt>
                  <c:pt idx="133">
                    <c:v>January 2030</c:v>
                  </c:pt>
                  <c:pt idx="134">
                    <c:v>February 2030</c:v>
                  </c:pt>
                  <c:pt idx="135">
                    <c:v>March 2030</c:v>
                  </c:pt>
                  <c:pt idx="136">
                    <c:v>April 2030</c:v>
                  </c:pt>
                  <c:pt idx="137">
                    <c:v>May 2030</c:v>
                  </c:pt>
                  <c:pt idx="138">
                    <c:v>June 2030</c:v>
                  </c:pt>
                  <c:pt idx="139">
                    <c:v>July 2030</c:v>
                  </c:pt>
                  <c:pt idx="140">
                    <c:v>August 2030</c:v>
                  </c:pt>
                  <c:pt idx="141">
                    <c:v>September 2030</c:v>
                  </c:pt>
                  <c:pt idx="142">
                    <c:v>October 2030</c:v>
                  </c:pt>
                  <c:pt idx="143">
                    <c:v>November 2030</c:v>
                  </c:pt>
                  <c:pt idx="144">
                    <c:v>December 2030</c:v>
                  </c:pt>
                </c:lvl>
                <c:lvl>
                  <c:pt idx="1">
                    <c:v>2019-01-01</c:v>
                  </c:pt>
                  <c:pt idx="2">
                    <c:v>2019-02-01</c:v>
                  </c:pt>
                  <c:pt idx="3">
                    <c:v>2019-03-01</c:v>
                  </c:pt>
                  <c:pt idx="4">
                    <c:v>2019-04-01</c:v>
                  </c:pt>
                  <c:pt idx="5">
                    <c:v>2019-05-01</c:v>
                  </c:pt>
                  <c:pt idx="6">
                    <c:v>2019-06-01</c:v>
                  </c:pt>
                  <c:pt idx="7">
                    <c:v>2019-07-01</c:v>
                  </c:pt>
                  <c:pt idx="8">
                    <c:v>2019-08-01</c:v>
                  </c:pt>
                  <c:pt idx="9">
                    <c:v>2019-09-01</c:v>
                  </c:pt>
                  <c:pt idx="10">
                    <c:v>2019-10-01</c:v>
                  </c:pt>
                  <c:pt idx="11">
                    <c:v>2019-11-01</c:v>
                  </c:pt>
                  <c:pt idx="12">
                    <c:v>2019-12-01</c:v>
                  </c:pt>
                  <c:pt idx="13">
                    <c:v>2020-01-01</c:v>
                  </c:pt>
                  <c:pt idx="14">
                    <c:v>2020-02-01</c:v>
                  </c:pt>
                  <c:pt idx="15">
                    <c:v>2020-03-01</c:v>
                  </c:pt>
                  <c:pt idx="16">
                    <c:v>2020-04-01</c:v>
                  </c:pt>
                  <c:pt idx="17">
                    <c:v>2020-05-01</c:v>
                  </c:pt>
                  <c:pt idx="18">
                    <c:v>2020-06-01</c:v>
                  </c:pt>
                  <c:pt idx="19">
                    <c:v>2020-07-01</c:v>
                  </c:pt>
                  <c:pt idx="20">
                    <c:v>2020-08-01</c:v>
                  </c:pt>
                  <c:pt idx="21">
                    <c:v>2020-09-01</c:v>
                  </c:pt>
                  <c:pt idx="22">
                    <c:v>2020-10-01</c:v>
                  </c:pt>
                  <c:pt idx="23">
                    <c:v>2020-11-01</c:v>
                  </c:pt>
                  <c:pt idx="24">
                    <c:v>2020-12-01</c:v>
                  </c:pt>
                  <c:pt idx="25">
                    <c:v>2021-01-01</c:v>
                  </c:pt>
                  <c:pt idx="26">
                    <c:v>2021-02-01</c:v>
                  </c:pt>
                  <c:pt idx="27">
                    <c:v>2021-03-01</c:v>
                  </c:pt>
                  <c:pt idx="28">
                    <c:v>2021-04-01</c:v>
                  </c:pt>
                  <c:pt idx="29">
                    <c:v>2021-05-01</c:v>
                  </c:pt>
                  <c:pt idx="30">
                    <c:v>2021-06-01</c:v>
                  </c:pt>
                  <c:pt idx="31">
                    <c:v>2021-07-01</c:v>
                  </c:pt>
                  <c:pt idx="32">
                    <c:v>2021-08-01</c:v>
                  </c:pt>
                  <c:pt idx="33">
                    <c:v>2021-09-01</c:v>
                  </c:pt>
                  <c:pt idx="34">
                    <c:v>2021-10-01</c:v>
                  </c:pt>
                  <c:pt idx="35">
                    <c:v>2021-11-01</c:v>
                  </c:pt>
                  <c:pt idx="36">
                    <c:v>2021-12-01</c:v>
                  </c:pt>
                  <c:pt idx="37">
                    <c:v>2022-01-01</c:v>
                  </c:pt>
                  <c:pt idx="38">
                    <c:v>2022-02-01</c:v>
                  </c:pt>
                  <c:pt idx="39">
                    <c:v>2022-03-01</c:v>
                  </c:pt>
                  <c:pt idx="40">
                    <c:v>2022-04-01</c:v>
                  </c:pt>
                  <c:pt idx="41">
                    <c:v>2022-05-01</c:v>
                  </c:pt>
                  <c:pt idx="42">
                    <c:v>2022-06-01</c:v>
                  </c:pt>
                  <c:pt idx="43">
                    <c:v>2022-07-01</c:v>
                  </c:pt>
                  <c:pt idx="44">
                    <c:v>2022-08-01</c:v>
                  </c:pt>
                  <c:pt idx="45">
                    <c:v>2022-09-01</c:v>
                  </c:pt>
                  <c:pt idx="46">
                    <c:v>2022-10-01</c:v>
                  </c:pt>
                  <c:pt idx="47">
                    <c:v>2022-11-01</c:v>
                  </c:pt>
                  <c:pt idx="48">
                    <c:v>2022-12-01</c:v>
                  </c:pt>
                  <c:pt idx="49">
                    <c:v>2023-01-01</c:v>
                  </c:pt>
                  <c:pt idx="50">
                    <c:v>2023-02-01</c:v>
                  </c:pt>
                  <c:pt idx="51">
                    <c:v>2023-03-01</c:v>
                  </c:pt>
                  <c:pt idx="52">
                    <c:v>2023-04-01</c:v>
                  </c:pt>
                  <c:pt idx="53">
                    <c:v>2023-05-01</c:v>
                  </c:pt>
                  <c:pt idx="54">
                    <c:v>2023-06-01</c:v>
                  </c:pt>
                  <c:pt idx="55">
                    <c:v>2023-07-01</c:v>
                  </c:pt>
                  <c:pt idx="56">
                    <c:v>2023-08-01</c:v>
                  </c:pt>
                  <c:pt idx="57">
                    <c:v>2023-09-01</c:v>
                  </c:pt>
                  <c:pt idx="58">
                    <c:v>2023-10-01</c:v>
                  </c:pt>
                  <c:pt idx="59">
                    <c:v>2023-11-01</c:v>
                  </c:pt>
                  <c:pt idx="60">
                    <c:v>2023-12-01</c:v>
                  </c:pt>
                  <c:pt idx="61">
                    <c:v>2024-01-01</c:v>
                  </c:pt>
                  <c:pt idx="62">
                    <c:v>2024-02-01</c:v>
                  </c:pt>
                  <c:pt idx="63">
                    <c:v>2024-03-01</c:v>
                  </c:pt>
                  <c:pt idx="64">
                    <c:v>2024-04-01</c:v>
                  </c:pt>
                  <c:pt idx="65">
                    <c:v>2024-05-01</c:v>
                  </c:pt>
                  <c:pt idx="66">
                    <c:v>2024-06-01</c:v>
                  </c:pt>
                  <c:pt idx="67">
                    <c:v>2024-07-01</c:v>
                  </c:pt>
                  <c:pt idx="68">
                    <c:v>2024-08-01</c:v>
                  </c:pt>
                  <c:pt idx="69">
                    <c:v>2024-09-01</c:v>
                  </c:pt>
                  <c:pt idx="70">
                    <c:v>2024-10-01</c:v>
                  </c:pt>
                  <c:pt idx="71">
                    <c:v>2024-11-01</c:v>
                  </c:pt>
                  <c:pt idx="72">
                    <c:v>2024-12-01</c:v>
                  </c:pt>
                  <c:pt idx="73">
                    <c:v>2025-01-01</c:v>
                  </c:pt>
                  <c:pt idx="74">
                    <c:v>2025-02-01</c:v>
                  </c:pt>
                  <c:pt idx="75">
                    <c:v>2025-03-01</c:v>
                  </c:pt>
                  <c:pt idx="76">
                    <c:v>2025-04-01</c:v>
                  </c:pt>
                  <c:pt idx="77">
                    <c:v>2025-05-01</c:v>
                  </c:pt>
                  <c:pt idx="78">
                    <c:v>2025-06-01</c:v>
                  </c:pt>
                  <c:pt idx="79">
                    <c:v>2025-07-01</c:v>
                  </c:pt>
                  <c:pt idx="80">
                    <c:v>2025-08-01</c:v>
                  </c:pt>
                  <c:pt idx="81">
                    <c:v>2025-09-01</c:v>
                  </c:pt>
                  <c:pt idx="82">
                    <c:v>2025-10-01</c:v>
                  </c:pt>
                  <c:pt idx="83">
                    <c:v>2025-11-01</c:v>
                  </c:pt>
                  <c:pt idx="84">
                    <c:v>2025-12-01</c:v>
                  </c:pt>
                  <c:pt idx="85">
                    <c:v>2026-01-01</c:v>
                  </c:pt>
                  <c:pt idx="86">
                    <c:v>2026-02-01</c:v>
                  </c:pt>
                  <c:pt idx="87">
                    <c:v>2026-03-01</c:v>
                  </c:pt>
                  <c:pt idx="88">
                    <c:v>2026-04-01</c:v>
                  </c:pt>
                  <c:pt idx="89">
                    <c:v>2026-05-01</c:v>
                  </c:pt>
                  <c:pt idx="90">
                    <c:v>2026-06-01</c:v>
                  </c:pt>
                  <c:pt idx="91">
                    <c:v>2026-07-01</c:v>
                  </c:pt>
                  <c:pt idx="92">
                    <c:v>2026-08-01</c:v>
                  </c:pt>
                  <c:pt idx="93">
                    <c:v>2026-09-01</c:v>
                  </c:pt>
                  <c:pt idx="94">
                    <c:v>2026-10-01</c:v>
                  </c:pt>
                  <c:pt idx="95">
                    <c:v>2026-11-01</c:v>
                  </c:pt>
                  <c:pt idx="96">
                    <c:v>2026-12-01</c:v>
                  </c:pt>
                  <c:pt idx="97">
                    <c:v>2027-01-01</c:v>
                  </c:pt>
                  <c:pt idx="98">
                    <c:v>2027-02-01</c:v>
                  </c:pt>
                  <c:pt idx="99">
                    <c:v>2027-03-01</c:v>
                  </c:pt>
                  <c:pt idx="100">
                    <c:v>2027-04-01</c:v>
                  </c:pt>
                  <c:pt idx="101">
                    <c:v>2027-05-01</c:v>
                  </c:pt>
                  <c:pt idx="102">
                    <c:v>2027-06-01</c:v>
                  </c:pt>
                  <c:pt idx="103">
                    <c:v>2027-07-01</c:v>
                  </c:pt>
                  <c:pt idx="104">
                    <c:v>2027-08-01</c:v>
                  </c:pt>
                  <c:pt idx="105">
                    <c:v>2027-09-01</c:v>
                  </c:pt>
                  <c:pt idx="106">
                    <c:v>2027-10-01</c:v>
                  </c:pt>
                  <c:pt idx="107">
                    <c:v>2027-11-01</c:v>
                  </c:pt>
                  <c:pt idx="108">
                    <c:v>2027-12-01</c:v>
                  </c:pt>
                  <c:pt idx="109">
                    <c:v>2028-01-01</c:v>
                  </c:pt>
                  <c:pt idx="110">
                    <c:v>2028-02-01</c:v>
                  </c:pt>
                  <c:pt idx="111">
                    <c:v>2028-03-01</c:v>
                  </c:pt>
                  <c:pt idx="112">
                    <c:v>2028-04-01</c:v>
                  </c:pt>
                  <c:pt idx="113">
                    <c:v>2028-05-01</c:v>
                  </c:pt>
                  <c:pt idx="114">
                    <c:v>2028-06-01</c:v>
                  </c:pt>
                  <c:pt idx="115">
                    <c:v>2028-07-01</c:v>
                  </c:pt>
                  <c:pt idx="116">
                    <c:v>2028-08-01</c:v>
                  </c:pt>
                  <c:pt idx="117">
                    <c:v>2028-09-01</c:v>
                  </c:pt>
                  <c:pt idx="118">
                    <c:v>2028-10-01</c:v>
                  </c:pt>
                  <c:pt idx="119">
                    <c:v>2028-11-01</c:v>
                  </c:pt>
                  <c:pt idx="120">
                    <c:v>2028-12-01</c:v>
                  </c:pt>
                  <c:pt idx="121">
                    <c:v>2029-01-01</c:v>
                  </c:pt>
                  <c:pt idx="122">
                    <c:v>2029-02-01</c:v>
                  </c:pt>
                  <c:pt idx="123">
                    <c:v>2029-03-01</c:v>
                  </c:pt>
                  <c:pt idx="124">
                    <c:v>2029-04-01</c:v>
                  </c:pt>
                  <c:pt idx="125">
                    <c:v>2029-05-01</c:v>
                  </c:pt>
                  <c:pt idx="126">
                    <c:v>2029-06-01</c:v>
                  </c:pt>
                  <c:pt idx="127">
                    <c:v>2029-07-01</c:v>
                  </c:pt>
                  <c:pt idx="128">
                    <c:v>2029-08-01</c:v>
                  </c:pt>
                  <c:pt idx="129">
                    <c:v>2029-09-01</c:v>
                  </c:pt>
                  <c:pt idx="130">
                    <c:v>2029-10-01</c:v>
                  </c:pt>
                  <c:pt idx="131">
                    <c:v>2029-11-01</c:v>
                  </c:pt>
                  <c:pt idx="132">
                    <c:v>2029-12-01</c:v>
                  </c:pt>
                  <c:pt idx="133">
                    <c:v>2030-01-01</c:v>
                  </c:pt>
                  <c:pt idx="134">
                    <c:v>2030-02-01</c:v>
                  </c:pt>
                  <c:pt idx="135">
                    <c:v>2030-03-01</c:v>
                  </c:pt>
                  <c:pt idx="136">
                    <c:v>2030-04-01</c:v>
                  </c:pt>
                  <c:pt idx="137">
                    <c:v>2030-05-01</c:v>
                  </c:pt>
                  <c:pt idx="138">
                    <c:v>2030-06-01</c:v>
                  </c:pt>
                  <c:pt idx="139">
                    <c:v>2030-07-01</c:v>
                  </c:pt>
                  <c:pt idx="140">
                    <c:v>2030-08-01</c:v>
                  </c:pt>
                  <c:pt idx="141">
                    <c:v>2030-09-01</c:v>
                  </c:pt>
                  <c:pt idx="142">
                    <c:v>2030-10-01</c:v>
                  </c:pt>
                  <c:pt idx="143">
                    <c:v>2030-11-01</c:v>
                  </c:pt>
                  <c:pt idx="144">
                    <c:v>2030-12-01</c:v>
                  </c:pt>
                </c:lvl>
              </c:multiLvlStrCache>
            </c:multiLvlStrRef>
          </c:cat>
          <c:val>
            <c:numRef>
              <c:f>Overview!$O$3:$O$147</c:f>
              <c:numCache>
                <c:formatCode>_("$"* #,##0.00_);_("$"* \(#,##0.00\);_("$"* "-"??_);_(@_)</c:formatCode>
                <c:ptCount val="14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-13.189999999999998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-36.75</c:v>
                </c:pt>
                <c:pt idx="34">
                  <c:v>0</c:v>
                </c:pt>
                <c:pt idx="35">
                  <c:v>-31.5</c:v>
                </c:pt>
                <c:pt idx="36">
                  <c:v>-74.529999999999987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-109.15</c:v>
                </c:pt>
                <c:pt idx="48">
                  <c:v>-34.96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-32.589999999999996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Overview!$P$2</c:f>
              <c:strCache>
                <c:ptCount val="1"/>
                <c:pt idx="0">
                  <c:v>#N/A</c:v>
                </c:pt>
              </c:strCache>
            </c:strRef>
          </c:tx>
          <c:marker>
            <c:symbol val="none"/>
          </c:marker>
          <c:cat>
            <c:multiLvlStrRef>
              <c:f>Overview!$A$3:$B$147</c:f>
              <c:multiLvlStrCache>
                <c:ptCount val="145"/>
                <c:lvl>
                  <c:pt idx="1">
                    <c:v>January 2019</c:v>
                  </c:pt>
                  <c:pt idx="2">
                    <c:v>February 2019</c:v>
                  </c:pt>
                  <c:pt idx="3">
                    <c:v>March 2019</c:v>
                  </c:pt>
                  <c:pt idx="4">
                    <c:v>April 2019</c:v>
                  </c:pt>
                  <c:pt idx="5">
                    <c:v>May 2019</c:v>
                  </c:pt>
                  <c:pt idx="6">
                    <c:v>June 2019</c:v>
                  </c:pt>
                  <c:pt idx="7">
                    <c:v>July 2019</c:v>
                  </c:pt>
                  <c:pt idx="8">
                    <c:v>August 2019</c:v>
                  </c:pt>
                  <c:pt idx="9">
                    <c:v>September 2019</c:v>
                  </c:pt>
                  <c:pt idx="10">
                    <c:v>October 2019</c:v>
                  </c:pt>
                  <c:pt idx="11">
                    <c:v>November 2019</c:v>
                  </c:pt>
                  <c:pt idx="12">
                    <c:v>December 2019</c:v>
                  </c:pt>
                  <c:pt idx="13">
                    <c:v>January 2020</c:v>
                  </c:pt>
                  <c:pt idx="14">
                    <c:v>February 2020</c:v>
                  </c:pt>
                  <c:pt idx="15">
                    <c:v>March 2020</c:v>
                  </c:pt>
                  <c:pt idx="16">
                    <c:v>April 2020</c:v>
                  </c:pt>
                  <c:pt idx="17">
                    <c:v>May 2020</c:v>
                  </c:pt>
                  <c:pt idx="18">
                    <c:v>June 2020</c:v>
                  </c:pt>
                  <c:pt idx="19">
                    <c:v>July 2020</c:v>
                  </c:pt>
                  <c:pt idx="20">
                    <c:v>August 2020</c:v>
                  </c:pt>
                  <c:pt idx="21">
                    <c:v>September 2020</c:v>
                  </c:pt>
                  <c:pt idx="22">
                    <c:v>October 2020</c:v>
                  </c:pt>
                  <c:pt idx="23">
                    <c:v>November 2020</c:v>
                  </c:pt>
                  <c:pt idx="24">
                    <c:v>December 2020</c:v>
                  </c:pt>
                  <c:pt idx="25">
                    <c:v>January 2021</c:v>
                  </c:pt>
                  <c:pt idx="26">
                    <c:v>February 2021</c:v>
                  </c:pt>
                  <c:pt idx="27">
                    <c:v>March 2021</c:v>
                  </c:pt>
                  <c:pt idx="28">
                    <c:v>April 2021</c:v>
                  </c:pt>
                  <c:pt idx="29">
                    <c:v>May 2021</c:v>
                  </c:pt>
                  <c:pt idx="30">
                    <c:v>June 2021</c:v>
                  </c:pt>
                  <c:pt idx="31">
                    <c:v>July 2021</c:v>
                  </c:pt>
                  <c:pt idx="32">
                    <c:v>August 2021</c:v>
                  </c:pt>
                  <c:pt idx="33">
                    <c:v>September 2021</c:v>
                  </c:pt>
                  <c:pt idx="34">
                    <c:v>October 2021</c:v>
                  </c:pt>
                  <c:pt idx="35">
                    <c:v>November 2021</c:v>
                  </c:pt>
                  <c:pt idx="36">
                    <c:v>December 2021</c:v>
                  </c:pt>
                  <c:pt idx="37">
                    <c:v>January 2022</c:v>
                  </c:pt>
                  <c:pt idx="38">
                    <c:v>February 2022</c:v>
                  </c:pt>
                  <c:pt idx="39">
                    <c:v>March 2022</c:v>
                  </c:pt>
                  <c:pt idx="40">
                    <c:v>April 2022</c:v>
                  </c:pt>
                  <c:pt idx="41">
                    <c:v>May 2022</c:v>
                  </c:pt>
                  <c:pt idx="42">
                    <c:v>June 2022</c:v>
                  </c:pt>
                  <c:pt idx="43">
                    <c:v>July 2022</c:v>
                  </c:pt>
                  <c:pt idx="44">
                    <c:v>August 2022</c:v>
                  </c:pt>
                  <c:pt idx="45">
                    <c:v>September 2022</c:v>
                  </c:pt>
                  <c:pt idx="46">
                    <c:v>October 2022</c:v>
                  </c:pt>
                  <c:pt idx="47">
                    <c:v>November 2022</c:v>
                  </c:pt>
                  <c:pt idx="48">
                    <c:v>December 2022</c:v>
                  </c:pt>
                  <c:pt idx="49">
                    <c:v>January 2023</c:v>
                  </c:pt>
                  <c:pt idx="50">
                    <c:v>February 2023</c:v>
                  </c:pt>
                  <c:pt idx="51">
                    <c:v>March 2023</c:v>
                  </c:pt>
                  <c:pt idx="52">
                    <c:v>April 2023</c:v>
                  </c:pt>
                  <c:pt idx="53">
                    <c:v>May 2023</c:v>
                  </c:pt>
                  <c:pt idx="54">
                    <c:v>June 2023</c:v>
                  </c:pt>
                  <c:pt idx="55">
                    <c:v>July 2023</c:v>
                  </c:pt>
                  <c:pt idx="56">
                    <c:v>August 2023</c:v>
                  </c:pt>
                  <c:pt idx="57">
                    <c:v>September 2023</c:v>
                  </c:pt>
                  <c:pt idx="58">
                    <c:v>October 2023</c:v>
                  </c:pt>
                  <c:pt idx="59">
                    <c:v>November 2023</c:v>
                  </c:pt>
                  <c:pt idx="60">
                    <c:v>December 2023</c:v>
                  </c:pt>
                  <c:pt idx="61">
                    <c:v>January 2024</c:v>
                  </c:pt>
                  <c:pt idx="62">
                    <c:v>February 2024</c:v>
                  </c:pt>
                  <c:pt idx="63">
                    <c:v>March 2024</c:v>
                  </c:pt>
                  <c:pt idx="64">
                    <c:v>April 2024</c:v>
                  </c:pt>
                  <c:pt idx="65">
                    <c:v>May 2024</c:v>
                  </c:pt>
                  <c:pt idx="66">
                    <c:v>June 2024</c:v>
                  </c:pt>
                  <c:pt idx="67">
                    <c:v>July 2024</c:v>
                  </c:pt>
                  <c:pt idx="68">
                    <c:v>August 2024</c:v>
                  </c:pt>
                  <c:pt idx="69">
                    <c:v>September 2024</c:v>
                  </c:pt>
                  <c:pt idx="70">
                    <c:v>October 2024</c:v>
                  </c:pt>
                  <c:pt idx="71">
                    <c:v>November 2024</c:v>
                  </c:pt>
                  <c:pt idx="72">
                    <c:v>December 2024</c:v>
                  </c:pt>
                  <c:pt idx="73">
                    <c:v>January 2025</c:v>
                  </c:pt>
                  <c:pt idx="74">
                    <c:v>February 2025</c:v>
                  </c:pt>
                  <c:pt idx="75">
                    <c:v>March 2025</c:v>
                  </c:pt>
                  <c:pt idx="76">
                    <c:v>April 2025</c:v>
                  </c:pt>
                  <c:pt idx="77">
                    <c:v>May 2025</c:v>
                  </c:pt>
                  <c:pt idx="78">
                    <c:v>June 2025</c:v>
                  </c:pt>
                  <c:pt idx="79">
                    <c:v>July 2025</c:v>
                  </c:pt>
                  <c:pt idx="80">
                    <c:v>August 2025</c:v>
                  </c:pt>
                  <c:pt idx="81">
                    <c:v>September 2025</c:v>
                  </c:pt>
                  <c:pt idx="82">
                    <c:v>October 2025</c:v>
                  </c:pt>
                  <c:pt idx="83">
                    <c:v>November 2025</c:v>
                  </c:pt>
                  <c:pt idx="84">
                    <c:v>December 2025</c:v>
                  </c:pt>
                  <c:pt idx="85">
                    <c:v>January 2026</c:v>
                  </c:pt>
                  <c:pt idx="86">
                    <c:v>February 2026</c:v>
                  </c:pt>
                  <c:pt idx="87">
                    <c:v>March 2026</c:v>
                  </c:pt>
                  <c:pt idx="88">
                    <c:v>April 2026</c:v>
                  </c:pt>
                  <c:pt idx="89">
                    <c:v>May 2026</c:v>
                  </c:pt>
                  <c:pt idx="90">
                    <c:v>June 2026</c:v>
                  </c:pt>
                  <c:pt idx="91">
                    <c:v>July 2026</c:v>
                  </c:pt>
                  <c:pt idx="92">
                    <c:v>August 2026</c:v>
                  </c:pt>
                  <c:pt idx="93">
                    <c:v>September 2026</c:v>
                  </c:pt>
                  <c:pt idx="94">
                    <c:v>October 2026</c:v>
                  </c:pt>
                  <c:pt idx="95">
                    <c:v>November 2026</c:v>
                  </c:pt>
                  <c:pt idx="96">
                    <c:v>December 2026</c:v>
                  </c:pt>
                  <c:pt idx="97">
                    <c:v>January 2027</c:v>
                  </c:pt>
                  <c:pt idx="98">
                    <c:v>February 2027</c:v>
                  </c:pt>
                  <c:pt idx="99">
                    <c:v>March 2027</c:v>
                  </c:pt>
                  <c:pt idx="100">
                    <c:v>April 2027</c:v>
                  </c:pt>
                  <c:pt idx="101">
                    <c:v>May 2027</c:v>
                  </c:pt>
                  <c:pt idx="102">
                    <c:v>June 2027</c:v>
                  </c:pt>
                  <c:pt idx="103">
                    <c:v>July 2027</c:v>
                  </c:pt>
                  <c:pt idx="104">
                    <c:v>August 2027</c:v>
                  </c:pt>
                  <c:pt idx="105">
                    <c:v>September 2027</c:v>
                  </c:pt>
                  <c:pt idx="106">
                    <c:v>October 2027</c:v>
                  </c:pt>
                  <c:pt idx="107">
                    <c:v>November 2027</c:v>
                  </c:pt>
                  <c:pt idx="108">
                    <c:v>December 2027</c:v>
                  </c:pt>
                  <c:pt idx="109">
                    <c:v>January 2028</c:v>
                  </c:pt>
                  <c:pt idx="110">
                    <c:v>February 2028</c:v>
                  </c:pt>
                  <c:pt idx="111">
                    <c:v>March 2028</c:v>
                  </c:pt>
                  <c:pt idx="112">
                    <c:v>April 2028</c:v>
                  </c:pt>
                  <c:pt idx="113">
                    <c:v>May 2028</c:v>
                  </c:pt>
                  <c:pt idx="114">
                    <c:v>June 2028</c:v>
                  </c:pt>
                  <c:pt idx="115">
                    <c:v>July 2028</c:v>
                  </c:pt>
                  <c:pt idx="116">
                    <c:v>August 2028</c:v>
                  </c:pt>
                  <c:pt idx="117">
                    <c:v>September 2028</c:v>
                  </c:pt>
                  <c:pt idx="118">
                    <c:v>October 2028</c:v>
                  </c:pt>
                  <c:pt idx="119">
                    <c:v>November 2028</c:v>
                  </c:pt>
                  <c:pt idx="120">
                    <c:v>December 2028</c:v>
                  </c:pt>
                  <c:pt idx="121">
                    <c:v>January 2029</c:v>
                  </c:pt>
                  <c:pt idx="122">
                    <c:v>February 2029</c:v>
                  </c:pt>
                  <c:pt idx="123">
                    <c:v>March 2029</c:v>
                  </c:pt>
                  <c:pt idx="124">
                    <c:v>April 2029</c:v>
                  </c:pt>
                  <c:pt idx="125">
                    <c:v>May 2029</c:v>
                  </c:pt>
                  <c:pt idx="126">
                    <c:v>June 2029</c:v>
                  </c:pt>
                  <c:pt idx="127">
                    <c:v>July 2029</c:v>
                  </c:pt>
                  <c:pt idx="128">
                    <c:v>August 2029</c:v>
                  </c:pt>
                  <c:pt idx="129">
                    <c:v>September 2029</c:v>
                  </c:pt>
                  <c:pt idx="130">
                    <c:v>October 2029</c:v>
                  </c:pt>
                  <c:pt idx="131">
                    <c:v>November 2029</c:v>
                  </c:pt>
                  <c:pt idx="132">
                    <c:v>December 2029</c:v>
                  </c:pt>
                  <c:pt idx="133">
                    <c:v>January 2030</c:v>
                  </c:pt>
                  <c:pt idx="134">
                    <c:v>February 2030</c:v>
                  </c:pt>
                  <c:pt idx="135">
                    <c:v>March 2030</c:v>
                  </c:pt>
                  <c:pt idx="136">
                    <c:v>April 2030</c:v>
                  </c:pt>
                  <c:pt idx="137">
                    <c:v>May 2030</c:v>
                  </c:pt>
                  <c:pt idx="138">
                    <c:v>June 2030</c:v>
                  </c:pt>
                  <c:pt idx="139">
                    <c:v>July 2030</c:v>
                  </c:pt>
                  <c:pt idx="140">
                    <c:v>August 2030</c:v>
                  </c:pt>
                  <c:pt idx="141">
                    <c:v>September 2030</c:v>
                  </c:pt>
                  <c:pt idx="142">
                    <c:v>October 2030</c:v>
                  </c:pt>
                  <c:pt idx="143">
                    <c:v>November 2030</c:v>
                  </c:pt>
                  <c:pt idx="144">
                    <c:v>December 2030</c:v>
                  </c:pt>
                </c:lvl>
                <c:lvl>
                  <c:pt idx="1">
                    <c:v>2019-01-01</c:v>
                  </c:pt>
                  <c:pt idx="2">
                    <c:v>2019-02-01</c:v>
                  </c:pt>
                  <c:pt idx="3">
                    <c:v>2019-03-01</c:v>
                  </c:pt>
                  <c:pt idx="4">
                    <c:v>2019-04-01</c:v>
                  </c:pt>
                  <c:pt idx="5">
                    <c:v>2019-05-01</c:v>
                  </c:pt>
                  <c:pt idx="6">
                    <c:v>2019-06-01</c:v>
                  </c:pt>
                  <c:pt idx="7">
                    <c:v>2019-07-01</c:v>
                  </c:pt>
                  <c:pt idx="8">
                    <c:v>2019-08-01</c:v>
                  </c:pt>
                  <c:pt idx="9">
                    <c:v>2019-09-01</c:v>
                  </c:pt>
                  <c:pt idx="10">
                    <c:v>2019-10-01</c:v>
                  </c:pt>
                  <c:pt idx="11">
                    <c:v>2019-11-01</c:v>
                  </c:pt>
                  <c:pt idx="12">
                    <c:v>2019-12-01</c:v>
                  </c:pt>
                  <c:pt idx="13">
                    <c:v>2020-01-01</c:v>
                  </c:pt>
                  <c:pt idx="14">
                    <c:v>2020-02-01</c:v>
                  </c:pt>
                  <c:pt idx="15">
                    <c:v>2020-03-01</c:v>
                  </c:pt>
                  <c:pt idx="16">
                    <c:v>2020-04-01</c:v>
                  </c:pt>
                  <c:pt idx="17">
                    <c:v>2020-05-01</c:v>
                  </c:pt>
                  <c:pt idx="18">
                    <c:v>2020-06-01</c:v>
                  </c:pt>
                  <c:pt idx="19">
                    <c:v>2020-07-01</c:v>
                  </c:pt>
                  <c:pt idx="20">
                    <c:v>2020-08-01</c:v>
                  </c:pt>
                  <c:pt idx="21">
                    <c:v>2020-09-01</c:v>
                  </c:pt>
                  <c:pt idx="22">
                    <c:v>2020-10-01</c:v>
                  </c:pt>
                  <c:pt idx="23">
                    <c:v>2020-11-01</c:v>
                  </c:pt>
                  <c:pt idx="24">
                    <c:v>2020-12-01</c:v>
                  </c:pt>
                  <c:pt idx="25">
                    <c:v>2021-01-01</c:v>
                  </c:pt>
                  <c:pt idx="26">
                    <c:v>2021-02-01</c:v>
                  </c:pt>
                  <c:pt idx="27">
                    <c:v>2021-03-01</c:v>
                  </c:pt>
                  <c:pt idx="28">
                    <c:v>2021-04-01</c:v>
                  </c:pt>
                  <c:pt idx="29">
                    <c:v>2021-05-01</c:v>
                  </c:pt>
                  <c:pt idx="30">
                    <c:v>2021-06-01</c:v>
                  </c:pt>
                  <c:pt idx="31">
                    <c:v>2021-07-01</c:v>
                  </c:pt>
                  <c:pt idx="32">
                    <c:v>2021-08-01</c:v>
                  </c:pt>
                  <c:pt idx="33">
                    <c:v>2021-09-01</c:v>
                  </c:pt>
                  <c:pt idx="34">
                    <c:v>2021-10-01</c:v>
                  </c:pt>
                  <c:pt idx="35">
                    <c:v>2021-11-01</c:v>
                  </c:pt>
                  <c:pt idx="36">
                    <c:v>2021-12-01</c:v>
                  </c:pt>
                  <c:pt idx="37">
                    <c:v>2022-01-01</c:v>
                  </c:pt>
                  <c:pt idx="38">
                    <c:v>2022-02-01</c:v>
                  </c:pt>
                  <c:pt idx="39">
                    <c:v>2022-03-01</c:v>
                  </c:pt>
                  <c:pt idx="40">
                    <c:v>2022-04-01</c:v>
                  </c:pt>
                  <c:pt idx="41">
                    <c:v>2022-05-01</c:v>
                  </c:pt>
                  <c:pt idx="42">
                    <c:v>2022-06-01</c:v>
                  </c:pt>
                  <c:pt idx="43">
                    <c:v>2022-07-01</c:v>
                  </c:pt>
                  <c:pt idx="44">
                    <c:v>2022-08-01</c:v>
                  </c:pt>
                  <c:pt idx="45">
                    <c:v>2022-09-01</c:v>
                  </c:pt>
                  <c:pt idx="46">
                    <c:v>2022-10-01</c:v>
                  </c:pt>
                  <c:pt idx="47">
                    <c:v>2022-11-01</c:v>
                  </c:pt>
                  <c:pt idx="48">
                    <c:v>2022-12-01</c:v>
                  </c:pt>
                  <c:pt idx="49">
                    <c:v>2023-01-01</c:v>
                  </c:pt>
                  <c:pt idx="50">
                    <c:v>2023-02-01</c:v>
                  </c:pt>
                  <c:pt idx="51">
                    <c:v>2023-03-01</c:v>
                  </c:pt>
                  <c:pt idx="52">
                    <c:v>2023-04-01</c:v>
                  </c:pt>
                  <c:pt idx="53">
                    <c:v>2023-05-01</c:v>
                  </c:pt>
                  <c:pt idx="54">
                    <c:v>2023-06-01</c:v>
                  </c:pt>
                  <c:pt idx="55">
                    <c:v>2023-07-01</c:v>
                  </c:pt>
                  <c:pt idx="56">
                    <c:v>2023-08-01</c:v>
                  </c:pt>
                  <c:pt idx="57">
                    <c:v>2023-09-01</c:v>
                  </c:pt>
                  <c:pt idx="58">
                    <c:v>2023-10-01</c:v>
                  </c:pt>
                  <c:pt idx="59">
                    <c:v>2023-11-01</c:v>
                  </c:pt>
                  <c:pt idx="60">
                    <c:v>2023-12-01</c:v>
                  </c:pt>
                  <c:pt idx="61">
                    <c:v>2024-01-01</c:v>
                  </c:pt>
                  <c:pt idx="62">
                    <c:v>2024-02-01</c:v>
                  </c:pt>
                  <c:pt idx="63">
                    <c:v>2024-03-01</c:v>
                  </c:pt>
                  <c:pt idx="64">
                    <c:v>2024-04-01</c:v>
                  </c:pt>
                  <c:pt idx="65">
                    <c:v>2024-05-01</c:v>
                  </c:pt>
                  <c:pt idx="66">
                    <c:v>2024-06-01</c:v>
                  </c:pt>
                  <c:pt idx="67">
                    <c:v>2024-07-01</c:v>
                  </c:pt>
                  <c:pt idx="68">
                    <c:v>2024-08-01</c:v>
                  </c:pt>
                  <c:pt idx="69">
                    <c:v>2024-09-01</c:v>
                  </c:pt>
                  <c:pt idx="70">
                    <c:v>2024-10-01</c:v>
                  </c:pt>
                  <c:pt idx="71">
                    <c:v>2024-11-01</c:v>
                  </c:pt>
                  <c:pt idx="72">
                    <c:v>2024-12-01</c:v>
                  </c:pt>
                  <c:pt idx="73">
                    <c:v>2025-01-01</c:v>
                  </c:pt>
                  <c:pt idx="74">
                    <c:v>2025-02-01</c:v>
                  </c:pt>
                  <c:pt idx="75">
                    <c:v>2025-03-01</c:v>
                  </c:pt>
                  <c:pt idx="76">
                    <c:v>2025-04-01</c:v>
                  </c:pt>
                  <c:pt idx="77">
                    <c:v>2025-05-01</c:v>
                  </c:pt>
                  <c:pt idx="78">
                    <c:v>2025-06-01</c:v>
                  </c:pt>
                  <c:pt idx="79">
                    <c:v>2025-07-01</c:v>
                  </c:pt>
                  <c:pt idx="80">
                    <c:v>2025-08-01</c:v>
                  </c:pt>
                  <c:pt idx="81">
                    <c:v>2025-09-01</c:v>
                  </c:pt>
                  <c:pt idx="82">
                    <c:v>2025-10-01</c:v>
                  </c:pt>
                  <c:pt idx="83">
                    <c:v>2025-11-01</c:v>
                  </c:pt>
                  <c:pt idx="84">
                    <c:v>2025-12-01</c:v>
                  </c:pt>
                  <c:pt idx="85">
                    <c:v>2026-01-01</c:v>
                  </c:pt>
                  <c:pt idx="86">
                    <c:v>2026-02-01</c:v>
                  </c:pt>
                  <c:pt idx="87">
                    <c:v>2026-03-01</c:v>
                  </c:pt>
                  <c:pt idx="88">
                    <c:v>2026-04-01</c:v>
                  </c:pt>
                  <c:pt idx="89">
                    <c:v>2026-05-01</c:v>
                  </c:pt>
                  <c:pt idx="90">
                    <c:v>2026-06-01</c:v>
                  </c:pt>
                  <c:pt idx="91">
                    <c:v>2026-07-01</c:v>
                  </c:pt>
                  <c:pt idx="92">
                    <c:v>2026-08-01</c:v>
                  </c:pt>
                  <c:pt idx="93">
                    <c:v>2026-09-01</c:v>
                  </c:pt>
                  <c:pt idx="94">
                    <c:v>2026-10-01</c:v>
                  </c:pt>
                  <c:pt idx="95">
                    <c:v>2026-11-01</c:v>
                  </c:pt>
                  <c:pt idx="96">
                    <c:v>2026-12-01</c:v>
                  </c:pt>
                  <c:pt idx="97">
                    <c:v>2027-01-01</c:v>
                  </c:pt>
                  <c:pt idx="98">
                    <c:v>2027-02-01</c:v>
                  </c:pt>
                  <c:pt idx="99">
                    <c:v>2027-03-01</c:v>
                  </c:pt>
                  <c:pt idx="100">
                    <c:v>2027-04-01</c:v>
                  </c:pt>
                  <c:pt idx="101">
                    <c:v>2027-05-01</c:v>
                  </c:pt>
                  <c:pt idx="102">
                    <c:v>2027-06-01</c:v>
                  </c:pt>
                  <c:pt idx="103">
                    <c:v>2027-07-01</c:v>
                  </c:pt>
                  <c:pt idx="104">
                    <c:v>2027-08-01</c:v>
                  </c:pt>
                  <c:pt idx="105">
                    <c:v>2027-09-01</c:v>
                  </c:pt>
                  <c:pt idx="106">
                    <c:v>2027-10-01</c:v>
                  </c:pt>
                  <c:pt idx="107">
                    <c:v>2027-11-01</c:v>
                  </c:pt>
                  <c:pt idx="108">
                    <c:v>2027-12-01</c:v>
                  </c:pt>
                  <c:pt idx="109">
                    <c:v>2028-01-01</c:v>
                  </c:pt>
                  <c:pt idx="110">
                    <c:v>2028-02-01</c:v>
                  </c:pt>
                  <c:pt idx="111">
                    <c:v>2028-03-01</c:v>
                  </c:pt>
                  <c:pt idx="112">
                    <c:v>2028-04-01</c:v>
                  </c:pt>
                  <c:pt idx="113">
                    <c:v>2028-05-01</c:v>
                  </c:pt>
                  <c:pt idx="114">
                    <c:v>2028-06-01</c:v>
                  </c:pt>
                  <c:pt idx="115">
                    <c:v>2028-07-01</c:v>
                  </c:pt>
                  <c:pt idx="116">
                    <c:v>2028-08-01</c:v>
                  </c:pt>
                  <c:pt idx="117">
                    <c:v>2028-09-01</c:v>
                  </c:pt>
                  <c:pt idx="118">
                    <c:v>2028-10-01</c:v>
                  </c:pt>
                  <c:pt idx="119">
                    <c:v>2028-11-01</c:v>
                  </c:pt>
                  <c:pt idx="120">
                    <c:v>2028-12-01</c:v>
                  </c:pt>
                  <c:pt idx="121">
                    <c:v>2029-01-01</c:v>
                  </c:pt>
                  <c:pt idx="122">
                    <c:v>2029-02-01</c:v>
                  </c:pt>
                  <c:pt idx="123">
                    <c:v>2029-03-01</c:v>
                  </c:pt>
                  <c:pt idx="124">
                    <c:v>2029-04-01</c:v>
                  </c:pt>
                  <c:pt idx="125">
                    <c:v>2029-05-01</c:v>
                  </c:pt>
                  <c:pt idx="126">
                    <c:v>2029-06-01</c:v>
                  </c:pt>
                  <c:pt idx="127">
                    <c:v>2029-07-01</c:v>
                  </c:pt>
                  <c:pt idx="128">
                    <c:v>2029-08-01</c:v>
                  </c:pt>
                  <c:pt idx="129">
                    <c:v>2029-09-01</c:v>
                  </c:pt>
                  <c:pt idx="130">
                    <c:v>2029-10-01</c:v>
                  </c:pt>
                  <c:pt idx="131">
                    <c:v>2029-11-01</c:v>
                  </c:pt>
                  <c:pt idx="132">
                    <c:v>2029-12-01</c:v>
                  </c:pt>
                  <c:pt idx="133">
                    <c:v>2030-01-01</c:v>
                  </c:pt>
                  <c:pt idx="134">
                    <c:v>2030-02-01</c:v>
                  </c:pt>
                  <c:pt idx="135">
                    <c:v>2030-03-01</c:v>
                  </c:pt>
                  <c:pt idx="136">
                    <c:v>2030-04-01</c:v>
                  </c:pt>
                  <c:pt idx="137">
                    <c:v>2030-05-01</c:v>
                  </c:pt>
                  <c:pt idx="138">
                    <c:v>2030-06-01</c:v>
                  </c:pt>
                  <c:pt idx="139">
                    <c:v>2030-07-01</c:v>
                  </c:pt>
                  <c:pt idx="140">
                    <c:v>2030-08-01</c:v>
                  </c:pt>
                  <c:pt idx="141">
                    <c:v>2030-09-01</c:v>
                  </c:pt>
                  <c:pt idx="142">
                    <c:v>2030-10-01</c:v>
                  </c:pt>
                  <c:pt idx="143">
                    <c:v>2030-11-01</c:v>
                  </c:pt>
                  <c:pt idx="144">
                    <c:v>2030-12-01</c:v>
                  </c:pt>
                </c:lvl>
              </c:multiLvlStrCache>
            </c:multiLvlStrRef>
          </c:cat>
          <c:val>
            <c:numRef>
              <c:f>Overview!$P$3:$P$147</c:f>
              <c:numCache>
                <c:formatCode>_("$"* #,##0.00_);_("$"* \(#,##0.00\);_("$"* "-"??_);_(@_)</c:formatCode>
                <c:ptCount val="14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Overview!$Q$2</c:f>
              <c:strCache>
                <c:ptCount val="1"/>
                <c:pt idx="0">
                  <c:v>Power</c:v>
                </c:pt>
              </c:strCache>
            </c:strRef>
          </c:tx>
          <c:marker>
            <c:symbol val="none"/>
          </c:marker>
          <c:cat>
            <c:multiLvlStrRef>
              <c:f>Overview!$A$3:$B$147</c:f>
              <c:multiLvlStrCache>
                <c:ptCount val="145"/>
                <c:lvl>
                  <c:pt idx="1">
                    <c:v>January 2019</c:v>
                  </c:pt>
                  <c:pt idx="2">
                    <c:v>February 2019</c:v>
                  </c:pt>
                  <c:pt idx="3">
                    <c:v>March 2019</c:v>
                  </c:pt>
                  <c:pt idx="4">
                    <c:v>April 2019</c:v>
                  </c:pt>
                  <c:pt idx="5">
                    <c:v>May 2019</c:v>
                  </c:pt>
                  <c:pt idx="6">
                    <c:v>June 2019</c:v>
                  </c:pt>
                  <c:pt idx="7">
                    <c:v>July 2019</c:v>
                  </c:pt>
                  <c:pt idx="8">
                    <c:v>August 2019</c:v>
                  </c:pt>
                  <c:pt idx="9">
                    <c:v>September 2019</c:v>
                  </c:pt>
                  <c:pt idx="10">
                    <c:v>October 2019</c:v>
                  </c:pt>
                  <c:pt idx="11">
                    <c:v>November 2019</c:v>
                  </c:pt>
                  <c:pt idx="12">
                    <c:v>December 2019</c:v>
                  </c:pt>
                  <c:pt idx="13">
                    <c:v>January 2020</c:v>
                  </c:pt>
                  <c:pt idx="14">
                    <c:v>February 2020</c:v>
                  </c:pt>
                  <c:pt idx="15">
                    <c:v>March 2020</c:v>
                  </c:pt>
                  <c:pt idx="16">
                    <c:v>April 2020</c:v>
                  </c:pt>
                  <c:pt idx="17">
                    <c:v>May 2020</c:v>
                  </c:pt>
                  <c:pt idx="18">
                    <c:v>June 2020</c:v>
                  </c:pt>
                  <c:pt idx="19">
                    <c:v>July 2020</c:v>
                  </c:pt>
                  <c:pt idx="20">
                    <c:v>August 2020</c:v>
                  </c:pt>
                  <c:pt idx="21">
                    <c:v>September 2020</c:v>
                  </c:pt>
                  <c:pt idx="22">
                    <c:v>October 2020</c:v>
                  </c:pt>
                  <c:pt idx="23">
                    <c:v>November 2020</c:v>
                  </c:pt>
                  <c:pt idx="24">
                    <c:v>December 2020</c:v>
                  </c:pt>
                  <c:pt idx="25">
                    <c:v>January 2021</c:v>
                  </c:pt>
                  <c:pt idx="26">
                    <c:v>February 2021</c:v>
                  </c:pt>
                  <c:pt idx="27">
                    <c:v>March 2021</c:v>
                  </c:pt>
                  <c:pt idx="28">
                    <c:v>April 2021</c:v>
                  </c:pt>
                  <c:pt idx="29">
                    <c:v>May 2021</c:v>
                  </c:pt>
                  <c:pt idx="30">
                    <c:v>June 2021</c:v>
                  </c:pt>
                  <c:pt idx="31">
                    <c:v>July 2021</c:v>
                  </c:pt>
                  <c:pt idx="32">
                    <c:v>August 2021</c:v>
                  </c:pt>
                  <c:pt idx="33">
                    <c:v>September 2021</c:v>
                  </c:pt>
                  <c:pt idx="34">
                    <c:v>October 2021</c:v>
                  </c:pt>
                  <c:pt idx="35">
                    <c:v>November 2021</c:v>
                  </c:pt>
                  <c:pt idx="36">
                    <c:v>December 2021</c:v>
                  </c:pt>
                  <c:pt idx="37">
                    <c:v>January 2022</c:v>
                  </c:pt>
                  <c:pt idx="38">
                    <c:v>February 2022</c:v>
                  </c:pt>
                  <c:pt idx="39">
                    <c:v>March 2022</c:v>
                  </c:pt>
                  <c:pt idx="40">
                    <c:v>April 2022</c:v>
                  </c:pt>
                  <c:pt idx="41">
                    <c:v>May 2022</c:v>
                  </c:pt>
                  <c:pt idx="42">
                    <c:v>June 2022</c:v>
                  </c:pt>
                  <c:pt idx="43">
                    <c:v>July 2022</c:v>
                  </c:pt>
                  <c:pt idx="44">
                    <c:v>August 2022</c:v>
                  </c:pt>
                  <c:pt idx="45">
                    <c:v>September 2022</c:v>
                  </c:pt>
                  <c:pt idx="46">
                    <c:v>October 2022</c:v>
                  </c:pt>
                  <c:pt idx="47">
                    <c:v>November 2022</c:v>
                  </c:pt>
                  <c:pt idx="48">
                    <c:v>December 2022</c:v>
                  </c:pt>
                  <c:pt idx="49">
                    <c:v>January 2023</c:v>
                  </c:pt>
                  <c:pt idx="50">
                    <c:v>February 2023</c:v>
                  </c:pt>
                  <c:pt idx="51">
                    <c:v>March 2023</c:v>
                  </c:pt>
                  <c:pt idx="52">
                    <c:v>April 2023</c:v>
                  </c:pt>
                  <c:pt idx="53">
                    <c:v>May 2023</c:v>
                  </c:pt>
                  <c:pt idx="54">
                    <c:v>June 2023</c:v>
                  </c:pt>
                  <c:pt idx="55">
                    <c:v>July 2023</c:v>
                  </c:pt>
                  <c:pt idx="56">
                    <c:v>August 2023</c:v>
                  </c:pt>
                  <c:pt idx="57">
                    <c:v>September 2023</c:v>
                  </c:pt>
                  <c:pt idx="58">
                    <c:v>October 2023</c:v>
                  </c:pt>
                  <c:pt idx="59">
                    <c:v>November 2023</c:v>
                  </c:pt>
                  <c:pt idx="60">
                    <c:v>December 2023</c:v>
                  </c:pt>
                  <c:pt idx="61">
                    <c:v>January 2024</c:v>
                  </c:pt>
                  <c:pt idx="62">
                    <c:v>February 2024</c:v>
                  </c:pt>
                  <c:pt idx="63">
                    <c:v>March 2024</c:v>
                  </c:pt>
                  <c:pt idx="64">
                    <c:v>April 2024</c:v>
                  </c:pt>
                  <c:pt idx="65">
                    <c:v>May 2024</c:v>
                  </c:pt>
                  <c:pt idx="66">
                    <c:v>June 2024</c:v>
                  </c:pt>
                  <c:pt idx="67">
                    <c:v>July 2024</c:v>
                  </c:pt>
                  <c:pt idx="68">
                    <c:v>August 2024</c:v>
                  </c:pt>
                  <c:pt idx="69">
                    <c:v>September 2024</c:v>
                  </c:pt>
                  <c:pt idx="70">
                    <c:v>October 2024</c:v>
                  </c:pt>
                  <c:pt idx="71">
                    <c:v>November 2024</c:v>
                  </c:pt>
                  <c:pt idx="72">
                    <c:v>December 2024</c:v>
                  </c:pt>
                  <c:pt idx="73">
                    <c:v>January 2025</c:v>
                  </c:pt>
                  <c:pt idx="74">
                    <c:v>February 2025</c:v>
                  </c:pt>
                  <c:pt idx="75">
                    <c:v>March 2025</c:v>
                  </c:pt>
                  <c:pt idx="76">
                    <c:v>April 2025</c:v>
                  </c:pt>
                  <c:pt idx="77">
                    <c:v>May 2025</c:v>
                  </c:pt>
                  <c:pt idx="78">
                    <c:v>June 2025</c:v>
                  </c:pt>
                  <c:pt idx="79">
                    <c:v>July 2025</c:v>
                  </c:pt>
                  <c:pt idx="80">
                    <c:v>August 2025</c:v>
                  </c:pt>
                  <c:pt idx="81">
                    <c:v>September 2025</c:v>
                  </c:pt>
                  <c:pt idx="82">
                    <c:v>October 2025</c:v>
                  </c:pt>
                  <c:pt idx="83">
                    <c:v>November 2025</c:v>
                  </c:pt>
                  <c:pt idx="84">
                    <c:v>December 2025</c:v>
                  </c:pt>
                  <c:pt idx="85">
                    <c:v>January 2026</c:v>
                  </c:pt>
                  <c:pt idx="86">
                    <c:v>February 2026</c:v>
                  </c:pt>
                  <c:pt idx="87">
                    <c:v>March 2026</c:v>
                  </c:pt>
                  <c:pt idx="88">
                    <c:v>April 2026</c:v>
                  </c:pt>
                  <c:pt idx="89">
                    <c:v>May 2026</c:v>
                  </c:pt>
                  <c:pt idx="90">
                    <c:v>June 2026</c:v>
                  </c:pt>
                  <c:pt idx="91">
                    <c:v>July 2026</c:v>
                  </c:pt>
                  <c:pt idx="92">
                    <c:v>August 2026</c:v>
                  </c:pt>
                  <c:pt idx="93">
                    <c:v>September 2026</c:v>
                  </c:pt>
                  <c:pt idx="94">
                    <c:v>October 2026</c:v>
                  </c:pt>
                  <c:pt idx="95">
                    <c:v>November 2026</c:v>
                  </c:pt>
                  <c:pt idx="96">
                    <c:v>December 2026</c:v>
                  </c:pt>
                  <c:pt idx="97">
                    <c:v>January 2027</c:v>
                  </c:pt>
                  <c:pt idx="98">
                    <c:v>February 2027</c:v>
                  </c:pt>
                  <c:pt idx="99">
                    <c:v>March 2027</c:v>
                  </c:pt>
                  <c:pt idx="100">
                    <c:v>April 2027</c:v>
                  </c:pt>
                  <c:pt idx="101">
                    <c:v>May 2027</c:v>
                  </c:pt>
                  <c:pt idx="102">
                    <c:v>June 2027</c:v>
                  </c:pt>
                  <c:pt idx="103">
                    <c:v>July 2027</c:v>
                  </c:pt>
                  <c:pt idx="104">
                    <c:v>August 2027</c:v>
                  </c:pt>
                  <c:pt idx="105">
                    <c:v>September 2027</c:v>
                  </c:pt>
                  <c:pt idx="106">
                    <c:v>October 2027</c:v>
                  </c:pt>
                  <c:pt idx="107">
                    <c:v>November 2027</c:v>
                  </c:pt>
                  <c:pt idx="108">
                    <c:v>December 2027</c:v>
                  </c:pt>
                  <c:pt idx="109">
                    <c:v>January 2028</c:v>
                  </c:pt>
                  <c:pt idx="110">
                    <c:v>February 2028</c:v>
                  </c:pt>
                  <c:pt idx="111">
                    <c:v>March 2028</c:v>
                  </c:pt>
                  <c:pt idx="112">
                    <c:v>April 2028</c:v>
                  </c:pt>
                  <c:pt idx="113">
                    <c:v>May 2028</c:v>
                  </c:pt>
                  <c:pt idx="114">
                    <c:v>June 2028</c:v>
                  </c:pt>
                  <c:pt idx="115">
                    <c:v>July 2028</c:v>
                  </c:pt>
                  <c:pt idx="116">
                    <c:v>August 2028</c:v>
                  </c:pt>
                  <c:pt idx="117">
                    <c:v>September 2028</c:v>
                  </c:pt>
                  <c:pt idx="118">
                    <c:v>October 2028</c:v>
                  </c:pt>
                  <c:pt idx="119">
                    <c:v>November 2028</c:v>
                  </c:pt>
                  <c:pt idx="120">
                    <c:v>December 2028</c:v>
                  </c:pt>
                  <c:pt idx="121">
                    <c:v>January 2029</c:v>
                  </c:pt>
                  <c:pt idx="122">
                    <c:v>February 2029</c:v>
                  </c:pt>
                  <c:pt idx="123">
                    <c:v>March 2029</c:v>
                  </c:pt>
                  <c:pt idx="124">
                    <c:v>April 2029</c:v>
                  </c:pt>
                  <c:pt idx="125">
                    <c:v>May 2029</c:v>
                  </c:pt>
                  <c:pt idx="126">
                    <c:v>June 2029</c:v>
                  </c:pt>
                  <c:pt idx="127">
                    <c:v>July 2029</c:v>
                  </c:pt>
                  <c:pt idx="128">
                    <c:v>August 2029</c:v>
                  </c:pt>
                  <c:pt idx="129">
                    <c:v>September 2029</c:v>
                  </c:pt>
                  <c:pt idx="130">
                    <c:v>October 2029</c:v>
                  </c:pt>
                  <c:pt idx="131">
                    <c:v>November 2029</c:v>
                  </c:pt>
                  <c:pt idx="132">
                    <c:v>December 2029</c:v>
                  </c:pt>
                  <c:pt idx="133">
                    <c:v>January 2030</c:v>
                  </c:pt>
                  <c:pt idx="134">
                    <c:v>February 2030</c:v>
                  </c:pt>
                  <c:pt idx="135">
                    <c:v>March 2030</c:v>
                  </c:pt>
                  <c:pt idx="136">
                    <c:v>April 2030</c:v>
                  </c:pt>
                  <c:pt idx="137">
                    <c:v>May 2030</c:v>
                  </c:pt>
                  <c:pt idx="138">
                    <c:v>June 2030</c:v>
                  </c:pt>
                  <c:pt idx="139">
                    <c:v>July 2030</c:v>
                  </c:pt>
                  <c:pt idx="140">
                    <c:v>August 2030</c:v>
                  </c:pt>
                  <c:pt idx="141">
                    <c:v>September 2030</c:v>
                  </c:pt>
                  <c:pt idx="142">
                    <c:v>October 2030</c:v>
                  </c:pt>
                  <c:pt idx="143">
                    <c:v>November 2030</c:v>
                  </c:pt>
                  <c:pt idx="144">
                    <c:v>December 2030</c:v>
                  </c:pt>
                </c:lvl>
                <c:lvl>
                  <c:pt idx="1">
                    <c:v>2019-01-01</c:v>
                  </c:pt>
                  <c:pt idx="2">
                    <c:v>2019-02-01</c:v>
                  </c:pt>
                  <c:pt idx="3">
                    <c:v>2019-03-01</c:v>
                  </c:pt>
                  <c:pt idx="4">
                    <c:v>2019-04-01</c:v>
                  </c:pt>
                  <c:pt idx="5">
                    <c:v>2019-05-01</c:v>
                  </c:pt>
                  <c:pt idx="6">
                    <c:v>2019-06-01</c:v>
                  </c:pt>
                  <c:pt idx="7">
                    <c:v>2019-07-01</c:v>
                  </c:pt>
                  <c:pt idx="8">
                    <c:v>2019-08-01</c:v>
                  </c:pt>
                  <c:pt idx="9">
                    <c:v>2019-09-01</c:v>
                  </c:pt>
                  <c:pt idx="10">
                    <c:v>2019-10-01</c:v>
                  </c:pt>
                  <c:pt idx="11">
                    <c:v>2019-11-01</c:v>
                  </c:pt>
                  <c:pt idx="12">
                    <c:v>2019-12-01</c:v>
                  </c:pt>
                  <c:pt idx="13">
                    <c:v>2020-01-01</c:v>
                  </c:pt>
                  <c:pt idx="14">
                    <c:v>2020-02-01</c:v>
                  </c:pt>
                  <c:pt idx="15">
                    <c:v>2020-03-01</c:v>
                  </c:pt>
                  <c:pt idx="16">
                    <c:v>2020-04-01</c:v>
                  </c:pt>
                  <c:pt idx="17">
                    <c:v>2020-05-01</c:v>
                  </c:pt>
                  <c:pt idx="18">
                    <c:v>2020-06-01</c:v>
                  </c:pt>
                  <c:pt idx="19">
                    <c:v>2020-07-01</c:v>
                  </c:pt>
                  <c:pt idx="20">
                    <c:v>2020-08-01</c:v>
                  </c:pt>
                  <c:pt idx="21">
                    <c:v>2020-09-01</c:v>
                  </c:pt>
                  <c:pt idx="22">
                    <c:v>2020-10-01</c:v>
                  </c:pt>
                  <c:pt idx="23">
                    <c:v>2020-11-01</c:v>
                  </c:pt>
                  <c:pt idx="24">
                    <c:v>2020-12-01</c:v>
                  </c:pt>
                  <c:pt idx="25">
                    <c:v>2021-01-01</c:v>
                  </c:pt>
                  <c:pt idx="26">
                    <c:v>2021-02-01</c:v>
                  </c:pt>
                  <c:pt idx="27">
                    <c:v>2021-03-01</c:v>
                  </c:pt>
                  <c:pt idx="28">
                    <c:v>2021-04-01</c:v>
                  </c:pt>
                  <c:pt idx="29">
                    <c:v>2021-05-01</c:v>
                  </c:pt>
                  <c:pt idx="30">
                    <c:v>2021-06-01</c:v>
                  </c:pt>
                  <c:pt idx="31">
                    <c:v>2021-07-01</c:v>
                  </c:pt>
                  <c:pt idx="32">
                    <c:v>2021-08-01</c:v>
                  </c:pt>
                  <c:pt idx="33">
                    <c:v>2021-09-01</c:v>
                  </c:pt>
                  <c:pt idx="34">
                    <c:v>2021-10-01</c:v>
                  </c:pt>
                  <c:pt idx="35">
                    <c:v>2021-11-01</c:v>
                  </c:pt>
                  <c:pt idx="36">
                    <c:v>2021-12-01</c:v>
                  </c:pt>
                  <c:pt idx="37">
                    <c:v>2022-01-01</c:v>
                  </c:pt>
                  <c:pt idx="38">
                    <c:v>2022-02-01</c:v>
                  </c:pt>
                  <c:pt idx="39">
                    <c:v>2022-03-01</c:v>
                  </c:pt>
                  <c:pt idx="40">
                    <c:v>2022-04-01</c:v>
                  </c:pt>
                  <c:pt idx="41">
                    <c:v>2022-05-01</c:v>
                  </c:pt>
                  <c:pt idx="42">
                    <c:v>2022-06-01</c:v>
                  </c:pt>
                  <c:pt idx="43">
                    <c:v>2022-07-01</c:v>
                  </c:pt>
                  <c:pt idx="44">
                    <c:v>2022-08-01</c:v>
                  </c:pt>
                  <c:pt idx="45">
                    <c:v>2022-09-01</c:v>
                  </c:pt>
                  <c:pt idx="46">
                    <c:v>2022-10-01</c:v>
                  </c:pt>
                  <c:pt idx="47">
                    <c:v>2022-11-01</c:v>
                  </c:pt>
                  <c:pt idx="48">
                    <c:v>2022-12-01</c:v>
                  </c:pt>
                  <c:pt idx="49">
                    <c:v>2023-01-01</c:v>
                  </c:pt>
                  <c:pt idx="50">
                    <c:v>2023-02-01</c:v>
                  </c:pt>
                  <c:pt idx="51">
                    <c:v>2023-03-01</c:v>
                  </c:pt>
                  <c:pt idx="52">
                    <c:v>2023-04-01</c:v>
                  </c:pt>
                  <c:pt idx="53">
                    <c:v>2023-05-01</c:v>
                  </c:pt>
                  <c:pt idx="54">
                    <c:v>2023-06-01</c:v>
                  </c:pt>
                  <c:pt idx="55">
                    <c:v>2023-07-01</c:v>
                  </c:pt>
                  <c:pt idx="56">
                    <c:v>2023-08-01</c:v>
                  </c:pt>
                  <c:pt idx="57">
                    <c:v>2023-09-01</c:v>
                  </c:pt>
                  <c:pt idx="58">
                    <c:v>2023-10-01</c:v>
                  </c:pt>
                  <c:pt idx="59">
                    <c:v>2023-11-01</c:v>
                  </c:pt>
                  <c:pt idx="60">
                    <c:v>2023-12-01</c:v>
                  </c:pt>
                  <c:pt idx="61">
                    <c:v>2024-01-01</c:v>
                  </c:pt>
                  <c:pt idx="62">
                    <c:v>2024-02-01</c:v>
                  </c:pt>
                  <c:pt idx="63">
                    <c:v>2024-03-01</c:v>
                  </c:pt>
                  <c:pt idx="64">
                    <c:v>2024-04-01</c:v>
                  </c:pt>
                  <c:pt idx="65">
                    <c:v>2024-05-01</c:v>
                  </c:pt>
                  <c:pt idx="66">
                    <c:v>2024-06-01</c:v>
                  </c:pt>
                  <c:pt idx="67">
                    <c:v>2024-07-01</c:v>
                  </c:pt>
                  <c:pt idx="68">
                    <c:v>2024-08-01</c:v>
                  </c:pt>
                  <c:pt idx="69">
                    <c:v>2024-09-01</c:v>
                  </c:pt>
                  <c:pt idx="70">
                    <c:v>2024-10-01</c:v>
                  </c:pt>
                  <c:pt idx="71">
                    <c:v>2024-11-01</c:v>
                  </c:pt>
                  <c:pt idx="72">
                    <c:v>2024-12-01</c:v>
                  </c:pt>
                  <c:pt idx="73">
                    <c:v>2025-01-01</c:v>
                  </c:pt>
                  <c:pt idx="74">
                    <c:v>2025-02-01</c:v>
                  </c:pt>
                  <c:pt idx="75">
                    <c:v>2025-03-01</c:v>
                  </c:pt>
                  <c:pt idx="76">
                    <c:v>2025-04-01</c:v>
                  </c:pt>
                  <c:pt idx="77">
                    <c:v>2025-05-01</c:v>
                  </c:pt>
                  <c:pt idx="78">
                    <c:v>2025-06-01</c:v>
                  </c:pt>
                  <c:pt idx="79">
                    <c:v>2025-07-01</c:v>
                  </c:pt>
                  <c:pt idx="80">
                    <c:v>2025-08-01</c:v>
                  </c:pt>
                  <c:pt idx="81">
                    <c:v>2025-09-01</c:v>
                  </c:pt>
                  <c:pt idx="82">
                    <c:v>2025-10-01</c:v>
                  </c:pt>
                  <c:pt idx="83">
                    <c:v>2025-11-01</c:v>
                  </c:pt>
                  <c:pt idx="84">
                    <c:v>2025-12-01</c:v>
                  </c:pt>
                  <c:pt idx="85">
                    <c:v>2026-01-01</c:v>
                  </c:pt>
                  <c:pt idx="86">
                    <c:v>2026-02-01</c:v>
                  </c:pt>
                  <c:pt idx="87">
                    <c:v>2026-03-01</c:v>
                  </c:pt>
                  <c:pt idx="88">
                    <c:v>2026-04-01</c:v>
                  </c:pt>
                  <c:pt idx="89">
                    <c:v>2026-05-01</c:v>
                  </c:pt>
                  <c:pt idx="90">
                    <c:v>2026-06-01</c:v>
                  </c:pt>
                  <c:pt idx="91">
                    <c:v>2026-07-01</c:v>
                  </c:pt>
                  <c:pt idx="92">
                    <c:v>2026-08-01</c:v>
                  </c:pt>
                  <c:pt idx="93">
                    <c:v>2026-09-01</c:v>
                  </c:pt>
                  <c:pt idx="94">
                    <c:v>2026-10-01</c:v>
                  </c:pt>
                  <c:pt idx="95">
                    <c:v>2026-11-01</c:v>
                  </c:pt>
                  <c:pt idx="96">
                    <c:v>2026-12-01</c:v>
                  </c:pt>
                  <c:pt idx="97">
                    <c:v>2027-01-01</c:v>
                  </c:pt>
                  <c:pt idx="98">
                    <c:v>2027-02-01</c:v>
                  </c:pt>
                  <c:pt idx="99">
                    <c:v>2027-03-01</c:v>
                  </c:pt>
                  <c:pt idx="100">
                    <c:v>2027-04-01</c:v>
                  </c:pt>
                  <c:pt idx="101">
                    <c:v>2027-05-01</c:v>
                  </c:pt>
                  <c:pt idx="102">
                    <c:v>2027-06-01</c:v>
                  </c:pt>
                  <c:pt idx="103">
                    <c:v>2027-07-01</c:v>
                  </c:pt>
                  <c:pt idx="104">
                    <c:v>2027-08-01</c:v>
                  </c:pt>
                  <c:pt idx="105">
                    <c:v>2027-09-01</c:v>
                  </c:pt>
                  <c:pt idx="106">
                    <c:v>2027-10-01</c:v>
                  </c:pt>
                  <c:pt idx="107">
                    <c:v>2027-11-01</c:v>
                  </c:pt>
                  <c:pt idx="108">
                    <c:v>2027-12-01</c:v>
                  </c:pt>
                  <c:pt idx="109">
                    <c:v>2028-01-01</c:v>
                  </c:pt>
                  <c:pt idx="110">
                    <c:v>2028-02-01</c:v>
                  </c:pt>
                  <c:pt idx="111">
                    <c:v>2028-03-01</c:v>
                  </c:pt>
                  <c:pt idx="112">
                    <c:v>2028-04-01</c:v>
                  </c:pt>
                  <c:pt idx="113">
                    <c:v>2028-05-01</c:v>
                  </c:pt>
                  <c:pt idx="114">
                    <c:v>2028-06-01</c:v>
                  </c:pt>
                  <c:pt idx="115">
                    <c:v>2028-07-01</c:v>
                  </c:pt>
                  <c:pt idx="116">
                    <c:v>2028-08-01</c:v>
                  </c:pt>
                  <c:pt idx="117">
                    <c:v>2028-09-01</c:v>
                  </c:pt>
                  <c:pt idx="118">
                    <c:v>2028-10-01</c:v>
                  </c:pt>
                  <c:pt idx="119">
                    <c:v>2028-11-01</c:v>
                  </c:pt>
                  <c:pt idx="120">
                    <c:v>2028-12-01</c:v>
                  </c:pt>
                  <c:pt idx="121">
                    <c:v>2029-01-01</c:v>
                  </c:pt>
                  <c:pt idx="122">
                    <c:v>2029-02-01</c:v>
                  </c:pt>
                  <c:pt idx="123">
                    <c:v>2029-03-01</c:v>
                  </c:pt>
                  <c:pt idx="124">
                    <c:v>2029-04-01</c:v>
                  </c:pt>
                  <c:pt idx="125">
                    <c:v>2029-05-01</c:v>
                  </c:pt>
                  <c:pt idx="126">
                    <c:v>2029-06-01</c:v>
                  </c:pt>
                  <c:pt idx="127">
                    <c:v>2029-07-01</c:v>
                  </c:pt>
                  <c:pt idx="128">
                    <c:v>2029-08-01</c:v>
                  </c:pt>
                  <c:pt idx="129">
                    <c:v>2029-09-01</c:v>
                  </c:pt>
                  <c:pt idx="130">
                    <c:v>2029-10-01</c:v>
                  </c:pt>
                  <c:pt idx="131">
                    <c:v>2029-11-01</c:v>
                  </c:pt>
                  <c:pt idx="132">
                    <c:v>2029-12-01</c:v>
                  </c:pt>
                  <c:pt idx="133">
                    <c:v>2030-01-01</c:v>
                  </c:pt>
                  <c:pt idx="134">
                    <c:v>2030-02-01</c:v>
                  </c:pt>
                  <c:pt idx="135">
                    <c:v>2030-03-01</c:v>
                  </c:pt>
                  <c:pt idx="136">
                    <c:v>2030-04-01</c:v>
                  </c:pt>
                  <c:pt idx="137">
                    <c:v>2030-05-01</c:v>
                  </c:pt>
                  <c:pt idx="138">
                    <c:v>2030-06-01</c:v>
                  </c:pt>
                  <c:pt idx="139">
                    <c:v>2030-07-01</c:v>
                  </c:pt>
                  <c:pt idx="140">
                    <c:v>2030-08-01</c:v>
                  </c:pt>
                  <c:pt idx="141">
                    <c:v>2030-09-01</c:v>
                  </c:pt>
                  <c:pt idx="142">
                    <c:v>2030-10-01</c:v>
                  </c:pt>
                  <c:pt idx="143">
                    <c:v>2030-11-01</c:v>
                  </c:pt>
                  <c:pt idx="144">
                    <c:v>2030-12-01</c:v>
                  </c:pt>
                </c:lvl>
              </c:multiLvlStrCache>
            </c:multiLvlStrRef>
          </c:cat>
          <c:val>
            <c:numRef>
              <c:f>Overview!$Q$3:$Q$147</c:f>
              <c:numCache>
                <c:formatCode>_("$"* #,##0.00_);_("$"* \(#,##0.00\);_("$"* "-"??_);_(@_)</c:formatCode>
                <c:ptCount val="14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-117.26</c:v>
                </c:pt>
                <c:pt idx="22">
                  <c:v>-118.13</c:v>
                </c:pt>
                <c:pt idx="23">
                  <c:v>-40</c:v>
                </c:pt>
                <c:pt idx="24">
                  <c:v>-135.34</c:v>
                </c:pt>
                <c:pt idx="25">
                  <c:v>-192.89999999999998</c:v>
                </c:pt>
                <c:pt idx="26">
                  <c:v>-124.41</c:v>
                </c:pt>
                <c:pt idx="27">
                  <c:v>-131.15</c:v>
                </c:pt>
                <c:pt idx="28">
                  <c:v>0</c:v>
                </c:pt>
                <c:pt idx="29">
                  <c:v>0</c:v>
                </c:pt>
                <c:pt idx="30">
                  <c:v>-137.88999999999999</c:v>
                </c:pt>
                <c:pt idx="31">
                  <c:v>0</c:v>
                </c:pt>
                <c:pt idx="32">
                  <c:v>0</c:v>
                </c:pt>
                <c:pt idx="33">
                  <c:v>-22.74</c:v>
                </c:pt>
                <c:pt idx="34">
                  <c:v>-11.55</c:v>
                </c:pt>
                <c:pt idx="35">
                  <c:v>0</c:v>
                </c:pt>
                <c:pt idx="36">
                  <c:v>-112.49</c:v>
                </c:pt>
                <c:pt idx="37">
                  <c:v>0</c:v>
                </c:pt>
                <c:pt idx="38">
                  <c:v>-8.34</c:v>
                </c:pt>
                <c:pt idx="39">
                  <c:v>0</c:v>
                </c:pt>
                <c:pt idx="40">
                  <c:v>-80.569999999999993</c:v>
                </c:pt>
                <c:pt idx="41">
                  <c:v>-54.48</c:v>
                </c:pt>
                <c:pt idx="42">
                  <c:v>-62.97</c:v>
                </c:pt>
                <c:pt idx="43">
                  <c:v>-36.47</c:v>
                </c:pt>
                <c:pt idx="44">
                  <c:v>-68.27</c:v>
                </c:pt>
                <c:pt idx="45">
                  <c:v>-61.94</c:v>
                </c:pt>
                <c:pt idx="46">
                  <c:v>-64.069999999999993</c:v>
                </c:pt>
                <c:pt idx="47">
                  <c:v>-62.14</c:v>
                </c:pt>
                <c:pt idx="48">
                  <c:v>-57.56</c:v>
                </c:pt>
                <c:pt idx="49">
                  <c:v>-49.91</c:v>
                </c:pt>
                <c:pt idx="50">
                  <c:v>-56.06</c:v>
                </c:pt>
                <c:pt idx="51">
                  <c:v>-57.88</c:v>
                </c:pt>
                <c:pt idx="52">
                  <c:v>-72.3</c:v>
                </c:pt>
                <c:pt idx="53">
                  <c:v>-64.31</c:v>
                </c:pt>
                <c:pt idx="54">
                  <c:v>-68.34</c:v>
                </c:pt>
                <c:pt idx="55">
                  <c:v>-148.47</c:v>
                </c:pt>
                <c:pt idx="56">
                  <c:v>-74.010000000000005</c:v>
                </c:pt>
                <c:pt idx="57">
                  <c:v>-70.34</c:v>
                </c:pt>
                <c:pt idx="58">
                  <c:v>-139.91</c:v>
                </c:pt>
                <c:pt idx="59">
                  <c:v>-69.17</c:v>
                </c:pt>
                <c:pt idx="60">
                  <c:v>-55.56</c:v>
                </c:pt>
                <c:pt idx="61">
                  <c:v>-161.46</c:v>
                </c:pt>
                <c:pt idx="62">
                  <c:v>-74.319999999999993</c:v>
                </c:pt>
                <c:pt idx="63">
                  <c:v>-62.34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Overview!$R$2</c:f>
              <c:strCache>
                <c:ptCount val="1"/>
                <c:pt idx="0">
                  <c:v>Rent</c:v>
                </c:pt>
              </c:strCache>
            </c:strRef>
          </c:tx>
          <c:marker>
            <c:symbol val="none"/>
          </c:marker>
          <c:cat>
            <c:multiLvlStrRef>
              <c:f>Overview!$A$3:$B$147</c:f>
              <c:multiLvlStrCache>
                <c:ptCount val="145"/>
                <c:lvl>
                  <c:pt idx="1">
                    <c:v>January 2019</c:v>
                  </c:pt>
                  <c:pt idx="2">
                    <c:v>February 2019</c:v>
                  </c:pt>
                  <c:pt idx="3">
                    <c:v>March 2019</c:v>
                  </c:pt>
                  <c:pt idx="4">
                    <c:v>April 2019</c:v>
                  </c:pt>
                  <c:pt idx="5">
                    <c:v>May 2019</c:v>
                  </c:pt>
                  <c:pt idx="6">
                    <c:v>June 2019</c:v>
                  </c:pt>
                  <c:pt idx="7">
                    <c:v>July 2019</c:v>
                  </c:pt>
                  <c:pt idx="8">
                    <c:v>August 2019</c:v>
                  </c:pt>
                  <c:pt idx="9">
                    <c:v>September 2019</c:v>
                  </c:pt>
                  <c:pt idx="10">
                    <c:v>October 2019</c:v>
                  </c:pt>
                  <c:pt idx="11">
                    <c:v>November 2019</c:v>
                  </c:pt>
                  <c:pt idx="12">
                    <c:v>December 2019</c:v>
                  </c:pt>
                  <c:pt idx="13">
                    <c:v>January 2020</c:v>
                  </c:pt>
                  <c:pt idx="14">
                    <c:v>February 2020</c:v>
                  </c:pt>
                  <c:pt idx="15">
                    <c:v>March 2020</c:v>
                  </c:pt>
                  <c:pt idx="16">
                    <c:v>April 2020</c:v>
                  </c:pt>
                  <c:pt idx="17">
                    <c:v>May 2020</c:v>
                  </c:pt>
                  <c:pt idx="18">
                    <c:v>June 2020</c:v>
                  </c:pt>
                  <c:pt idx="19">
                    <c:v>July 2020</c:v>
                  </c:pt>
                  <c:pt idx="20">
                    <c:v>August 2020</c:v>
                  </c:pt>
                  <c:pt idx="21">
                    <c:v>September 2020</c:v>
                  </c:pt>
                  <c:pt idx="22">
                    <c:v>October 2020</c:v>
                  </c:pt>
                  <c:pt idx="23">
                    <c:v>November 2020</c:v>
                  </c:pt>
                  <c:pt idx="24">
                    <c:v>December 2020</c:v>
                  </c:pt>
                  <c:pt idx="25">
                    <c:v>January 2021</c:v>
                  </c:pt>
                  <c:pt idx="26">
                    <c:v>February 2021</c:v>
                  </c:pt>
                  <c:pt idx="27">
                    <c:v>March 2021</c:v>
                  </c:pt>
                  <c:pt idx="28">
                    <c:v>April 2021</c:v>
                  </c:pt>
                  <c:pt idx="29">
                    <c:v>May 2021</c:v>
                  </c:pt>
                  <c:pt idx="30">
                    <c:v>June 2021</c:v>
                  </c:pt>
                  <c:pt idx="31">
                    <c:v>July 2021</c:v>
                  </c:pt>
                  <c:pt idx="32">
                    <c:v>August 2021</c:v>
                  </c:pt>
                  <c:pt idx="33">
                    <c:v>September 2021</c:v>
                  </c:pt>
                  <c:pt idx="34">
                    <c:v>October 2021</c:v>
                  </c:pt>
                  <c:pt idx="35">
                    <c:v>November 2021</c:v>
                  </c:pt>
                  <c:pt idx="36">
                    <c:v>December 2021</c:v>
                  </c:pt>
                  <c:pt idx="37">
                    <c:v>January 2022</c:v>
                  </c:pt>
                  <c:pt idx="38">
                    <c:v>February 2022</c:v>
                  </c:pt>
                  <c:pt idx="39">
                    <c:v>March 2022</c:v>
                  </c:pt>
                  <c:pt idx="40">
                    <c:v>April 2022</c:v>
                  </c:pt>
                  <c:pt idx="41">
                    <c:v>May 2022</c:v>
                  </c:pt>
                  <c:pt idx="42">
                    <c:v>June 2022</c:v>
                  </c:pt>
                  <c:pt idx="43">
                    <c:v>July 2022</c:v>
                  </c:pt>
                  <c:pt idx="44">
                    <c:v>August 2022</c:v>
                  </c:pt>
                  <c:pt idx="45">
                    <c:v>September 2022</c:v>
                  </c:pt>
                  <c:pt idx="46">
                    <c:v>October 2022</c:v>
                  </c:pt>
                  <c:pt idx="47">
                    <c:v>November 2022</c:v>
                  </c:pt>
                  <c:pt idx="48">
                    <c:v>December 2022</c:v>
                  </c:pt>
                  <c:pt idx="49">
                    <c:v>January 2023</c:v>
                  </c:pt>
                  <c:pt idx="50">
                    <c:v>February 2023</c:v>
                  </c:pt>
                  <c:pt idx="51">
                    <c:v>March 2023</c:v>
                  </c:pt>
                  <c:pt idx="52">
                    <c:v>April 2023</c:v>
                  </c:pt>
                  <c:pt idx="53">
                    <c:v>May 2023</c:v>
                  </c:pt>
                  <c:pt idx="54">
                    <c:v>June 2023</c:v>
                  </c:pt>
                  <c:pt idx="55">
                    <c:v>July 2023</c:v>
                  </c:pt>
                  <c:pt idx="56">
                    <c:v>August 2023</c:v>
                  </c:pt>
                  <c:pt idx="57">
                    <c:v>September 2023</c:v>
                  </c:pt>
                  <c:pt idx="58">
                    <c:v>October 2023</c:v>
                  </c:pt>
                  <c:pt idx="59">
                    <c:v>November 2023</c:v>
                  </c:pt>
                  <c:pt idx="60">
                    <c:v>December 2023</c:v>
                  </c:pt>
                  <c:pt idx="61">
                    <c:v>January 2024</c:v>
                  </c:pt>
                  <c:pt idx="62">
                    <c:v>February 2024</c:v>
                  </c:pt>
                  <c:pt idx="63">
                    <c:v>March 2024</c:v>
                  </c:pt>
                  <c:pt idx="64">
                    <c:v>April 2024</c:v>
                  </c:pt>
                  <c:pt idx="65">
                    <c:v>May 2024</c:v>
                  </c:pt>
                  <c:pt idx="66">
                    <c:v>June 2024</c:v>
                  </c:pt>
                  <c:pt idx="67">
                    <c:v>July 2024</c:v>
                  </c:pt>
                  <c:pt idx="68">
                    <c:v>August 2024</c:v>
                  </c:pt>
                  <c:pt idx="69">
                    <c:v>September 2024</c:v>
                  </c:pt>
                  <c:pt idx="70">
                    <c:v>October 2024</c:v>
                  </c:pt>
                  <c:pt idx="71">
                    <c:v>November 2024</c:v>
                  </c:pt>
                  <c:pt idx="72">
                    <c:v>December 2024</c:v>
                  </c:pt>
                  <c:pt idx="73">
                    <c:v>January 2025</c:v>
                  </c:pt>
                  <c:pt idx="74">
                    <c:v>February 2025</c:v>
                  </c:pt>
                  <c:pt idx="75">
                    <c:v>March 2025</c:v>
                  </c:pt>
                  <c:pt idx="76">
                    <c:v>April 2025</c:v>
                  </c:pt>
                  <c:pt idx="77">
                    <c:v>May 2025</c:v>
                  </c:pt>
                  <c:pt idx="78">
                    <c:v>June 2025</c:v>
                  </c:pt>
                  <c:pt idx="79">
                    <c:v>July 2025</c:v>
                  </c:pt>
                  <c:pt idx="80">
                    <c:v>August 2025</c:v>
                  </c:pt>
                  <c:pt idx="81">
                    <c:v>September 2025</c:v>
                  </c:pt>
                  <c:pt idx="82">
                    <c:v>October 2025</c:v>
                  </c:pt>
                  <c:pt idx="83">
                    <c:v>November 2025</c:v>
                  </c:pt>
                  <c:pt idx="84">
                    <c:v>December 2025</c:v>
                  </c:pt>
                  <c:pt idx="85">
                    <c:v>January 2026</c:v>
                  </c:pt>
                  <c:pt idx="86">
                    <c:v>February 2026</c:v>
                  </c:pt>
                  <c:pt idx="87">
                    <c:v>March 2026</c:v>
                  </c:pt>
                  <c:pt idx="88">
                    <c:v>April 2026</c:v>
                  </c:pt>
                  <c:pt idx="89">
                    <c:v>May 2026</c:v>
                  </c:pt>
                  <c:pt idx="90">
                    <c:v>June 2026</c:v>
                  </c:pt>
                  <c:pt idx="91">
                    <c:v>July 2026</c:v>
                  </c:pt>
                  <c:pt idx="92">
                    <c:v>August 2026</c:v>
                  </c:pt>
                  <c:pt idx="93">
                    <c:v>September 2026</c:v>
                  </c:pt>
                  <c:pt idx="94">
                    <c:v>October 2026</c:v>
                  </c:pt>
                  <c:pt idx="95">
                    <c:v>November 2026</c:v>
                  </c:pt>
                  <c:pt idx="96">
                    <c:v>December 2026</c:v>
                  </c:pt>
                  <c:pt idx="97">
                    <c:v>January 2027</c:v>
                  </c:pt>
                  <c:pt idx="98">
                    <c:v>February 2027</c:v>
                  </c:pt>
                  <c:pt idx="99">
                    <c:v>March 2027</c:v>
                  </c:pt>
                  <c:pt idx="100">
                    <c:v>April 2027</c:v>
                  </c:pt>
                  <c:pt idx="101">
                    <c:v>May 2027</c:v>
                  </c:pt>
                  <c:pt idx="102">
                    <c:v>June 2027</c:v>
                  </c:pt>
                  <c:pt idx="103">
                    <c:v>July 2027</c:v>
                  </c:pt>
                  <c:pt idx="104">
                    <c:v>August 2027</c:v>
                  </c:pt>
                  <c:pt idx="105">
                    <c:v>September 2027</c:v>
                  </c:pt>
                  <c:pt idx="106">
                    <c:v>October 2027</c:v>
                  </c:pt>
                  <c:pt idx="107">
                    <c:v>November 2027</c:v>
                  </c:pt>
                  <c:pt idx="108">
                    <c:v>December 2027</c:v>
                  </c:pt>
                  <c:pt idx="109">
                    <c:v>January 2028</c:v>
                  </c:pt>
                  <c:pt idx="110">
                    <c:v>February 2028</c:v>
                  </c:pt>
                  <c:pt idx="111">
                    <c:v>March 2028</c:v>
                  </c:pt>
                  <c:pt idx="112">
                    <c:v>April 2028</c:v>
                  </c:pt>
                  <c:pt idx="113">
                    <c:v>May 2028</c:v>
                  </c:pt>
                  <c:pt idx="114">
                    <c:v>June 2028</c:v>
                  </c:pt>
                  <c:pt idx="115">
                    <c:v>July 2028</c:v>
                  </c:pt>
                  <c:pt idx="116">
                    <c:v>August 2028</c:v>
                  </c:pt>
                  <c:pt idx="117">
                    <c:v>September 2028</c:v>
                  </c:pt>
                  <c:pt idx="118">
                    <c:v>October 2028</c:v>
                  </c:pt>
                  <c:pt idx="119">
                    <c:v>November 2028</c:v>
                  </c:pt>
                  <c:pt idx="120">
                    <c:v>December 2028</c:v>
                  </c:pt>
                  <c:pt idx="121">
                    <c:v>January 2029</c:v>
                  </c:pt>
                  <c:pt idx="122">
                    <c:v>February 2029</c:v>
                  </c:pt>
                  <c:pt idx="123">
                    <c:v>March 2029</c:v>
                  </c:pt>
                  <c:pt idx="124">
                    <c:v>April 2029</c:v>
                  </c:pt>
                  <c:pt idx="125">
                    <c:v>May 2029</c:v>
                  </c:pt>
                  <c:pt idx="126">
                    <c:v>June 2029</c:v>
                  </c:pt>
                  <c:pt idx="127">
                    <c:v>July 2029</c:v>
                  </c:pt>
                  <c:pt idx="128">
                    <c:v>August 2029</c:v>
                  </c:pt>
                  <c:pt idx="129">
                    <c:v>September 2029</c:v>
                  </c:pt>
                  <c:pt idx="130">
                    <c:v>October 2029</c:v>
                  </c:pt>
                  <c:pt idx="131">
                    <c:v>November 2029</c:v>
                  </c:pt>
                  <c:pt idx="132">
                    <c:v>December 2029</c:v>
                  </c:pt>
                  <c:pt idx="133">
                    <c:v>January 2030</c:v>
                  </c:pt>
                  <c:pt idx="134">
                    <c:v>February 2030</c:v>
                  </c:pt>
                  <c:pt idx="135">
                    <c:v>March 2030</c:v>
                  </c:pt>
                  <c:pt idx="136">
                    <c:v>April 2030</c:v>
                  </c:pt>
                  <c:pt idx="137">
                    <c:v>May 2030</c:v>
                  </c:pt>
                  <c:pt idx="138">
                    <c:v>June 2030</c:v>
                  </c:pt>
                  <c:pt idx="139">
                    <c:v>July 2030</c:v>
                  </c:pt>
                  <c:pt idx="140">
                    <c:v>August 2030</c:v>
                  </c:pt>
                  <c:pt idx="141">
                    <c:v>September 2030</c:v>
                  </c:pt>
                  <c:pt idx="142">
                    <c:v>October 2030</c:v>
                  </c:pt>
                  <c:pt idx="143">
                    <c:v>November 2030</c:v>
                  </c:pt>
                  <c:pt idx="144">
                    <c:v>December 2030</c:v>
                  </c:pt>
                </c:lvl>
                <c:lvl>
                  <c:pt idx="1">
                    <c:v>2019-01-01</c:v>
                  </c:pt>
                  <c:pt idx="2">
                    <c:v>2019-02-01</c:v>
                  </c:pt>
                  <c:pt idx="3">
                    <c:v>2019-03-01</c:v>
                  </c:pt>
                  <c:pt idx="4">
                    <c:v>2019-04-01</c:v>
                  </c:pt>
                  <c:pt idx="5">
                    <c:v>2019-05-01</c:v>
                  </c:pt>
                  <c:pt idx="6">
                    <c:v>2019-06-01</c:v>
                  </c:pt>
                  <c:pt idx="7">
                    <c:v>2019-07-01</c:v>
                  </c:pt>
                  <c:pt idx="8">
                    <c:v>2019-08-01</c:v>
                  </c:pt>
                  <c:pt idx="9">
                    <c:v>2019-09-01</c:v>
                  </c:pt>
                  <c:pt idx="10">
                    <c:v>2019-10-01</c:v>
                  </c:pt>
                  <c:pt idx="11">
                    <c:v>2019-11-01</c:v>
                  </c:pt>
                  <c:pt idx="12">
                    <c:v>2019-12-01</c:v>
                  </c:pt>
                  <c:pt idx="13">
                    <c:v>2020-01-01</c:v>
                  </c:pt>
                  <c:pt idx="14">
                    <c:v>2020-02-01</c:v>
                  </c:pt>
                  <c:pt idx="15">
                    <c:v>2020-03-01</c:v>
                  </c:pt>
                  <c:pt idx="16">
                    <c:v>2020-04-01</c:v>
                  </c:pt>
                  <c:pt idx="17">
                    <c:v>2020-05-01</c:v>
                  </c:pt>
                  <c:pt idx="18">
                    <c:v>2020-06-01</c:v>
                  </c:pt>
                  <c:pt idx="19">
                    <c:v>2020-07-01</c:v>
                  </c:pt>
                  <c:pt idx="20">
                    <c:v>2020-08-01</c:v>
                  </c:pt>
                  <c:pt idx="21">
                    <c:v>2020-09-01</c:v>
                  </c:pt>
                  <c:pt idx="22">
                    <c:v>2020-10-01</c:v>
                  </c:pt>
                  <c:pt idx="23">
                    <c:v>2020-11-01</c:v>
                  </c:pt>
                  <c:pt idx="24">
                    <c:v>2020-12-01</c:v>
                  </c:pt>
                  <c:pt idx="25">
                    <c:v>2021-01-01</c:v>
                  </c:pt>
                  <c:pt idx="26">
                    <c:v>2021-02-01</c:v>
                  </c:pt>
                  <c:pt idx="27">
                    <c:v>2021-03-01</c:v>
                  </c:pt>
                  <c:pt idx="28">
                    <c:v>2021-04-01</c:v>
                  </c:pt>
                  <c:pt idx="29">
                    <c:v>2021-05-01</c:v>
                  </c:pt>
                  <c:pt idx="30">
                    <c:v>2021-06-01</c:v>
                  </c:pt>
                  <c:pt idx="31">
                    <c:v>2021-07-01</c:v>
                  </c:pt>
                  <c:pt idx="32">
                    <c:v>2021-08-01</c:v>
                  </c:pt>
                  <c:pt idx="33">
                    <c:v>2021-09-01</c:v>
                  </c:pt>
                  <c:pt idx="34">
                    <c:v>2021-10-01</c:v>
                  </c:pt>
                  <c:pt idx="35">
                    <c:v>2021-11-01</c:v>
                  </c:pt>
                  <c:pt idx="36">
                    <c:v>2021-12-01</c:v>
                  </c:pt>
                  <c:pt idx="37">
                    <c:v>2022-01-01</c:v>
                  </c:pt>
                  <c:pt idx="38">
                    <c:v>2022-02-01</c:v>
                  </c:pt>
                  <c:pt idx="39">
                    <c:v>2022-03-01</c:v>
                  </c:pt>
                  <c:pt idx="40">
                    <c:v>2022-04-01</c:v>
                  </c:pt>
                  <c:pt idx="41">
                    <c:v>2022-05-01</c:v>
                  </c:pt>
                  <c:pt idx="42">
                    <c:v>2022-06-01</c:v>
                  </c:pt>
                  <c:pt idx="43">
                    <c:v>2022-07-01</c:v>
                  </c:pt>
                  <c:pt idx="44">
                    <c:v>2022-08-01</c:v>
                  </c:pt>
                  <c:pt idx="45">
                    <c:v>2022-09-01</c:v>
                  </c:pt>
                  <c:pt idx="46">
                    <c:v>2022-10-01</c:v>
                  </c:pt>
                  <c:pt idx="47">
                    <c:v>2022-11-01</c:v>
                  </c:pt>
                  <c:pt idx="48">
                    <c:v>2022-12-01</c:v>
                  </c:pt>
                  <c:pt idx="49">
                    <c:v>2023-01-01</c:v>
                  </c:pt>
                  <c:pt idx="50">
                    <c:v>2023-02-01</c:v>
                  </c:pt>
                  <c:pt idx="51">
                    <c:v>2023-03-01</c:v>
                  </c:pt>
                  <c:pt idx="52">
                    <c:v>2023-04-01</c:v>
                  </c:pt>
                  <c:pt idx="53">
                    <c:v>2023-05-01</c:v>
                  </c:pt>
                  <c:pt idx="54">
                    <c:v>2023-06-01</c:v>
                  </c:pt>
                  <c:pt idx="55">
                    <c:v>2023-07-01</c:v>
                  </c:pt>
                  <c:pt idx="56">
                    <c:v>2023-08-01</c:v>
                  </c:pt>
                  <c:pt idx="57">
                    <c:v>2023-09-01</c:v>
                  </c:pt>
                  <c:pt idx="58">
                    <c:v>2023-10-01</c:v>
                  </c:pt>
                  <c:pt idx="59">
                    <c:v>2023-11-01</c:v>
                  </c:pt>
                  <c:pt idx="60">
                    <c:v>2023-12-01</c:v>
                  </c:pt>
                  <c:pt idx="61">
                    <c:v>2024-01-01</c:v>
                  </c:pt>
                  <c:pt idx="62">
                    <c:v>2024-02-01</c:v>
                  </c:pt>
                  <c:pt idx="63">
                    <c:v>2024-03-01</c:v>
                  </c:pt>
                  <c:pt idx="64">
                    <c:v>2024-04-01</c:v>
                  </c:pt>
                  <c:pt idx="65">
                    <c:v>2024-05-01</c:v>
                  </c:pt>
                  <c:pt idx="66">
                    <c:v>2024-06-01</c:v>
                  </c:pt>
                  <c:pt idx="67">
                    <c:v>2024-07-01</c:v>
                  </c:pt>
                  <c:pt idx="68">
                    <c:v>2024-08-01</c:v>
                  </c:pt>
                  <c:pt idx="69">
                    <c:v>2024-09-01</c:v>
                  </c:pt>
                  <c:pt idx="70">
                    <c:v>2024-10-01</c:v>
                  </c:pt>
                  <c:pt idx="71">
                    <c:v>2024-11-01</c:v>
                  </c:pt>
                  <c:pt idx="72">
                    <c:v>2024-12-01</c:v>
                  </c:pt>
                  <c:pt idx="73">
                    <c:v>2025-01-01</c:v>
                  </c:pt>
                  <c:pt idx="74">
                    <c:v>2025-02-01</c:v>
                  </c:pt>
                  <c:pt idx="75">
                    <c:v>2025-03-01</c:v>
                  </c:pt>
                  <c:pt idx="76">
                    <c:v>2025-04-01</c:v>
                  </c:pt>
                  <c:pt idx="77">
                    <c:v>2025-05-01</c:v>
                  </c:pt>
                  <c:pt idx="78">
                    <c:v>2025-06-01</c:v>
                  </c:pt>
                  <c:pt idx="79">
                    <c:v>2025-07-01</c:v>
                  </c:pt>
                  <c:pt idx="80">
                    <c:v>2025-08-01</c:v>
                  </c:pt>
                  <c:pt idx="81">
                    <c:v>2025-09-01</c:v>
                  </c:pt>
                  <c:pt idx="82">
                    <c:v>2025-10-01</c:v>
                  </c:pt>
                  <c:pt idx="83">
                    <c:v>2025-11-01</c:v>
                  </c:pt>
                  <c:pt idx="84">
                    <c:v>2025-12-01</c:v>
                  </c:pt>
                  <c:pt idx="85">
                    <c:v>2026-01-01</c:v>
                  </c:pt>
                  <c:pt idx="86">
                    <c:v>2026-02-01</c:v>
                  </c:pt>
                  <c:pt idx="87">
                    <c:v>2026-03-01</c:v>
                  </c:pt>
                  <c:pt idx="88">
                    <c:v>2026-04-01</c:v>
                  </c:pt>
                  <c:pt idx="89">
                    <c:v>2026-05-01</c:v>
                  </c:pt>
                  <c:pt idx="90">
                    <c:v>2026-06-01</c:v>
                  </c:pt>
                  <c:pt idx="91">
                    <c:v>2026-07-01</c:v>
                  </c:pt>
                  <c:pt idx="92">
                    <c:v>2026-08-01</c:v>
                  </c:pt>
                  <c:pt idx="93">
                    <c:v>2026-09-01</c:v>
                  </c:pt>
                  <c:pt idx="94">
                    <c:v>2026-10-01</c:v>
                  </c:pt>
                  <c:pt idx="95">
                    <c:v>2026-11-01</c:v>
                  </c:pt>
                  <c:pt idx="96">
                    <c:v>2026-12-01</c:v>
                  </c:pt>
                  <c:pt idx="97">
                    <c:v>2027-01-01</c:v>
                  </c:pt>
                  <c:pt idx="98">
                    <c:v>2027-02-01</c:v>
                  </c:pt>
                  <c:pt idx="99">
                    <c:v>2027-03-01</c:v>
                  </c:pt>
                  <c:pt idx="100">
                    <c:v>2027-04-01</c:v>
                  </c:pt>
                  <c:pt idx="101">
                    <c:v>2027-05-01</c:v>
                  </c:pt>
                  <c:pt idx="102">
                    <c:v>2027-06-01</c:v>
                  </c:pt>
                  <c:pt idx="103">
                    <c:v>2027-07-01</c:v>
                  </c:pt>
                  <c:pt idx="104">
                    <c:v>2027-08-01</c:v>
                  </c:pt>
                  <c:pt idx="105">
                    <c:v>2027-09-01</c:v>
                  </c:pt>
                  <c:pt idx="106">
                    <c:v>2027-10-01</c:v>
                  </c:pt>
                  <c:pt idx="107">
                    <c:v>2027-11-01</c:v>
                  </c:pt>
                  <c:pt idx="108">
                    <c:v>2027-12-01</c:v>
                  </c:pt>
                  <c:pt idx="109">
                    <c:v>2028-01-01</c:v>
                  </c:pt>
                  <c:pt idx="110">
                    <c:v>2028-02-01</c:v>
                  </c:pt>
                  <c:pt idx="111">
                    <c:v>2028-03-01</c:v>
                  </c:pt>
                  <c:pt idx="112">
                    <c:v>2028-04-01</c:v>
                  </c:pt>
                  <c:pt idx="113">
                    <c:v>2028-05-01</c:v>
                  </c:pt>
                  <c:pt idx="114">
                    <c:v>2028-06-01</c:v>
                  </c:pt>
                  <c:pt idx="115">
                    <c:v>2028-07-01</c:v>
                  </c:pt>
                  <c:pt idx="116">
                    <c:v>2028-08-01</c:v>
                  </c:pt>
                  <c:pt idx="117">
                    <c:v>2028-09-01</c:v>
                  </c:pt>
                  <c:pt idx="118">
                    <c:v>2028-10-01</c:v>
                  </c:pt>
                  <c:pt idx="119">
                    <c:v>2028-11-01</c:v>
                  </c:pt>
                  <c:pt idx="120">
                    <c:v>2028-12-01</c:v>
                  </c:pt>
                  <c:pt idx="121">
                    <c:v>2029-01-01</c:v>
                  </c:pt>
                  <c:pt idx="122">
                    <c:v>2029-02-01</c:v>
                  </c:pt>
                  <c:pt idx="123">
                    <c:v>2029-03-01</c:v>
                  </c:pt>
                  <c:pt idx="124">
                    <c:v>2029-04-01</c:v>
                  </c:pt>
                  <c:pt idx="125">
                    <c:v>2029-05-01</c:v>
                  </c:pt>
                  <c:pt idx="126">
                    <c:v>2029-06-01</c:v>
                  </c:pt>
                  <c:pt idx="127">
                    <c:v>2029-07-01</c:v>
                  </c:pt>
                  <c:pt idx="128">
                    <c:v>2029-08-01</c:v>
                  </c:pt>
                  <c:pt idx="129">
                    <c:v>2029-09-01</c:v>
                  </c:pt>
                  <c:pt idx="130">
                    <c:v>2029-10-01</c:v>
                  </c:pt>
                  <c:pt idx="131">
                    <c:v>2029-11-01</c:v>
                  </c:pt>
                  <c:pt idx="132">
                    <c:v>2029-12-01</c:v>
                  </c:pt>
                  <c:pt idx="133">
                    <c:v>2030-01-01</c:v>
                  </c:pt>
                  <c:pt idx="134">
                    <c:v>2030-02-01</c:v>
                  </c:pt>
                  <c:pt idx="135">
                    <c:v>2030-03-01</c:v>
                  </c:pt>
                  <c:pt idx="136">
                    <c:v>2030-04-01</c:v>
                  </c:pt>
                  <c:pt idx="137">
                    <c:v>2030-05-01</c:v>
                  </c:pt>
                  <c:pt idx="138">
                    <c:v>2030-06-01</c:v>
                  </c:pt>
                  <c:pt idx="139">
                    <c:v>2030-07-01</c:v>
                  </c:pt>
                  <c:pt idx="140">
                    <c:v>2030-08-01</c:v>
                  </c:pt>
                  <c:pt idx="141">
                    <c:v>2030-09-01</c:v>
                  </c:pt>
                  <c:pt idx="142">
                    <c:v>2030-10-01</c:v>
                  </c:pt>
                  <c:pt idx="143">
                    <c:v>2030-11-01</c:v>
                  </c:pt>
                  <c:pt idx="144">
                    <c:v>2030-12-01</c:v>
                  </c:pt>
                </c:lvl>
              </c:multiLvlStrCache>
            </c:multiLvlStrRef>
          </c:cat>
          <c:val>
            <c:numRef>
              <c:f>Overview!$R$3:$R$147</c:f>
              <c:numCache>
                <c:formatCode>_("$"* #,##0.00_);_("$"* \(#,##0.00\);_("$"* "-"??_);_(@_)</c:formatCode>
                <c:ptCount val="14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-1200</c:v>
                </c:pt>
                <c:pt idx="22">
                  <c:v>-1200</c:v>
                </c:pt>
                <c:pt idx="23">
                  <c:v>-1200</c:v>
                </c:pt>
                <c:pt idx="24">
                  <c:v>-1200</c:v>
                </c:pt>
                <c:pt idx="25">
                  <c:v>-1255</c:v>
                </c:pt>
                <c:pt idx="26">
                  <c:v>-1200</c:v>
                </c:pt>
                <c:pt idx="27">
                  <c:v>-1200</c:v>
                </c:pt>
                <c:pt idx="28">
                  <c:v>-1200</c:v>
                </c:pt>
                <c:pt idx="29">
                  <c:v>-1200</c:v>
                </c:pt>
                <c:pt idx="30">
                  <c:v>-1200</c:v>
                </c:pt>
                <c:pt idx="31">
                  <c:v>-1200</c:v>
                </c:pt>
                <c:pt idx="32">
                  <c:v>-1200</c:v>
                </c:pt>
                <c:pt idx="33">
                  <c:v>-1235</c:v>
                </c:pt>
                <c:pt idx="34">
                  <c:v>-1235</c:v>
                </c:pt>
                <c:pt idx="35">
                  <c:v>-1235</c:v>
                </c:pt>
                <c:pt idx="36">
                  <c:v>-1235</c:v>
                </c:pt>
                <c:pt idx="37">
                  <c:v>-1235</c:v>
                </c:pt>
                <c:pt idx="38">
                  <c:v>-1235</c:v>
                </c:pt>
                <c:pt idx="39">
                  <c:v>-1235</c:v>
                </c:pt>
                <c:pt idx="40">
                  <c:v>-1235</c:v>
                </c:pt>
                <c:pt idx="41">
                  <c:v>-1235</c:v>
                </c:pt>
                <c:pt idx="42">
                  <c:v>-1235</c:v>
                </c:pt>
                <c:pt idx="43">
                  <c:v>-1235</c:v>
                </c:pt>
                <c:pt idx="44">
                  <c:v>-1235</c:v>
                </c:pt>
                <c:pt idx="45">
                  <c:v>-1325</c:v>
                </c:pt>
                <c:pt idx="46">
                  <c:v>-1325</c:v>
                </c:pt>
                <c:pt idx="47">
                  <c:v>-1325</c:v>
                </c:pt>
                <c:pt idx="48">
                  <c:v>-1325</c:v>
                </c:pt>
                <c:pt idx="49">
                  <c:v>-1325</c:v>
                </c:pt>
                <c:pt idx="50">
                  <c:v>-1325</c:v>
                </c:pt>
                <c:pt idx="51">
                  <c:v>-1325</c:v>
                </c:pt>
                <c:pt idx="52">
                  <c:v>-1325</c:v>
                </c:pt>
                <c:pt idx="53">
                  <c:v>-1325</c:v>
                </c:pt>
                <c:pt idx="54">
                  <c:v>-1325</c:v>
                </c:pt>
                <c:pt idx="55">
                  <c:v>-1325</c:v>
                </c:pt>
                <c:pt idx="56">
                  <c:v>-1325</c:v>
                </c:pt>
                <c:pt idx="57">
                  <c:v>-1425</c:v>
                </c:pt>
                <c:pt idx="58">
                  <c:v>-1425</c:v>
                </c:pt>
                <c:pt idx="59">
                  <c:v>-1425</c:v>
                </c:pt>
                <c:pt idx="60">
                  <c:v>-1425</c:v>
                </c:pt>
                <c:pt idx="61">
                  <c:v>-1425</c:v>
                </c:pt>
                <c:pt idx="62">
                  <c:v>-1425</c:v>
                </c:pt>
                <c:pt idx="63">
                  <c:v>-1425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Overview!$S$2</c:f>
              <c:strCache>
                <c:ptCount val="1"/>
                <c:pt idx="0">
                  <c:v>Sasktel</c:v>
                </c:pt>
              </c:strCache>
            </c:strRef>
          </c:tx>
          <c:marker>
            <c:symbol val="none"/>
          </c:marker>
          <c:cat>
            <c:multiLvlStrRef>
              <c:f>Overview!$A$3:$B$147</c:f>
              <c:multiLvlStrCache>
                <c:ptCount val="145"/>
                <c:lvl>
                  <c:pt idx="1">
                    <c:v>January 2019</c:v>
                  </c:pt>
                  <c:pt idx="2">
                    <c:v>February 2019</c:v>
                  </c:pt>
                  <c:pt idx="3">
                    <c:v>March 2019</c:v>
                  </c:pt>
                  <c:pt idx="4">
                    <c:v>April 2019</c:v>
                  </c:pt>
                  <c:pt idx="5">
                    <c:v>May 2019</c:v>
                  </c:pt>
                  <c:pt idx="6">
                    <c:v>June 2019</c:v>
                  </c:pt>
                  <c:pt idx="7">
                    <c:v>July 2019</c:v>
                  </c:pt>
                  <c:pt idx="8">
                    <c:v>August 2019</c:v>
                  </c:pt>
                  <c:pt idx="9">
                    <c:v>September 2019</c:v>
                  </c:pt>
                  <c:pt idx="10">
                    <c:v>October 2019</c:v>
                  </c:pt>
                  <c:pt idx="11">
                    <c:v>November 2019</c:v>
                  </c:pt>
                  <c:pt idx="12">
                    <c:v>December 2019</c:v>
                  </c:pt>
                  <c:pt idx="13">
                    <c:v>January 2020</c:v>
                  </c:pt>
                  <c:pt idx="14">
                    <c:v>February 2020</c:v>
                  </c:pt>
                  <c:pt idx="15">
                    <c:v>March 2020</c:v>
                  </c:pt>
                  <c:pt idx="16">
                    <c:v>April 2020</c:v>
                  </c:pt>
                  <c:pt idx="17">
                    <c:v>May 2020</c:v>
                  </c:pt>
                  <c:pt idx="18">
                    <c:v>June 2020</c:v>
                  </c:pt>
                  <c:pt idx="19">
                    <c:v>July 2020</c:v>
                  </c:pt>
                  <c:pt idx="20">
                    <c:v>August 2020</c:v>
                  </c:pt>
                  <c:pt idx="21">
                    <c:v>September 2020</c:v>
                  </c:pt>
                  <c:pt idx="22">
                    <c:v>October 2020</c:v>
                  </c:pt>
                  <c:pt idx="23">
                    <c:v>November 2020</c:v>
                  </c:pt>
                  <c:pt idx="24">
                    <c:v>December 2020</c:v>
                  </c:pt>
                  <c:pt idx="25">
                    <c:v>January 2021</c:v>
                  </c:pt>
                  <c:pt idx="26">
                    <c:v>February 2021</c:v>
                  </c:pt>
                  <c:pt idx="27">
                    <c:v>March 2021</c:v>
                  </c:pt>
                  <c:pt idx="28">
                    <c:v>April 2021</c:v>
                  </c:pt>
                  <c:pt idx="29">
                    <c:v>May 2021</c:v>
                  </c:pt>
                  <c:pt idx="30">
                    <c:v>June 2021</c:v>
                  </c:pt>
                  <c:pt idx="31">
                    <c:v>July 2021</c:v>
                  </c:pt>
                  <c:pt idx="32">
                    <c:v>August 2021</c:v>
                  </c:pt>
                  <c:pt idx="33">
                    <c:v>September 2021</c:v>
                  </c:pt>
                  <c:pt idx="34">
                    <c:v>October 2021</c:v>
                  </c:pt>
                  <c:pt idx="35">
                    <c:v>November 2021</c:v>
                  </c:pt>
                  <c:pt idx="36">
                    <c:v>December 2021</c:v>
                  </c:pt>
                  <c:pt idx="37">
                    <c:v>January 2022</c:v>
                  </c:pt>
                  <c:pt idx="38">
                    <c:v>February 2022</c:v>
                  </c:pt>
                  <c:pt idx="39">
                    <c:v>March 2022</c:v>
                  </c:pt>
                  <c:pt idx="40">
                    <c:v>April 2022</c:v>
                  </c:pt>
                  <c:pt idx="41">
                    <c:v>May 2022</c:v>
                  </c:pt>
                  <c:pt idx="42">
                    <c:v>June 2022</c:v>
                  </c:pt>
                  <c:pt idx="43">
                    <c:v>July 2022</c:v>
                  </c:pt>
                  <c:pt idx="44">
                    <c:v>August 2022</c:v>
                  </c:pt>
                  <c:pt idx="45">
                    <c:v>September 2022</c:v>
                  </c:pt>
                  <c:pt idx="46">
                    <c:v>October 2022</c:v>
                  </c:pt>
                  <c:pt idx="47">
                    <c:v>November 2022</c:v>
                  </c:pt>
                  <c:pt idx="48">
                    <c:v>December 2022</c:v>
                  </c:pt>
                  <c:pt idx="49">
                    <c:v>January 2023</c:v>
                  </c:pt>
                  <c:pt idx="50">
                    <c:v>February 2023</c:v>
                  </c:pt>
                  <c:pt idx="51">
                    <c:v>March 2023</c:v>
                  </c:pt>
                  <c:pt idx="52">
                    <c:v>April 2023</c:v>
                  </c:pt>
                  <c:pt idx="53">
                    <c:v>May 2023</c:v>
                  </c:pt>
                  <c:pt idx="54">
                    <c:v>June 2023</c:v>
                  </c:pt>
                  <c:pt idx="55">
                    <c:v>July 2023</c:v>
                  </c:pt>
                  <c:pt idx="56">
                    <c:v>August 2023</c:v>
                  </c:pt>
                  <c:pt idx="57">
                    <c:v>September 2023</c:v>
                  </c:pt>
                  <c:pt idx="58">
                    <c:v>October 2023</c:v>
                  </c:pt>
                  <c:pt idx="59">
                    <c:v>November 2023</c:v>
                  </c:pt>
                  <c:pt idx="60">
                    <c:v>December 2023</c:v>
                  </c:pt>
                  <c:pt idx="61">
                    <c:v>January 2024</c:v>
                  </c:pt>
                  <c:pt idx="62">
                    <c:v>February 2024</c:v>
                  </c:pt>
                  <c:pt idx="63">
                    <c:v>March 2024</c:v>
                  </c:pt>
                  <c:pt idx="64">
                    <c:v>April 2024</c:v>
                  </c:pt>
                  <c:pt idx="65">
                    <c:v>May 2024</c:v>
                  </c:pt>
                  <c:pt idx="66">
                    <c:v>June 2024</c:v>
                  </c:pt>
                  <c:pt idx="67">
                    <c:v>July 2024</c:v>
                  </c:pt>
                  <c:pt idx="68">
                    <c:v>August 2024</c:v>
                  </c:pt>
                  <c:pt idx="69">
                    <c:v>September 2024</c:v>
                  </c:pt>
                  <c:pt idx="70">
                    <c:v>October 2024</c:v>
                  </c:pt>
                  <c:pt idx="71">
                    <c:v>November 2024</c:v>
                  </c:pt>
                  <c:pt idx="72">
                    <c:v>December 2024</c:v>
                  </c:pt>
                  <c:pt idx="73">
                    <c:v>January 2025</c:v>
                  </c:pt>
                  <c:pt idx="74">
                    <c:v>February 2025</c:v>
                  </c:pt>
                  <c:pt idx="75">
                    <c:v>March 2025</c:v>
                  </c:pt>
                  <c:pt idx="76">
                    <c:v>April 2025</c:v>
                  </c:pt>
                  <c:pt idx="77">
                    <c:v>May 2025</c:v>
                  </c:pt>
                  <c:pt idx="78">
                    <c:v>June 2025</c:v>
                  </c:pt>
                  <c:pt idx="79">
                    <c:v>July 2025</c:v>
                  </c:pt>
                  <c:pt idx="80">
                    <c:v>August 2025</c:v>
                  </c:pt>
                  <c:pt idx="81">
                    <c:v>September 2025</c:v>
                  </c:pt>
                  <c:pt idx="82">
                    <c:v>October 2025</c:v>
                  </c:pt>
                  <c:pt idx="83">
                    <c:v>November 2025</c:v>
                  </c:pt>
                  <c:pt idx="84">
                    <c:v>December 2025</c:v>
                  </c:pt>
                  <c:pt idx="85">
                    <c:v>January 2026</c:v>
                  </c:pt>
                  <c:pt idx="86">
                    <c:v>February 2026</c:v>
                  </c:pt>
                  <c:pt idx="87">
                    <c:v>March 2026</c:v>
                  </c:pt>
                  <c:pt idx="88">
                    <c:v>April 2026</c:v>
                  </c:pt>
                  <c:pt idx="89">
                    <c:v>May 2026</c:v>
                  </c:pt>
                  <c:pt idx="90">
                    <c:v>June 2026</c:v>
                  </c:pt>
                  <c:pt idx="91">
                    <c:v>July 2026</c:v>
                  </c:pt>
                  <c:pt idx="92">
                    <c:v>August 2026</c:v>
                  </c:pt>
                  <c:pt idx="93">
                    <c:v>September 2026</c:v>
                  </c:pt>
                  <c:pt idx="94">
                    <c:v>October 2026</c:v>
                  </c:pt>
                  <c:pt idx="95">
                    <c:v>November 2026</c:v>
                  </c:pt>
                  <c:pt idx="96">
                    <c:v>December 2026</c:v>
                  </c:pt>
                  <c:pt idx="97">
                    <c:v>January 2027</c:v>
                  </c:pt>
                  <c:pt idx="98">
                    <c:v>February 2027</c:v>
                  </c:pt>
                  <c:pt idx="99">
                    <c:v>March 2027</c:v>
                  </c:pt>
                  <c:pt idx="100">
                    <c:v>April 2027</c:v>
                  </c:pt>
                  <c:pt idx="101">
                    <c:v>May 2027</c:v>
                  </c:pt>
                  <c:pt idx="102">
                    <c:v>June 2027</c:v>
                  </c:pt>
                  <c:pt idx="103">
                    <c:v>July 2027</c:v>
                  </c:pt>
                  <c:pt idx="104">
                    <c:v>August 2027</c:v>
                  </c:pt>
                  <c:pt idx="105">
                    <c:v>September 2027</c:v>
                  </c:pt>
                  <c:pt idx="106">
                    <c:v>October 2027</c:v>
                  </c:pt>
                  <c:pt idx="107">
                    <c:v>November 2027</c:v>
                  </c:pt>
                  <c:pt idx="108">
                    <c:v>December 2027</c:v>
                  </c:pt>
                  <c:pt idx="109">
                    <c:v>January 2028</c:v>
                  </c:pt>
                  <c:pt idx="110">
                    <c:v>February 2028</c:v>
                  </c:pt>
                  <c:pt idx="111">
                    <c:v>March 2028</c:v>
                  </c:pt>
                  <c:pt idx="112">
                    <c:v>April 2028</c:v>
                  </c:pt>
                  <c:pt idx="113">
                    <c:v>May 2028</c:v>
                  </c:pt>
                  <c:pt idx="114">
                    <c:v>June 2028</c:v>
                  </c:pt>
                  <c:pt idx="115">
                    <c:v>July 2028</c:v>
                  </c:pt>
                  <c:pt idx="116">
                    <c:v>August 2028</c:v>
                  </c:pt>
                  <c:pt idx="117">
                    <c:v>September 2028</c:v>
                  </c:pt>
                  <c:pt idx="118">
                    <c:v>October 2028</c:v>
                  </c:pt>
                  <c:pt idx="119">
                    <c:v>November 2028</c:v>
                  </c:pt>
                  <c:pt idx="120">
                    <c:v>December 2028</c:v>
                  </c:pt>
                  <c:pt idx="121">
                    <c:v>January 2029</c:v>
                  </c:pt>
                  <c:pt idx="122">
                    <c:v>February 2029</c:v>
                  </c:pt>
                  <c:pt idx="123">
                    <c:v>March 2029</c:v>
                  </c:pt>
                  <c:pt idx="124">
                    <c:v>April 2029</c:v>
                  </c:pt>
                  <c:pt idx="125">
                    <c:v>May 2029</c:v>
                  </c:pt>
                  <c:pt idx="126">
                    <c:v>June 2029</c:v>
                  </c:pt>
                  <c:pt idx="127">
                    <c:v>July 2029</c:v>
                  </c:pt>
                  <c:pt idx="128">
                    <c:v>August 2029</c:v>
                  </c:pt>
                  <c:pt idx="129">
                    <c:v>September 2029</c:v>
                  </c:pt>
                  <c:pt idx="130">
                    <c:v>October 2029</c:v>
                  </c:pt>
                  <c:pt idx="131">
                    <c:v>November 2029</c:v>
                  </c:pt>
                  <c:pt idx="132">
                    <c:v>December 2029</c:v>
                  </c:pt>
                  <c:pt idx="133">
                    <c:v>January 2030</c:v>
                  </c:pt>
                  <c:pt idx="134">
                    <c:v>February 2030</c:v>
                  </c:pt>
                  <c:pt idx="135">
                    <c:v>March 2030</c:v>
                  </c:pt>
                  <c:pt idx="136">
                    <c:v>April 2030</c:v>
                  </c:pt>
                  <c:pt idx="137">
                    <c:v>May 2030</c:v>
                  </c:pt>
                  <c:pt idx="138">
                    <c:v>June 2030</c:v>
                  </c:pt>
                  <c:pt idx="139">
                    <c:v>July 2030</c:v>
                  </c:pt>
                  <c:pt idx="140">
                    <c:v>August 2030</c:v>
                  </c:pt>
                  <c:pt idx="141">
                    <c:v>September 2030</c:v>
                  </c:pt>
                  <c:pt idx="142">
                    <c:v>October 2030</c:v>
                  </c:pt>
                  <c:pt idx="143">
                    <c:v>November 2030</c:v>
                  </c:pt>
                  <c:pt idx="144">
                    <c:v>December 2030</c:v>
                  </c:pt>
                </c:lvl>
                <c:lvl>
                  <c:pt idx="1">
                    <c:v>2019-01-01</c:v>
                  </c:pt>
                  <c:pt idx="2">
                    <c:v>2019-02-01</c:v>
                  </c:pt>
                  <c:pt idx="3">
                    <c:v>2019-03-01</c:v>
                  </c:pt>
                  <c:pt idx="4">
                    <c:v>2019-04-01</c:v>
                  </c:pt>
                  <c:pt idx="5">
                    <c:v>2019-05-01</c:v>
                  </c:pt>
                  <c:pt idx="6">
                    <c:v>2019-06-01</c:v>
                  </c:pt>
                  <c:pt idx="7">
                    <c:v>2019-07-01</c:v>
                  </c:pt>
                  <c:pt idx="8">
                    <c:v>2019-08-01</c:v>
                  </c:pt>
                  <c:pt idx="9">
                    <c:v>2019-09-01</c:v>
                  </c:pt>
                  <c:pt idx="10">
                    <c:v>2019-10-01</c:v>
                  </c:pt>
                  <c:pt idx="11">
                    <c:v>2019-11-01</c:v>
                  </c:pt>
                  <c:pt idx="12">
                    <c:v>2019-12-01</c:v>
                  </c:pt>
                  <c:pt idx="13">
                    <c:v>2020-01-01</c:v>
                  </c:pt>
                  <c:pt idx="14">
                    <c:v>2020-02-01</c:v>
                  </c:pt>
                  <c:pt idx="15">
                    <c:v>2020-03-01</c:v>
                  </c:pt>
                  <c:pt idx="16">
                    <c:v>2020-04-01</c:v>
                  </c:pt>
                  <c:pt idx="17">
                    <c:v>2020-05-01</c:v>
                  </c:pt>
                  <c:pt idx="18">
                    <c:v>2020-06-01</c:v>
                  </c:pt>
                  <c:pt idx="19">
                    <c:v>2020-07-01</c:v>
                  </c:pt>
                  <c:pt idx="20">
                    <c:v>2020-08-01</c:v>
                  </c:pt>
                  <c:pt idx="21">
                    <c:v>2020-09-01</c:v>
                  </c:pt>
                  <c:pt idx="22">
                    <c:v>2020-10-01</c:v>
                  </c:pt>
                  <c:pt idx="23">
                    <c:v>2020-11-01</c:v>
                  </c:pt>
                  <c:pt idx="24">
                    <c:v>2020-12-01</c:v>
                  </c:pt>
                  <c:pt idx="25">
                    <c:v>2021-01-01</c:v>
                  </c:pt>
                  <c:pt idx="26">
                    <c:v>2021-02-01</c:v>
                  </c:pt>
                  <c:pt idx="27">
                    <c:v>2021-03-01</c:v>
                  </c:pt>
                  <c:pt idx="28">
                    <c:v>2021-04-01</c:v>
                  </c:pt>
                  <c:pt idx="29">
                    <c:v>2021-05-01</c:v>
                  </c:pt>
                  <c:pt idx="30">
                    <c:v>2021-06-01</c:v>
                  </c:pt>
                  <c:pt idx="31">
                    <c:v>2021-07-01</c:v>
                  </c:pt>
                  <c:pt idx="32">
                    <c:v>2021-08-01</c:v>
                  </c:pt>
                  <c:pt idx="33">
                    <c:v>2021-09-01</c:v>
                  </c:pt>
                  <c:pt idx="34">
                    <c:v>2021-10-01</c:v>
                  </c:pt>
                  <c:pt idx="35">
                    <c:v>2021-11-01</c:v>
                  </c:pt>
                  <c:pt idx="36">
                    <c:v>2021-12-01</c:v>
                  </c:pt>
                  <c:pt idx="37">
                    <c:v>2022-01-01</c:v>
                  </c:pt>
                  <c:pt idx="38">
                    <c:v>2022-02-01</c:v>
                  </c:pt>
                  <c:pt idx="39">
                    <c:v>2022-03-01</c:v>
                  </c:pt>
                  <c:pt idx="40">
                    <c:v>2022-04-01</c:v>
                  </c:pt>
                  <c:pt idx="41">
                    <c:v>2022-05-01</c:v>
                  </c:pt>
                  <c:pt idx="42">
                    <c:v>2022-06-01</c:v>
                  </c:pt>
                  <c:pt idx="43">
                    <c:v>2022-07-01</c:v>
                  </c:pt>
                  <c:pt idx="44">
                    <c:v>2022-08-01</c:v>
                  </c:pt>
                  <c:pt idx="45">
                    <c:v>2022-09-01</c:v>
                  </c:pt>
                  <c:pt idx="46">
                    <c:v>2022-10-01</c:v>
                  </c:pt>
                  <c:pt idx="47">
                    <c:v>2022-11-01</c:v>
                  </c:pt>
                  <c:pt idx="48">
                    <c:v>2022-12-01</c:v>
                  </c:pt>
                  <c:pt idx="49">
                    <c:v>2023-01-01</c:v>
                  </c:pt>
                  <c:pt idx="50">
                    <c:v>2023-02-01</c:v>
                  </c:pt>
                  <c:pt idx="51">
                    <c:v>2023-03-01</c:v>
                  </c:pt>
                  <c:pt idx="52">
                    <c:v>2023-04-01</c:v>
                  </c:pt>
                  <c:pt idx="53">
                    <c:v>2023-05-01</c:v>
                  </c:pt>
                  <c:pt idx="54">
                    <c:v>2023-06-01</c:v>
                  </c:pt>
                  <c:pt idx="55">
                    <c:v>2023-07-01</c:v>
                  </c:pt>
                  <c:pt idx="56">
                    <c:v>2023-08-01</c:v>
                  </c:pt>
                  <c:pt idx="57">
                    <c:v>2023-09-01</c:v>
                  </c:pt>
                  <c:pt idx="58">
                    <c:v>2023-10-01</c:v>
                  </c:pt>
                  <c:pt idx="59">
                    <c:v>2023-11-01</c:v>
                  </c:pt>
                  <c:pt idx="60">
                    <c:v>2023-12-01</c:v>
                  </c:pt>
                  <c:pt idx="61">
                    <c:v>2024-01-01</c:v>
                  </c:pt>
                  <c:pt idx="62">
                    <c:v>2024-02-01</c:v>
                  </c:pt>
                  <c:pt idx="63">
                    <c:v>2024-03-01</c:v>
                  </c:pt>
                  <c:pt idx="64">
                    <c:v>2024-04-01</c:v>
                  </c:pt>
                  <c:pt idx="65">
                    <c:v>2024-05-01</c:v>
                  </c:pt>
                  <c:pt idx="66">
                    <c:v>2024-06-01</c:v>
                  </c:pt>
                  <c:pt idx="67">
                    <c:v>2024-07-01</c:v>
                  </c:pt>
                  <c:pt idx="68">
                    <c:v>2024-08-01</c:v>
                  </c:pt>
                  <c:pt idx="69">
                    <c:v>2024-09-01</c:v>
                  </c:pt>
                  <c:pt idx="70">
                    <c:v>2024-10-01</c:v>
                  </c:pt>
                  <c:pt idx="71">
                    <c:v>2024-11-01</c:v>
                  </c:pt>
                  <c:pt idx="72">
                    <c:v>2024-12-01</c:v>
                  </c:pt>
                  <c:pt idx="73">
                    <c:v>2025-01-01</c:v>
                  </c:pt>
                  <c:pt idx="74">
                    <c:v>2025-02-01</c:v>
                  </c:pt>
                  <c:pt idx="75">
                    <c:v>2025-03-01</c:v>
                  </c:pt>
                  <c:pt idx="76">
                    <c:v>2025-04-01</c:v>
                  </c:pt>
                  <c:pt idx="77">
                    <c:v>2025-05-01</c:v>
                  </c:pt>
                  <c:pt idx="78">
                    <c:v>2025-06-01</c:v>
                  </c:pt>
                  <c:pt idx="79">
                    <c:v>2025-07-01</c:v>
                  </c:pt>
                  <c:pt idx="80">
                    <c:v>2025-08-01</c:v>
                  </c:pt>
                  <c:pt idx="81">
                    <c:v>2025-09-01</c:v>
                  </c:pt>
                  <c:pt idx="82">
                    <c:v>2025-10-01</c:v>
                  </c:pt>
                  <c:pt idx="83">
                    <c:v>2025-11-01</c:v>
                  </c:pt>
                  <c:pt idx="84">
                    <c:v>2025-12-01</c:v>
                  </c:pt>
                  <c:pt idx="85">
                    <c:v>2026-01-01</c:v>
                  </c:pt>
                  <c:pt idx="86">
                    <c:v>2026-02-01</c:v>
                  </c:pt>
                  <c:pt idx="87">
                    <c:v>2026-03-01</c:v>
                  </c:pt>
                  <c:pt idx="88">
                    <c:v>2026-04-01</c:v>
                  </c:pt>
                  <c:pt idx="89">
                    <c:v>2026-05-01</c:v>
                  </c:pt>
                  <c:pt idx="90">
                    <c:v>2026-06-01</c:v>
                  </c:pt>
                  <c:pt idx="91">
                    <c:v>2026-07-01</c:v>
                  </c:pt>
                  <c:pt idx="92">
                    <c:v>2026-08-01</c:v>
                  </c:pt>
                  <c:pt idx="93">
                    <c:v>2026-09-01</c:v>
                  </c:pt>
                  <c:pt idx="94">
                    <c:v>2026-10-01</c:v>
                  </c:pt>
                  <c:pt idx="95">
                    <c:v>2026-11-01</c:v>
                  </c:pt>
                  <c:pt idx="96">
                    <c:v>2026-12-01</c:v>
                  </c:pt>
                  <c:pt idx="97">
                    <c:v>2027-01-01</c:v>
                  </c:pt>
                  <c:pt idx="98">
                    <c:v>2027-02-01</c:v>
                  </c:pt>
                  <c:pt idx="99">
                    <c:v>2027-03-01</c:v>
                  </c:pt>
                  <c:pt idx="100">
                    <c:v>2027-04-01</c:v>
                  </c:pt>
                  <c:pt idx="101">
                    <c:v>2027-05-01</c:v>
                  </c:pt>
                  <c:pt idx="102">
                    <c:v>2027-06-01</c:v>
                  </c:pt>
                  <c:pt idx="103">
                    <c:v>2027-07-01</c:v>
                  </c:pt>
                  <c:pt idx="104">
                    <c:v>2027-08-01</c:v>
                  </c:pt>
                  <c:pt idx="105">
                    <c:v>2027-09-01</c:v>
                  </c:pt>
                  <c:pt idx="106">
                    <c:v>2027-10-01</c:v>
                  </c:pt>
                  <c:pt idx="107">
                    <c:v>2027-11-01</c:v>
                  </c:pt>
                  <c:pt idx="108">
                    <c:v>2027-12-01</c:v>
                  </c:pt>
                  <c:pt idx="109">
                    <c:v>2028-01-01</c:v>
                  </c:pt>
                  <c:pt idx="110">
                    <c:v>2028-02-01</c:v>
                  </c:pt>
                  <c:pt idx="111">
                    <c:v>2028-03-01</c:v>
                  </c:pt>
                  <c:pt idx="112">
                    <c:v>2028-04-01</c:v>
                  </c:pt>
                  <c:pt idx="113">
                    <c:v>2028-05-01</c:v>
                  </c:pt>
                  <c:pt idx="114">
                    <c:v>2028-06-01</c:v>
                  </c:pt>
                  <c:pt idx="115">
                    <c:v>2028-07-01</c:v>
                  </c:pt>
                  <c:pt idx="116">
                    <c:v>2028-08-01</c:v>
                  </c:pt>
                  <c:pt idx="117">
                    <c:v>2028-09-01</c:v>
                  </c:pt>
                  <c:pt idx="118">
                    <c:v>2028-10-01</c:v>
                  </c:pt>
                  <c:pt idx="119">
                    <c:v>2028-11-01</c:v>
                  </c:pt>
                  <c:pt idx="120">
                    <c:v>2028-12-01</c:v>
                  </c:pt>
                  <c:pt idx="121">
                    <c:v>2029-01-01</c:v>
                  </c:pt>
                  <c:pt idx="122">
                    <c:v>2029-02-01</c:v>
                  </c:pt>
                  <c:pt idx="123">
                    <c:v>2029-03-01</c:v>
                  </c:pt>
                  <c:pt idx="124">
                    <c:v>2029-04-01</c:v>
                  </c:pt>
                  <c:pt idx="125">
                    <c:v>2029-05-01</c:v>
                  </c:pt>
                  <c:pt idx="126">
                    <c:v>2029-06-01</c:v>
                  </c:pt>
                  <c:pt idx="127">
                    <c:v>2029-07-01</c:v>
                  </c:pt>
                  <c:pt idx="128">
                    <c:v>2029-08-01</c:v>
                  </c:pt>
                  <c:pt idx="129">
                    <c:v>2029-09-01</c:v>
                  </c:pt>
                  <c:pt idx="130">
                    <c:v>2029-10-01</c:v>
                  </c:pt>
                  <c:pt idx="131">
                    <c:v>2029-11-01</c:v>
                  </c:pt>
                  <c:pt idx="132">
                    <c:v>2029-12-01</c:v>
                  </c:pt>
                  <c:pt idx="133">
                    <c:v>2030-01-01</c:v>
                  </c:pt>
                  <c:pt idx="134">
                    <c:v>2030-02-01</c:v>
                  </c:pt>
                  <c:pt idx="135">
                    <c:v>2030-03-01</c:v>
                  </c:pt>
                  <c:pt idx="136">
                    <c:v>2030-04-01</c:v>
                  </c:pt>
                  <c:pt idx="137">
                    <c:v>2030-05-01</c:v>
                  </c:pt>
                  <c:pt idx="138">
                    <c:v>2030-06-01</c:v>
                  </c:pt>
                  <c:pt idx="139">
                    <c:v>2030-07-01</c:v>
                  </c:pt>
                  <c:pt idx="140">
                    <c:v>2030-08-01</c:v>
                  </c:pt>
                  <c:pt idx="141">
                    <c:v>2030-09-01</c:v>
                  </c:pt>
                  <c:pt idx="142">
                    <c:v>2030-10-01</c:v>
                  </c:pt>
                  <c:pt idx="143">
                    <c:v>2030-11-01</c:v>
                  </c:pt>
                  <c:pt idx="144">
                    <c:v>2030-12-01</c:v>
                  </c:pt>
                </c:lvl>
              </c:multiLvlStrCache>
            </c:multiLvlStrRef>
          </c:cat>
          <c:val>
            <c:numRef>
              <c:f>Overview!$S$3:$S$147</c:f>
              <c:numCache>
                <c:formatCode>_("$"* #,##0.00_);_("$"* \(#,##0.00\);_("$"* "-"??_);_(@_)</c:formatCode>
                <c:ptCount val="14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-65.94</c:v>
                </c:pt>
                <c:pt idx="16">
                  <c:v>-56.78</c:v>
                </c:pt>
                <c:pt idx="17">
                  <c:v>-56.78</c:v>
                </c:pt>
                <c:pt idx="18">
                  <c:v>-56.78</c:v>
                </c:pt>
                <c:pt idx="19">
                  <c:v>-56.78</c:v>
                </c:pt>
                <c:pt idx="20">
                  <c:v>-106.73</c:v>
                </c:pt>
                <c:pt idx="21">
                  <c:v>-56.78</c:v>
                </c:pt>
                <c:pt idx="22">
                  <c:v>-154.49</c:v>
                </c:pt>
                <c:pt idx="23">
                  <c:v>-117.78</c:v>
                </c:pt>
                <c:pt idx="24">
                  <c:v>-162.18</c:v>
                </c:pt>
                <c:pt idx="25">
                  <c:v>-117.78</c:v>
                </c:pt>
                <c:pt idx="26">
                  <c:v>-117.78</c:v>
                </c:pt>
                <c:pt idx="27">
                  <c:v>-117.78</c:v>
                </c:pt>
                <c:pt idx="28">
                  <c:v>-117.78</c:v>
                </c:pt>
                <c:pt idx="29">
                  <c:v>-117.78</c:v>
                </c:pt>
                <c:pt idx="30">
                  <c:v>-118.81</c:v>
                </c:pt>
                <c:pt idx="31">
                  <c:v>-118.81</c:v>
                </c:pt>
                <c:pt idx="32">
                  <c:v>-118.81</c:v>
                </c:pt>
                <c:pt idx="33">
                  <c:v>-124.36</c:v>
                </c:pt>
                <c:pt idx="34">
                  <c:v>-126.39</c:v>
                </c:pt>
                <c:pt idx="35">
                  <c:v>-124.36</c:v>
                </c:pt>
                <c:pt idx="36">
                  <c:v>-124.36</c:v>
                </c:pt>
                <c:pt idx="37">
                  <c:v>-124.36</c:v>
                </c:pt>
                <c:pt idx="38">
                  <c:v>-119.15</c:v>
                </c:pt>
                <c:pt idx="39">
                  <c:v>0</c:v>
                </c:pt>
                <c:pt idx="40">
                  <c:v>-244.63</c:v>
                </c:pt>
                <c:pt idx="41">
                  <c:v>-123.08</c:v>
                </c:pt>
                <c:pt idx="42">
                  <c:v>-138.09</c:v>
                </c:pt>
                <c:pt idx="43">
                  <c:v>-121.53</c:v>
                </c:pt>
                <c:pt idx="44">
                  <c:v>-165.93</c:v>
                </c:pt>
                <c:pt idx="45">
                  <c:v>-127.08</c:v>
                </c:pt>
                <c:pt idx="46">
                  <c:v>-177.03</c:v>
                </c:pt>
                <c:pt idx="47">
                  <c:v>-121.53</c:v>
                </c:pt>
                <c:pt idx="48">
                  <c:v>-121.53</c:v>
                </c:pt>
                <c:pt idx="49">
                  <c:v>-121.53</c:v>
                </c:pt>
                <c:pt idx="50">
                  <c:v>-177.03</c:v>
                </c:pt>
                <c:pt idx="51">
                  <c:v>-121.53</c:v>
                </c:pt>
                <c:pt idx="52">
                  <c:v>-143.73000000000002</c:v>
                </c:pt>
                <c:pt idx="53">
                  <c:v>-121.88</c:v>
                </c:pt>
                <c:pt idx="54">
                  <c:v>-154.95999999999998</c:v>
                </c:pt>
                <c:pt idx="55">
                  <c:v>-66.55</c:v>
                </c:pt>
                <c:pt idx="56">
                  <c:v>-276.67</c:v>
                </c:pt>
                <c:pt idx="57">
                  <c:v>-177.16</c:v>
                </c:pt>
                <c:pt idx="58">
                  <c:v>-202.22</c:v>
                </c:pt>
                <c:pt idx="59">
                  <c:v>-160.51</c:v>
                </c:pt>
                <c:pt idx="60">
                  <c:v>-182.70999999999998</c:v>
                </c:pt>
                <c:pt idx="61">
                  <c:v>-164.51999999999998</c:v>
                </c:pt>
                <c:pt idx="62">
                  <c:v>-160.26</c:v>
                </c:pt>
                <c:pt idx="63">
                  <c:v>-195.7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Overview!$T$2</c:f>
              <c:strCache>
                <c:ptCount val="1"/>
                <c:pt idx="0">
                  <c:v>Total Monthly</c:v>
                </c:pt>
              </c:strCache>
            </c:strRef>
          </c:tx>
          <c:marker>
            <c:symbol val="none"/>
          </c:marker>
          <c:cat>
            <c:multiLvlStrRef>
              <c:f>Overview!$A$3:$B$147</c:f>
              <c:multiLvlStrCache>
                <c:ptCount val="145"/>
                <c:lvl>
                  <c:pt idx="1">
                    <c:v>January 2019</c:v>
                  </c:pt>
                  <c:pt idx="2">
                    <c:v>February 2019</c:v>
                  </c:pt>
                  <c:pt idx="3">
                    <c:v>March 2019</c:v>
                  </c:pt>
                  <c:pt idx="4">
                    <c:v>April 2019</c:v>
                  </c:pt>
                  <c:pt idx="5">
                    <c:v>May 2019</c:v>
                  </c:pt>
                  <c:pt idx="6">
                    <c:v>June 2019</c:v>
                  </c:pt>
                  <c:pt idx="7">
                    <c:v>July 2019</c:v>
                  </c:pt>
                  <c:pt idx="8">
                    <c:v>August 2019</c:v>
                  </c:pt>
                  <c:pt idx="9">
                    <c:v>September 2019</c:v>
                  </c:pt>
                  <c:pt idx="10">
                    <c:v>October 2019</c:v>
                  </c:pt>
                  <c:pt idx="11">
                    <c:v>November 2019</c:v>
                  </c:pt>
                  <c:pt idx="12">
                    <c:v>December 2019</c:v>
                  </c:pt>
                  <c:pt idx="13">
                    <c:v>January 2020</c:v>
                  </c:pt>
                  <c:pt idx="14">
                    <c:v>February 2020</c:v>
                  </c:pt>
                  <c:pt idx="15">
                    <c:v>March 2020</c:v>
                  </c:pt>
                  <c:pt idx="16">
                    <c:v>April 2020</c:v>
                  </c:pt>
                  <c:pt idx="17">
                    <c:v>May 2020</c:v>
                  </c:pt>
                  <c:pt idx="18">
                    <c:v>June 2020</c:v>
                  </c:pt>
                  <c:pt idx="19">
                    <c:v>July 2020</c:v>
                  </c:pt>
                  <c:pt idx="20">
                    <c:v>August 2020</c:v>
                  </c:pt>
                  <c:pt idx="21">
                    <c:v>September 2020</c:v>
                  </c:pt>
                  <c:pt idx="22">
                    <c:v>October 2020</c:v>
                  </c:pt>
                  <c:pt idx="23">
                    <c:v>November 2020</c:v>
                  </c:pt>
                  <c:pt idx="24">
                    <c:v>December 2020</c:v>
                  </c:pt>
                  <c:pt idx="25">
                    <c:v>January 2021</c:v>
                  </c:pt>
                  <c:pt idx="26">
                    <c:v>February 2021</c:v>
                  </c:pt>
                  <c:pt idx="27">
                    <c:v>March 2021</c:v>
                  </c:pt>
                  <c:pt idx="28">
                    <c:v>April 2021</c:v>
                  </c:pt>
                  <c:pt idx="29">
                    <c:v>May 2021</c:v>
                  </c:pt>
                  <c:pt idx="30">
                    <c:v>June 2021</c:v>
                  </c:pt>
                  <c:pt idx="31">
                    <c:v>July 2021</c:v>
                  </c:pt>
                  <c:pt idx="32">
                    <c:v>August 2021</c:v>
                  </c:pt>
                  <c:pt idx="33">
                    <c:v>September 2021</c:v>
                  </c:pt>
                  <c:pt idx="34">
                    <c:v>October 2021</c:v>
                  </c:pt>
                  <c:pt idx="35">
                    <c:v>November 2021</c:v>
                  </c:pt>
                  <c:pt idx="36">
                    <c:v>December 2021</c:v>
                  </c:pt>
                  <c:pt idx="37">
                    <c:v>January 2022</c:v>
                  </c:pt>
                  <c:pt idx="38">
                    <c:v>February 2022</c:v>
                  </c:pt>
                  <c:pt idx="39">
                    <c:v>March 2022</c:v>
                  </c:pt>
                  <c:pt idx="40">
                    <c:v>April 2022</c:v>
                  </c:pt>
                  <c:pt idx="41">
                    <c:v>May 2022</c:v>
                  </c:pt>
                  <c:pt idx="42">
                    <c:v>June 2022</c:v>
                  </c:pt>
                  <c:pt idx="43">
                    <c:v>July 2022</c:v>
                  </c:pt>
                  <c:pt idx="44">
                    <c:v>August 2022</c:v>
                  </c:pt>
                  <c:pt idx="45">
                    <c:v>September 2022</c:v>
                  </c:pt>
                  <c:pt idx="46">
                    <c:v>October 2022</c:v>
                  </c:pt>
                  <c:pt idx="47">
                    <c:v>November 2022</c:v>
                  </c:pt>
                  <c:pt idx="48">
                    <c:v>December 2022</c:v>
                  </c:pt>
                  <c:pt idx="49">
                    <c:v>January 2023</c:v>
                  </c:pt>
                  <c:pt idx="50">
                    <c:v>February 2023</c:v>
                  </c:pt>
                  <c:pt idx="51">
                    <c:v>March 2023</c:v>
                  </c:pt>
                  <c:pt idx="52">
                    <c:v>April 2023</c:v>
                  </c:pt>
                  <c:pt idx="53">
                    <c:v>May 2023</c:v>
                  </c:pt>
                  <c:pt idx="54">
                    <c:v>June 2023</c:v>
                  </c:pt>
                  <c:pt idx="55">
                    <c:v>July 2023</c:v>
                  </c:pt>
                  <c:pt idx="56">
                    <c:v>August 2023</c:v>
                  </c:pt>
                  <c:pt idx="57">
                    <c:v>September 2023</c:v>
                  </c:pt>
                  <c:pt idx="58">
                    <c:v>October 2023</c:v>
                  </c:pt>
                  <c:pt idx="59">
                    <c:v>November 2023</c:v>
                  </c:pt>
                  <c:pt idx="60">
                    <c:v>December 2023</c:v>
                  </c:pt>
                  <c:pt idx="61">
                    <c:v>January 2024</c:v>
                  </c:pt>
                  <c:pt idx="62">
                    <c:v>February 2024</c:v>
                  </c:pt>
                  <c:pt idx="63">
                    <c:v>March 2024</c:v>
                  </c:pt>
                  <c:pt idx="64">
                    <c:v>April 2024</c:v>
                  </c:pt>
                  <c:pt idx="65">
                    <c:v>May 2024</c:v>
                  </c:pt>
                  <c:pt idx="66">
                    <c:v>June 2024</c:v>
                  </c:pt>
                  <c:pt idx="67">
                    <c:v>July 2024</c:v>
                  </c:pt>
                  <c:pt idx="68">
                    <c:v>August 2024</c:v>
                  </c:pt>
                  <c:pt idx="69">
                    <c:v>September 2024</c:v>
                  </c:pt>
                  <c:pt idx="70">
                    <c:v>October 2024</c:v>
                  </c:pt>
                  <c:pt idx="71">
                    <c:v>November 2024</c:v>
                  </c:pt>
                  <c:pt idx="72">
                    <c:v>December 2024</c:v>
                  </c:pt>
                  <c:pt idx="73">
                    <c:v>January 2025</c:v>
                  </c:pt>
                  <c:pt idx="74">
                    <c:v>February 2025</c:v>
                  </c:pt>
                  <c:pt idx="75">
                    <c:v>March 2025</c:v>
                  </c:pt>
                  <c:pt idx="76">
                    <c:v>April 2025</c:v>
                  </c:pt>
                  <c:pt idx="77">
                    <c:v>May 2025</c:v>
                  </c:pt>
                  <c:pt idx="78">
                    <c:v>June 2025</c:v>
                  </c:pt>
                  <c:pt idx="79">
                    <c:v>July 2025</c:v>
                  </c:pt>
                  <c:pt idx="80">
                    <c:v>August 2025</c:v>
                  </c:pt>
                  <c:pt idx="81">
                    <c:v>September 2025</c:v>
                  </c:pt>
                  <c:pt idx="82">
                    <c:v>October 2025</c:v>
                  </c:pt>
                  <c:pt idx="83">
                    <c:v>November 2025</c:v>
                  </c:pt>
                  <c:pt idx="84">
                    <c:v>December 2025</c:v>
                  </c:pt>
                  <c:pt idx="85">
                    <c:v>January 2026</c:v>
                  </c:pt>
                  <c:pt idx="86">
                    <c:v>February 2026</c:v>
                  </c:pt>
                  <c:pt idx="87">
                    <c:v>March 2026</c:v>
                  </c:pt>
                  <c:pt idx="88">
                    <c:v>April 2026</c:v>
                  </c:pt>
                  <c:pt idx="89">
                    <c:v>May 2026</c:v>
                  </c:pt>
                  <c:pt idx="90">
                    <c:v>June 2026</c:v>
                  </c:pt>
                  <c:pt idx="91">
                    <c:v>July 2026</c:v>
                  </c:pt>
                  <c:pt idx="92">
                    <c:v>August 2026</c:v>
                  </c:pt>
                  <c:pt idx="93">
                    <c:v>September 2026</c:v>
                  </c:pt>
                  <c:pt idx="94">
                    <c:v>October 2026</c:v>
                  </c:pt>
                  <c:pt idx="95">
                    <c:v>November 2026</c:v>
                  </c:pt>
                  <c:pt idx="96">
                    <c:v>December 2026</c:v>
                  </c:pt>
                  <c:pt idx="97">
                    <c:v>January 2027</c:v>
                  </c:pt>
                  <c:pt idx="98">
                    <c:v>February 2027</c:v>
                  </c:pt>
                  <c:pt idx="99">
                    <c:v>March 2027</c:v>
                  </c:pt>
                  <c:pt idx="100">
                    <c:v>April 2027</c:v>
                  </c:pt>
                  <c:pt idx="101">
                    <c:v>May 2027</c:v>
                  </c:pt>
                  <c:pt idx="102">
                    <c:v>June 2027</c:v>
                  </c:pt>
                  <c:pt idx="103">
                    <c:v>July 2027</c:v>
                  </c:pt>
                  <c:pt idx="104">
                    <c:v>August 2027</c:v>
                  </c:pt>
                  <c:pt idx="105">
                    <c:v>September 2027</c:v>
                  </c:pt>
                  <c:pt idx="106">
                    <c:v>October 2027</c:v>
                  </c:pt>
                  <c:pt idx="107">
                    <c:v>November 2027</c:v>
                  </c:pt>
                  <c:pt idx="108">
                    <c:v>December 2027</c:v>
                  </c:pt>
                  <c:pt idx="109">
                    <c:v>January 2028</c:v>
                  </c:pt>
                  <c:pt idx="110">
                    <c:v>February 2028</c:v>
                  </c:pt>
                  <c:pt idx="111">
                    <c:v>March 2028</c:v>
                  </c:pt>
                  <c:pt idx="112">
                    <c:v>April 2028</c:v>
                  </c:pt>
                  <c:pt idx="113">
                    <c:v>May 2028</c:v>
                  </c:pt>
                  <c:pt idx="114">
                    <c:v>June 2028</c:v>
                  </c:pt>
                  <c:pt idx="115">
                    <c:v>July 2028</c:v>
                  </c:pt>
                  <c:pt idx="116">
                    <c:v>August 2028</c:v>
                  </c:pt>
                  <c:pt idx="117">
                    <c:v>September 2028</c:v>
                  </c:pt>
                  <c:pt idx="118">
                    <c:v>October 2028</c:v>
                  </c:pt>
                  <c:pt idx="119">
                    <c:v>November 2028</c:v>
                  </c:pt>
                  <c:pt idx="120">
                    <c:v>December 2028</c:v>
                  </c:pt>
                  <c:pt idx="121">
                    <c:v>January 2029</c:v>
                  </c:pt>
                  <c:pt idx="122">
                    <c:v>February 2029</c:v>
                  </c:pt>
                  <c:pt idx="123">
                    <c:v>March 2029</c:v>
                  </c:pt>
                  <c:pt idx="124">
                    <c:v>April 2029</c:v>
                  </c:pt>
                  <c:pt idx="125">
                    <c:v>May 2029</c:v>
                  </c:pt>
                  <c:pt idx="126">
                    <c:v>June 2029</c:v>
                  </c:pt>
                  <c:pt idx="127">
                    <c:v>July 2029</c:v>
                  </c:pt>
                  <c:pt idx="128">
                    <c:v>August 2029</c:v>
                  </c:pt>
                  <c:pt idx="129">
                    <c:v>September 2029</c:v>
                  </c:pt>
                  <c:pt idx="130">
                    <c:v>October 2029</c:v>
                  </c:pt>
                  <c:pt idx="131">
                    <c:v>November 2029</c:v>
                  </c:pt>
                  <c:pt idx="132">
                    <c:v>December 2029</c:v>
                  </c:pt>
                  <c:pt idx="133">
                    <c:v>January 2030</c:v>
                  </c:pt>
                  <c:pt idx="134">
                    <c:v>February 2030</c:v>
                  </c:pt>
                  <c:pt idx="135">
                    <c:v>March 2030</c:v>
                  </c:pt>
                  <c:pt idx="136">
                    <c:v>April 2030</c:v>
                  </c:pt>
                  <c:pt idx="137">
                    <c:v>May 2030</c:v>
                  </c:pt>
                  <c:pt idx="138">
                    <c:v>June 2030</c:v>
                  </c:pt>
                  <c:pt idx="139">
                    <c:v>July 2030</c:v>
                  </c:pt>
                  <c:pt idx="140">
                    <c:v>August 2030</c:v>
                  </c:pt>
                  <c:pt idx="141">
                    <c:v>September 2030</c:v>
                  </c:pt>
                  <c:pt idx="142">
                    <c:v>October 2030</c:v>
                  </c:pt>
                  <c:pt idx="143">
                    <c:v>November 2030</c:v>
                  </c:pt>
                  <c:pt idx="144">
                    <c:v>December 2030</c:v>
                  </c:pt>
                </c:lvl>
                <c:lvl>
                  <c:pt idx="1">
                    <c:v>2019-01-01</c:v>
                  </c:pt>
                  <c:pt idx="2">
                    <c:v>2019-02-01</c:v>
                  </c:pt>
                  <c:pt idx="3">
                    <c:v>2019-03-01</c:v>
                  </c:pt>
                  <c:pt idx="4">
                    <c:v>2019-04-01</c:v>
                  </c:pt>
                  <c:pt idx="5">
                    <c:v>2019-05-01</c:v>
                  </c:pt>
                  <c:pt idx="6">
                    <c:v>2019-06-01</c:v>
                  </c:pt>
                  <c:pt idx="7">
                    <c:v>2019-07-01</c:v>
                  </c:pt>
                  <c:pt idx="8">
                    <c:v>2019-08-01</c:v>
                  </c:pt>
                  <c:pt idx="9">
                    <c:v>2019-09-01</c:v>
                  </c:pt>
                  <c:pt idx="10">
                    <c:v>2019-10-01</c:v>
                  </c:pt>
                  <c:pt idx="11">
                    <c:v>2019-11-01</c:v>
                  </c:pt>
                  <c:pt idx="12">
                    <c:v>2019-12-01</c:v>
                  </c:pt>
                  <c:pt idx="13">
                    <c:v>2020-01-01</c:v>
                  </c:pt>
                  <c:pt idx="14">
                    <c:v>2020-02-01</c:v>
                  </c:pt>
                  <c:pt idx="15">
                    <c:v>2020-03-01</c:v>
                  </c:pt>
                  <c:pt idx="16">
                    <c:v>2020-04-01</c:v>
                  </c:pt>
                  <c:pt idx="17">
                    <c:v>2020-05-01</c:v>
                  </c:pt>
                  <c:pt idx="18">
                    <c:v>2020-06-01</c:v>
                  </c:pt>
                  <c:pt idx="19">
                    <c:v>2020-07-01</c:v>
                  </c:pt>
                  <c:pt idx="20">
                    <c:v>2020-08-01</c:v>
                  </c:pt>
                  <c:pt idx="21">
                    <c:v>2020-09-01</c:v>
                  </c:pt>
                  <c:pt idx="22">
                    <c:v>2020-10-01</c:v>
                  </c:pt>
                  <c:pt idx="23">
                    <c:v>2020-11-01</c:v>
                  </c:pt>
                  <c:pt idx="24">
                    <c:v>2020-12-01</c:v>
                  </c:pt>
                  <c:pt idx="25">
                    <c:v>2021-01-01</c:v>
                  </c:pt>
                  <c:pt idx="26">
                    <c:v>2021-02-01</c:v>
                  </c:pt>
                  <c:pt idx="27">
                    <c:v>2021-03-01</c:v>
                  </c:pt>
                  <c:pt idx="28">
                    <c:v>2021-04-01</c:v>
                  </c:pt>
                  <c:pt idx="29">
                    <c:v>2021-05-01</c:v>
                  </c:pt>
                  <c:pt idx="30">
                    <c:v>2021-06-01</c:v>
                  </c:pt>
                  <c:pt idx="31">
                    <c:v>2021-07-01</c:v>
                  </c:pt>
                  <c:pt idx="32">
                    <c:v>2021-08-01</c:v>
                  </c:pt>
                  <c:pt idx="33">
                    <c:v>2021-09-01</c:v>
                  </c:pt>
                  <c:pt idx="34">
                    <c:v>2021-10-01</c:v>
                  </c:pt>
                  <c:pt idx="35">
                    <c:v>2021-11-01</c:v>
                  </c:pt>
                  <c:pt idx="36">
                    <c:v>2021-12-01</c:v>
                  </c:pt>
                  <c:pt idx="37">
                    <c:v>2022-01-01</c:v>
                  </c:pt>
                  <c:pt idx="38">
                    <c:v>2022-02-01</c:v>
                  </c:pt>
                  <c:pt idx="39">
                    <c:v>2022-03-01</c:v>
                  </c:pt>
                  <c:pt idx="40">
                    <c:v>2022-04-01</c:v>
                  </c:pt>
                  <c:pt idx="41">
                    <c:v>2022-05-01</c:v>
                  </c:pt>
                  <c:pt idx="42">
                    <c:v>2022-06-01</c:v>
                  </c:pt>
                  <c:pt idx="43">
                    <c:v>2022-07-01</c:v>
                  </c:pt>
                  <c:pt idx="44">
                    <c:v>2022-08-01</c:v>
                  </c:pt>
                  <c:pt idx="45">
                    <c:v>2022-09-01</c:v>
                  </c:pt>
                  <c:pt idx="46">
                    <c:v>2022-10-01</c:v>
                  </c:pt>
                  <c:pt idx="47">
                    <c:v>2022-11-01</c:v>
                  </c:pt>
                  <c:pt idx="48">
                    <c:v>2022-12-01</c:v>
                  </c:pt>
                  <c:pt idx="49">
                    <c:v>2023-01-01</c:v>
                  </c:pt>
                  <c:pt idx="50">
                    <c:v>2023-02-01</c:v>
                  </c:pt>
                  <c:pt idx="51">
                    <c:v>2023-03-01</c:v>
                  </c:pt>
                  <c:pt idx="52">
                    <c:v>2023-04-01</c:v>
                  </c:pt>
                  <c:pt idx="53">
                    <c:v>2023-05-01</c:v>
                  </c:pt>
                  <c:pt idx="54">
                    <c:v>2023-06-01</c:v>
                  </c:pt>
                  <c:pt idx="55">
                    <c:v>2023-07-01</c:v>
                  </c:pt>
                  <c:pt idx="56">
                    <c:v>2023-08-01</c:v>
                  </c:pt>
                  <c:pt idx="57">
                    <c:v>2023-09-01</c:v>
                  </c:pt>
                  <c:pt idx="58">
                    <c:v>2023-10-01</c:v>
                  </c:pt>
                  <c:pt idx="59">
                    <c:v>2023-11-01</c:v>
                  </c:pt>
                  <c:pt idx="60">
                    <c:v>2023-12-01</c:v>
                  </c:pt>
                  <c:pt idx="61">
                    <c:v>2024-01-01</c:v>
                  </c:pt>
                  <c:pt idx="62">
                    <c:v>2024-02-01</c:v>
                  </c:pt>
                  <c:pt idx="63">
                    <c:v>2024-03-01</c:v>
                  </c:pt>
                  <c:pt idx="64">
                    <c:v>2024-04-01</c:v>
                  </c:pt>
                  <c:pt idx="65">
                    <c:v>2024-05-01</c:v>
                  </c:pt>
                  <c:pt idx="66">
                    <c:v>2024-06-01</c:v>
                  </c:pt>
                  <c:pt idx="67">
                    <c:v>2024-07-01</c:v>
                  </c:pt>
                  <c:pt idx="68">
                    <c:v>2024-08-01</c:v>
                  </c:pt>
                  <c:pt idx="69">
                    <c:v>2024-09-01</c:v>
                  </c:pt>
                  <c:pt idx="70">
                    <c:v>2024-10-01</c:v>
                  </c:pt>
                  <c:pt idx="71">
                    <c:v>2024-11-01</c:v>
                  </c:pt>
                  <c:pt idx="72">
                    <c:v>2024-12-01</c:v>
                  </c:pt>
                  <c:pt idx="73">
                    <c:v>2025-01-01</c:v>
                  </c:pt>
                  <c:pt idx="74">
                    <c:v>2025-02-01</c:v>
                  </c:pt>
                  <c:pt idx="75">
                    <c:v>2025-03-01</c:v>
                  </c:pt>
                  <c:pt idx="76">
                    <c:v>2025-04-01</c:v>
                  </c:pt>
                  <c:pt idx="77">
                    <c:v>2025-05-01</c:v>
                  </c:pt>
                  <c:pt idx="78">
                    <c:v>2025-06-01</c:v>
                  </c:pt>
                  <c:pt idx="79">
                    <c:v>2025-07-01</c:v>
                  </c:pt>
                  <c:pt idx="80">
                    <c:v>2025-08-01</c:v>
                  </c:pt>
                  <c:pt idx="81">
                    <c:v>2025-09-01</c:v>
                  </c:pt>
                  <c:pt idx="82">
                    <c:v>2025-10-01</c:v>
                  </c:pt>
                  <c:pt idx="83">
                    <c:v>2025-11-01</c:v>
                  </c:pt>
                  <c:pt idx="84">
                    <c:v>2025-12-01</c:v>
                  </c:pt>
                  <c:pt idx="85">
                    <c:v>2026-01-01</c:v>
                  </c:pt>
                  <c:pt idx="86">
                    <c:v>2026-02-01</c:v>
                  </c:pt>
                  <c:pt idx="87">
                    <c:v>2026-03-01</c:v>
                  </c:pt>
                  <c:pt idx="88">
                    <c:v>2026-04-01</c:v>
                  </c:pt>
                  <c:pt idx="89">
                    <c:v>2026-05-01</c:v>
                  </c:pt>
                  <c:pt idx="90">
                    <c:v>2026-06-01</c:v>
                  </c:pt>
                  <c:pt idx="91">
                    <c:v>2026-07-01</c:v>
                  </c:pt>
                  <c:pt idx="92">
                    <c:v>2026-08-01</c:v>
                  </c:pt>
                  <c:pt idx="93">
                    <c:v>2026-09-01</c:v>
                  </c:pt>
                  <c:pt idx="94">
                    <c:v>2026-10-01</c:v>
                  </c:pt>
                  <c:pt idx="95">
                    <c:v>2026-11-01</c:v>
                  </c:pt>
                  <c:pt idx="96">
                    <c:v>2026-12-01</c:v>
                  </c:pt>
                  <c:pt idx="97">
                    <c:v>2027-01-01</c:v>
                  </c:pt>
                  <c:pt idx="98">
                    <c:v>2027-02-01</c:v>
                  </c:pt>
                  <c:pt idx="99">
                    <c:v>2027-03-01</c:v>
                  </c:pt>
                  <c:pt idx="100">
                    <c:v>2027-04-01</c:v>
                  </c:pt>
                  <c:pt idx="101">
                    <c:v>2027-05-01</c:v>
                  </c:pt>
                  <c:pt idx="102">
                    <c:v>2027-06-01</c:v>
                  </c:pt>
                  <c:pt idx="103">
                    <c:v>2027-07-01</c:v>
                  </c:pt>
                  <c:pt idx="104">
                    <c:v>2027-08-01</c:v>
                  </c:pt>
                  <c:pt idx="105">
                    <c:v>2027-09-01</c:v>
                  </c:pt>
                  <c:pt idx="106">
                    <c:v>2027-10-01</c:v>
                  </c:pt>
                  <c:pt idx="107">
                    <c:v>2027-11-01</c:v>
                  </c:pt>
                  <c:pt idx="108">
                    <c:v>2027-12-01</c:v>
                  </c:pt>
                  <c:pt idx="109">
                    <c:v>2028-01-01</c:v>
                  </c:pt>
                  <c:pt idx="110">
                    <c:v>2028-02-01</c:v>
                  </c:pt>
                  <c:pt idx="111">
                    <c:v>2028-03-01</c:v>
                  </c:pt>
                  <c:pt idx="112">
                    <c:v>2028-04-01</c:v>
                  </c:pt>
                  <c:pt idx="113">
                    <c:v>2028-05-01</c:v>
                  </c:pt>
                  <c:pt idx="114">
                    <c:v>2028-06-01</c:v>
                  </c:pt>
                  <c:pt idx="115">
                    <c:v>2028-07-01</c:v>
                  </c:pt>
                  <c:pt idx="116">
                    <c:v>2028-08-01</c:v>
                  </c:pt>
                  <c:pt idx="117">
                    <c:v>2028-09-01</c:v>
                  </c:pt>
                  <c:pt idx="118">
                    <c:v>2028-10-01</c:v>
                  </c:pt>
                  <c:pt idx="119">
                    <c:v>2028-11-01</c:v>
                  </c:pt>
                  <c:pt idx="120">
                    <c:v>2028-12-01</c:v>
                  </c:pt>
                  <c:pt idx="121">
                    <c:v>2029-01-01</c:v>
                  </c:pt>
                  <c:pt idx="122">
                    <c:v>2029-02-01</c:v>
                  </c:pt>
                  <c:pt idx="123">
                    <c:v>2029-03-01</c:v>
                  </c:pt>
                  <c:pt idx="124">
                    <c:v>2029-04-01</c:v>
                  </c:pt>
                  <c:pt idx="125">
                    <c:v>2029-05-01</c:v>
                  </c:pt>
                  <c:pt idx="126">
                    <c:v>2029-06-01</c:v>
                  </c:pt>
                  <c:pt idx="127">
                    <c:v>2029-07-01</c:v>
                  </c:pt>
                  <c:pt idx="128">
                    <c:v>2029-08-01</c:v>
                  </c:pt>
                  <c:pt idx="129">
                    <c:v>2029-09-01</c:v>
                  </c:pt>
                  <c:pt idx="130">
                    <c:v>2029-10-01</c:v>
                  </c:pt>
                  <c:pt idx="131">
                    <c:v>2029-11-01</c:v>
                  </c:pt>
                  <c:pt idx="132">
                    <c:v>2029-12-01</c:v>
                  </c:pt>
                  <c:pt idx="133">
                    <c:v>2030-01-01</c:v>
                  </c:pt>
                  <c:pt idx="134">
                    <c:v>2030-02-01</c:v>
                  </c:pt>
                  <c:pt idx="135">
                    <c:v>2030-03-01</c:v>
                  </c:pt>
                  <c:pt idx="136">
                    <c:v>2030-04-01</c:v>
                  </c:pt>
                  <c:pt idx="137">
                    <c:v>2030-05-01</c:v>
                  </c:pt>
                  <c:pt idx="138">
                    <c:v>2030-06-01</c:v>
                  </c:pt>
                  <c:pt idx="139">
                    <c:v>2030-07-01</c:v>
                  </c:pt>
                  <c:pt idx="140">
                    <c:v>2030-08-01</c:v>
                  </c:pt>
                  <c:pt idx="141">
                    <c:v>2030-09-01</c:v>
                  </c:pt>
                  <c:pt idx="142">
                    <c:v>2030-10-01</c:v>
                  </c:pt>
                  <c:pt idx="143">
                    <c:v>2030-11-01</c:v>
                  </c:pt>
                  <c:pt idx="144">
                    <c:v>2030-12-01</c:v>
                  </c:pt>
                </c:lvl>
              </c:multiLvlStrCache>
            </c:multiLvlStrRef>
          </c:cat>
          <c:val>
            <c:numRef>
              <c:f>Overview!$T$3:$T$147</c:f>
              <c:numCache>
                <c:formatCode>_("$"* #,##0.00_);_("$"* \(#,##0.00\);_("$"* "-"??_);_(@_)</c:formatCode>
                <c:ptCount val="145"/>
                <c:pt idx="0">
                  <c:v>11923.43</c:v>
                </c:pt>
                <c:pt idx="1">
                  <c:v>-331.44000000000005</c:v>
                </c:pt>
                <c:pt idx="2">
                  <c:v>-5150.43</c:v>
                </c:pt>
                <c:pt idx="3">
                  <c:v>-1165.6600000000001</c:v>
                </c:pt>
                <c:pt idx="4">
                  <c:v>14.36000000000007</c:v>
                </c:pt>
                <c:pt idx="5">
                  <c:v>2084.4299999999998</c:v>
                </c:pt>
                <c:pt idx="6">
                  <c:v>1680.1799999999992</c:v>
                </c:pt>
                <c:pt idx="7">
                  <c:v>-2277.9499999999998</c:v>
                </c:pt>
                <c:pt idx="8">
                  <c:v>2741.5000000000005</c:v>
                </c:pt>
                <c:pt idx="9">
                  <c:v>2980.8599999999997</c:v>
                </c:pt>
                <c:pt idx="10">
                  <c:v>4455.2099999999991</c:v>
                </c:pt>
                <c:pt idx="11">
                  <c:v>3830.9500000000016</c:v>
                </c:pt>
                <c:pt idx="12">
                  <c:v>1913.6399999999996</c:v>
                </c:pt>
                <c:pt idx="13">
                  <c:v>1129.2799999999995</c:v>
                </c:pt>
                <c:pt idx="14">
                  <c:v>2842.74</c:v>
                </c:pt>
                <c:pt idx="15">
                  <c:v>2861.1700000000005</c:v>
                </c:pt>
                <c:pt idx="16">
                  <c:v>9672.3100000000013</c:v>
                </c:pt>
                <c:pt idx="17">
                  <c:v>2650.9599999999991</c:v>
                </c:pt>
                <c:pt idx="18">
                  <c:v>2112.29</c:v>
                </c:pt>
                <c:pt idx="19">
                  <c:v>1622.1799999999996</c:v>
                </c:pt>
                <c:pt idx="20">
                  <c:v>289.06999999999977</c:v>
                </c:pt>
                <c:pt idx="21">
                  <c:v>3973.4199999999992</c:v>
                </c:pt>
                <c:pt idx="22">
                  <c:v>1587.0499999999997</c:v>
                </c:pt>
                <c:pt idx="23">
                  <c:v>920.16</c:v>
                </c:pt>
                <c:pt idx="24">
                  <c:v>1083.5999999999995</c:v>
                </c:pt>
                <c:pt idx="25">
                  <c:v>-50.400000000000553</c:v>
                </c:pt>
                <c:pt idx="26">
                  <c:v>1244.49</c:v>
                </c:pt>
                <c:pt idx="27">
                  <c:v>1764.5899999999997</c:v>
                </c:pt>
                <c:pt idx="28">
                  <c:v>755.70999999999913</c:v>
                </c:pt>
                <c:pt idx="29">
                  <c:v>5026.9900000000007</c:v>
                </c:pt>
                <c:pt idx="30">
                  <c:v>1165.5100000000004</c:v>
                </c:pt>
                <c:pt idx="31">
                  <c:v>1676.6099999999997</c:v>
                </c:pt>
                <c:pt idx="32">
                  <c:v>1798.8399999999988</c:v>
                </c:pt>
                <c:pt idx="33">
                  <c:v>190.92000000000147</c:v>
                </c:pt>
                <c:pt idx="34">
                  <c:v>1551.8200000000011</c:v>
                </c:pt>
                <c:pt idx="35">
                  <c:v>1330.6299999999987</c:v>
                </c:pt>
                <c:pt idx="36">
                  <c:v>1157.6399999999987</c:v>
                </c:pt>
                <c:pt idx="37">
                  <c:v>123.1599999999999</c:v>
                </c:pt>
                <c:pt idx="38">
                  <c:v>1922.2599999999995</c:v>
                </c:pt>
                <c:pt idx="39">
                  <c:v>-228.67999999999984</c:v>
                </c:pt>
                <c:pt idx="40">
                  <c:v>3161.5299999999979</c:v>
                </c:pt>
                <c:pt idx="41">
                  <c:v>996.55999999999972</c:v>
                </c:pt>
                <c:pt idx="42">
                  <c:v>3088.4699999999993</c:v>
                </c:pt>
                <c:pt idx="43">
                  <c:v>5422.5000000000009</c:v>
                </c:pt>
                <c:pt idx="44">
                  <c:v>506.38999999999874</c:v>
                </c:pt>
                <c:pt idx="45">
                  <c:v>-224.71000000000012</c:v>
                </c:pt>
                <c:pt idx="46">
                  <c:v>634.76000000000056</c:v>
                </c:pt>
                <c:pt idx="47">
                  <c:v>360.14000000000033</c:v>
                </c:pt>
                <c:pt idx="48">
                  <c:v>3645.3300000000017</c:v>
                </c:pt>
                <c:pt idx="49">
                  <c:v>240.61999999999989</c:v>
                </c:pt>
                <c:pt idx="50">
                  <c:v>10.809999999999739</c:v>
                </c:pt>
                <c:pt idx="51">
                  <c:v>-677.58</c:v>
                </c:pt>
                <c:pt idx="52">
                  <c:v>-790.74000000000024</c:v>
                </c:pt>
                <c:pt idx="53">
                  <c:v>4501.2</c:v>
                </c:pt>
                <c:pt idx="54">
                  <c:v>1699.3000000000006</c:v>
                </c:pt>
                <c:pt idx="55">
                  <c:v>-276.340000000001</c:v>
                </c:pt>
                <c:pt idx="56">
                  <c:v>-65811.329999999987</c:v>
                </c:pt>
                <c:pt idx="57">
                  <c:v>598.3099999999996</c:v>
                </c:pt>
                <c:pt idx="58">
                  <c:v>246.85000000000008</c:v>
                </c:pt>
                <c:pt idx="59">
                  <c:v>857.66000000000008</c:v>
                </c:pt>
                <c:pt idx="60">
                  <c:v>3184.2900000000031</c:v>
                </c:pt>
                <c:pt idx="61">
                  <c:v>-12467.349999999995</c:v>
                </c:pt>
                <c:pt idx="62">
                  <c:v>-293.22999999999979</c:v>
                </c:pt>
                <c:pt idx="63">
                  <c:v>-2406.5699999999993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Overview!$U$2</c:f>
              <c:strCache>
                <c:ptCount val="1"/>
                <c:pt idx="0">
                  <c:v>Current Value</c:v>
                </c:pt>
              </c:strCache>
            </c:strRef>
          </c:tx>
          <c:marker>
            <c:symbol val="none"/>
          </c:marker>
          <c:cat>
            <c:multiLvlStrRef>
              <c:f>Overview!$A$3:$B$147</c:f>
              <c:multiLvlStrCache>
                <c:ptCount val="145"/>
                <c:lvl>
                  <c:pt idx="1">
                    <c:v>January 2019</c:v>
                  </c:pt>
                  <c:pt idx="2">
                    <c:v>February 2019</c:v>
                  </c:pt>
                  <c:pt idx="3">
                    <c:v>March 2019</c:v>
                  </c:pt>
                  <c:pt idx="4">
                    <c:v>April 2019</c:v>
                  </c:pt>
                  <c:pt idx="5">
                    <c:v>May 2019</c:v>
                  </c:pt>
                  <c:pt idx="6">
                    <c:v>June 2019</c:v>
                  </c:pt>
                  <c:pt idx="7">
                    <c:v>July 2019</c:v>
                  </c:pt>
                  <c:pt idx="8">
                    <c:v>August 2019</c:v>
                  </c:pt>
                  <c:pt idx="9">
                    <c:v>September 2019</c:v>
                  </c:pt>
                  <c:pt idx="10">
                    <c:v>October 2019</c:v>
                  </c:pt>
                  <c:pt idx="11">
                    <c:v>November 2019</c:v>
                  </c:pt>
                  <c:pt idx="12">
                    <c:v>December 2019</c:v>
                  </c:pt>
                  <c:pt idx="13">
                    <c:v>January 2020</c:v>
                  </c:pt>
                  <c:pt idx="14">
                    <c:v>February 2020</c:v>
                  </c:pt>
                  <c:pt idx="15">
                    <c:v>March 2020</c:v>
                  </c:pt>
                  <c:pt idx="16">
                    <c:v>April 2020</c:v>
                  </c:pt>
                  <c:pt idx="17">
                    <c:v>May 2020</c:v>
                  </c:pt>
                  <c:pt idx="18">
                    <c:v>June 2020</c:v>
                  </c:pt>
                  <c:pt idx="19">
                    <c:v>July 2020</c:v>
                  </c:pt>
                  <c:pt idx="20">
                    <c:v>August 2020</c:v>
                  </c:pt>
                  <c:pt idx="21">
                    <c:v>September 2020</c:v>
                  </c:pt>
                  <c:pt idx="22">
                    <c:v>October 2020</c:v>
                  </c:pt>
                  <c:pt idx="23">
                    <c:v>November 2020</c:v>
                  </c:pt>
                  <c:pt idx="24">
                    <c:v>December 2020</c:v>
                  </c:pt>
                  <c:pt idx="25">
                    <c:v>January 2021</c:v>
                  </c:pt>
                  <c:pt idx="26">
                    <c:v>February 2021</c:v>
                  </c:pt>
                  <c:pt idx="27">
                    <c:v>March 2021</c:v>
                  </c:pt>
                  <c:pt idx="28">
                    <c:v>April 2021</c:v>
                  </c:pt>
                  <c:pt idx="29">
                    <c:v>May 2021</c:v>
                  </c:pt>
                  <c:pt idx="30">
                    <c:v>June 2021</c:v>
                  </c:pt>
                  <c:pt idx="31">
                    <c:v>July 2021</c:v>
                  </c:pt>
                  <c:pt idx="32">
                    <c:v>August 2021</c:v>
                  </c:pt>
                  <c:pt idx="33">
                    <c:v>September 2021</c:v>
                  </c:pt>
                  <c:pt idx="34">
                    <c:v>October 2021</c:v>
                  </c:pt>
                  <c:pt idx="35">
                    <c:v>November 2021</c:v>
                  </c:pt>
                  <c:pt idx="36">
                    <c:v>December 2021</c:v>
                  </c:pt>
                  <c:pt idx="37">
                    <c:v>January 2022</c:v>
                  </c:pt>
                  <c:pt idx="38">
                    <c:v>February 2022</c:v>
                  </c:pt>
                  <c:pt idx="39">
                    <c:v>March 2022</c:v>
                  </c:pt>
                  <c:pt idx="40">
                    <c:v>April 2022</c:v>
                  </c:pt>
                  <c:pt idx="41">
                    <c:v>May 2022</c:v>
                  </c:pt>
                  <c:pt idx="42">
                    <c:v>June 2022</c:v>
                  </c:pt>
                  <c:pt idx="43">
                    <c:v>July 2022</c:v>
                  </c:pt>
                  <c:pt idx="44">
                    <c:v>August 2022</c:v>
                  </c:pt>
                  <c:pt idx="45">
                    <c:v>September 2022</c:v>
                  </c:pt>
                  <c:pt idx="46">
                    <c:v>October 2022</c:v>
                  </c:pt>
                  <c:pt idx="47">
                    <c:v>November 2022</c:v>
                  </c:pt>
                  <c:pt idx="48">
                    <c:v>December 2022</c:v>
                  </c:pt>
                  <c:pt idx="49">
                    <c:v>January 2023</c:v>
                  </c:pt>
                  <c:pt idx="50">
                    <c:v>February 2023</c:v>
                  </c:pt>
                  <c:pt idx="51">
                    <c:v>March 2023</c:v>
                  </c:pt>
                  <c:pt idx="52">
                    <c:v>April 2023</c:v>
                  </c:pt>
                  <c:pt idx="53">
                    <c:v>May 2023</c:v>
                  </c:pt>
                  <c:pt idx="54">
                    <c:v>June 2023</c:v>
                  </c:pt>
                  <c:pt idx="55">
                    <c:v>July 2023</c:v>
                  </c:pt>
                  <c:pt idx="56">
                    <c:v>August 2023</c:v>
                  </c:pt>
                  <c:pt idx="57">
                    <c:v>September 2023</c:v>
                  </c:pt>
                  <c:pt idx="58">
                    <c:v>October 2023</c:v>
                  </c:pt>
                  <c:pt idx="59">
                    <c:v>November 2023</c:v>
                  </c:pt>
                  <c:pt idx="60">
                    <c:v>December 2023</c:v>
                  </c:pt>
                  <c:pt idx="61">
                    <c:v>January 2024</c:v>
                  </c:pt>
                  <c:pt idx="62">
                    <c:v>February 2024</c:v>
                  </c:pt>
                  <c:pt idx="63">
                    <c:v>March 2024</c:v>
                  </c:pt>
                  <c:pt idx="64">
                    <c:v>April 2024</c:v>
                  </c:pt>
                  <c:pt idx="65">
                    <c:v>May 2024</c:v>
                  </c:pt>
                  <c:pt idx="66">
                    <c:v>June 2024</c:v>
                  </c:pt>
                  <c:pt idx="67">
                    <c:v>July 2024</c:v>
                  </c:pt>
                  <c:pt idx="68">
                    <c:v>August 2024</c:v>
                  </c:pt>
                  <c:pt idx="69">
                    <c:v>September 2024</c:v>
                  </c:pt>
                  <c:pt idx="70">
                    <c:v>October 2024</c:v>
                  </c:pt>
                  <c:pt idx="71">
                    <c:v>November 2024</c:v>
                  </c:pt>
                  <c:pt idx="72">
                    <c:v>December 2024</c:v>
                  </c:pt>
                  <c:pt idx="73">
                    <c:v>January 2025</c:v>
                  </c:pt>
                  <c:pt idx="74">
                    <c:v>February 2025</c:v>
                  </c:pt>
                  <c:pt idx="75">
                    <c:v>March 2025</c:v>
                  </c:pt>
                  <c:pt idx="76">
                    <c:v>April 2025</c:v>
                  </c:pt>
                  <c:pt idx="77">
                    <c:v>May 2025</c:v>
                  </c:pt>
                  <c:pt idx="78">
                    <c:v>June 2025</c:v>
                  </c:pt>
                  <c:pt idx="79">
                    <c:v>July 2025</c:v>
                  </c:pt>
                  <c:pt idx="80">
                    <c:v>August 2025</c:v>
                  </c:pt>
                  <c:pt idx="81">
                    <c:v>September 2025</c:v>
                  </c:pt>
                  <c:pt idx="82">
                    <c:v>October 2025</c:v>
                  </c:pt>
                  <c:pt idx="83">
                    <c:v>November 2025</c:v>
                  </c:pt>
                  <c:pt idx="84">
                    <c:v>December 2025</c:v>
                  </c:pt>
                  <c:pt idx="85">
                    <c:v>January 2026</c:v>
                  </c:pt>
                  <c:pt idx="86">
                    <c:v>February 2026</c:v>
                  </c:pt>
                  <c:pt idx="87">
                    <c:v>March 2026</c:v>
                  </c:pt>
                  <c:pt idx="88">
                    <c:v>April 2026</c:v>
                  </c:pt>
                  <c:pt idx="89">
                    <c:v>May 2026</c:v>
                  </c:pt>
                  <c:pt idx="90">
                    <c:v>June 2026</c:v>
                  </c:pt>
                  <c:pt idx="91">
                    <c:v>July 2026</c:v>
                  </c:pt>
                  <c:pt idx="92">
                    <c:v>August 2026</c:v>
                  </c:pt>
                  <c:pt idx="93">
                    <c:v>September 2026</c:v>
                  </c:pt>
                  <c:pt idx="94">
                    <c:v>October 2026</c:v>
                  </c:pt>
                  <c:pt idx="95">
                    <c:v>November 2026</c:v>
                  </c:pt>
                  <c:pt idx="96">
                    <c:v>December 2026</c:v>
                  </c:pt>
                  <c:pt idx="97">
                    <c:v>January 2027</c:v>
                  </c:pt>
                  <c:pt idx="98">
                    <c:v>February 2027</c:v>
                  </c:pt>
                  <c:pt idx="99">
                    <c:v>March 2027</c:v>
                  </c:pt>
                  <c:pt idx="100">
                    <c:v>April 2027</c:v>
                  </c:pt>
                  <c:pt idx="101">
                    <c:v>May 2027</c:v>
                  </c:pt>
                  <c:pt idx="102">
                    <c:v>June 2027</c:v>
                  </c:pt>
                  <c:pt idx="103">
                    <c:v>July 2027</c:v>
                  </c:pt>
                  <c:pt idx="104">
                    <c:v>August 2027</c:v>
                  </c:pt>
                  <c:pt idx="105">
                    <c:v>September 2027</c:v>
                  </c:pt>
                  <c:pt idx="106">
                    <c:v>October 2027</c:v>
                  </c:pt>
                  <c:pt idx="107">
                    <c:v>November 2027</c:v>
                  </c:pt>
                  <c:pt idx="108">
                    <c:v>December 2027</c:v>
                  </c:pt>
                  <c:pt idx="109">
                    <c:v>January 2028</c:v>
                  </c:pt>
                  <c:pt idx="110">
                    <c:v>February 2028</c:v>
                  </c:pt>
                  <c:pt idx="111">
                    <c:v>March 2028</c:v>
                  </c:pt>
                  <c:pt idx="112">
                    <c:v>April 2028</c:v>
                  </c:pt>
                  <c:pt idx="113">
                    <c:v>May 2028</c:v>
                  </c:pt>
                  <c:pt idx="114">
                    <c:v>June 2028</c:v>
                  </c:pt>
                  <c:pt idx="115">
                    <c:v>July 2028</c:v>
                  </c:pt>
                  <c:pt idx="116">
                    <c:v>August 2028</c:v>
                  </c:pt>
                  <c:pt idx="117">
                    <c:v>September 2028</c:v>
                  </c:pt>
                  <c:pt idx="118">
                    <c:v>October 2028</c:v>
                  </c:pt>
                  <c:pt idx="119">
                    <c:v>November 2028</c:v>
                  </c:pt>
                  <c:pt idx="120">
                    <c:v>December 2028</c:v>
                  </c:pt>
                  <c:pt idx="121">
                    <c:v>January 2029</c:v>
                  </c:pt>
                  <c:pt idx="122">
                    <c:v>February 2029</c:v>
                  </c:pt>
                  <c:pt idx="123">
                    <c:v>March 2029</c:v>
                  </c:pt>
                  <c:pt idx="124">
                    <c:v>April 2029</c:v>
                  </c:pt>
                  <c:pt idx="125">
                    <c:v>May 2029</c:v>
                  </c:pt>
                  <c:pt idx="126">
                    <c:v>June 2029</c:v>
                  </c:pt>
                  <c:pt idx="127">
                    <c:v>July 2029</c:v>
                  </c:pt>
                  <c:pt idx="128">
                    <c:v>August 2029</c:v>
                  </c:pt>
                  <c:pt idx="129">
                    <c:v>September 2029</c:v>
                  </c:pt>
                  <c:pt idx="130">
                    <c:v>October 2029</c:v>
                  </c:pt>
                  <c:pt idx="131">
                    <c:v>November 2029</c:v>
                  </c:pt>
                  <c:pt idx="132">
                    <c:v>December 2029</c:v>
                  </c:pt>
                  <c:pt idx="133">
                    <c:v>January 2030</c:v>
                  </c:pt>
                  <c:pt idx="134">
                    <c:v>February 2030</c:v>
                  </c:pt>
                  <c:pt idx="135">
                    <c:v>March 2030</c:v>
                  </c:pt>
                  <c:pt idx="136">
                    <c:v>April 2030</c:v>
                  </c:pt>
                  <c:pt idx="137">
                    <c:v>May 2030</c:v>
                  </c:pt>
                  <c:pt idx="138">
                    <c:v>June 2030</c:v>
                  </c:pt>
                  <c:pt idx="139">
                    <c:v>July 2030</c:v>
                  </c:pt>
                  <c:pt idx="140">
                    <c:v>August 2030</c:v>
                  </c:pt>
                  <c:pt idx="141">
                    <c:v>September 2030</c:v>
                  </c:pt>
                  <c:pt idx="142">
                    <c:v>October 2030</c:v>
                  </c:pt>
                  <c:pt idx="143">
                    <c:v>November 2030</c:v>
                  </c:pt>
                  <c:pt idx="144">
                    <c:v>December 2030</c:v>
                  </c:pt>
                </c:lvl>
                <c:lvl>
                  <c:pt idx="1">
                    <c:v>2019-01-01</c:v>
                  </c:pt>
                  <c:pt idx="2">
                    <c:v>2019-02-01</c:v>
                  </c:pt>
                  <c:pt idx="3">
                    <c:v>2019-03-01</c:v>
                  </c:pt>
                  <c:pt idx="4">
                    <c:v>2019-04-01</c:v>
                  </c:pt>
                  <c:pt idx="5">
                    <c:v>2019-05-01</c:v>
                  </c:pt>
                  <c:pt idx="6">
                    <c:v>2019-06-01</c:v>
                  </c:pt>
                  <c:pt idx="7">
                    <c:v>2019-07-01</c:v>
                  </c:pt>
                  <c:pt idx="8">
                    <c:v>2019-08-01</c:v>
                  </c:pt>
                  <c:pt idx="9">
                    <c:v>2019-09-01</c:v>
                  </c:pt>
                  <c:pt idx="10">
                    <c:v>2019-10-01</c:v>
                  </c:pt>
                  <c:pt idx="11">
                    <c:v>2019-11-01</c:v>
                  </c:pt>
                  <c:pt idx="12">
                    <c:v>2019-12-01</c:v>
                  </c:pt>
                  <c:pt idx="13">
                    <c:v>2020-01-01</c:v>
                  </c:pt>
                  <c:pt idx="14">
                    <c:v>2020-02-01</c:v>
                  </c:pt>
                  <c:pt idx="15">
                    <c:v>2020-03-01</c:v>
                  </c:pt>
                  <c:pt idx="16">
                    <c:v>2020-04-01</c:v>
                  </c:pt>
                  <c:pt idx="17">
                    <c:v>2020-05-01</c:v>
                  </c:pt>
                  <c:pt idx="18">
                    <c:v>2020-06-01</c:v>
                  </c:pt>
                  <c:pt idx="19">
                    <c:v>2020-07-01</c:v>
                  </c:pt>
                  <c:pt idx="20">
                    <c:v>2020-08-01</c:v>
                  </c:pt>
                  <c:pt idx="21">
                    <c:v>2020-09-01</c:v>
                  </c:pt>
                  <c:pt idx="22">
                    <c:v>2020-10-01</c:v>
                  </c:pt>
                  <c:pt idx="23">
                    <c:v>2020-11-01</c:v>
                  </c:pt>
                  <c:pt idx="24">
                    <c:v>2020-12-01</c:v>
                  </c:pt>
                  <c:pt idx="25">
                    <c:v>2021-01-01</c:v>
                  </c:pt>
                  <c:pt idx="26">
                    <c:v>2021-02-01</c:v>
                  </c:pt>
                  <c:pt idx="27">
                    <c:v>2021-03-01</c:v>
                  </c:pt>
                  <c:pt idx="28">
                    <c:v>2021-04-01</c:v>
                  </c:pt>
                  <c:pt idx="29">
                    <c:v>2021-05-01</c:v>
                  </c:pt>
                  <c:pt idx="30">
                    <c:v>2021-06-01</c:v>
                  </c:pt>
                  <c:pt idx="31">
                    <c:v>2021-07-01</c:v>
                  </c:pt>
                  <c:pt idx="32">
                    <c:v>2021-08-01</c:v>
                  </c:pt>
                  <c:pt idx="33">
                    <c:v>2021-09-01</c:v>
                  </c:pt>
                  <c:pt idx="34">
                    <c:v>2021-10-01</c:v>
                  </c:pt>
                  <c:pt idx="35">
                    <c:v>2021-11-01</c:v>
                  </c:pt>
                  <c:pt idx="36">
                    <c:v>2021-12-01</c:v>
                  </c:pt>
                  <c:pt idx="37">
                    <c:v>2022-01-01</c:v>
                  </c:pt>
                  <c:pt idx="38">
                    <c:v>2022-02-01</c:v>
                  </c:pt>
                  <c:pt idx="39">
                    <c:v>2022-03-01</c:v>
                  </c:pt>
                  <c:pt idx="40">
                    <c:v>2022-04-01</c:v>
                  </c:pt>
                  <c:pt idx="41">
                    <c:v>2022-05-01</c:v>
                  </c:pt>
                  <c:pt idx="42">
                    <c:v>2022-06-01</c:v>
                  </c:pt>
                  <c:pt idx="43">
                    <c:v>2022-07-01</c:v>
                  </c:pt>
                  <c:pt idx="44">
                    <c:v>2022-08-01</c:v>
                  </c:pt>
                  <c:pt idx="45">
                    <c:v>2022-09-01</c:v>
                  </c:pt>
                  <c:pt idx="46">
                    <c:v>2022-10-01</c:v>
                  </c:pt>
                  <c:pt idx="47">
                    <c:v>2022-11-01</c:v>
                  </c:pt>
                  <c:pt idx="48">
                    <c:v>2022-12-01</c:v>
                  </c:pt>
                  <c:pt idx="49">
                    <c:v>2023-01-01</c:v>
                  </c:pt>
                  <c:pt idx="50">
                    <c:v>2023-02-01</c:v>
                  </c:pt>
                  <c:pt idx="51">
                    <c:v>2023-03-01</c:v>
                  </c:pt>
                  <c:pt idx="52">
                    <c:v>2023-04-01</c:v>
                  </c:pt>
                  <c:pt idx="53">
                    <c:v>2023-05-01</c:v>
                  </c:pt>
                  <c:pt idx="54">
                    <c:v>2023-06-01</c:v>
                  </c:pt>
                  <c:pt idx="55">
                    <c:v>2023-07-01</c:v>
                  </c:pt>
                  <c:pt idx="56">
                    <c:v>2023-08-01</c:v>
                  </c:pt>
                  <c:pt idx="57">
                    <c:v>2023-09-01</c:v>
                  </c:pt>
                  <c:pt idx="58">
                    <c:v>2023-10-01</c:v>
                  </c:pt>
                  <c:pt idx="59">
                    <c:v>2023-11-01</c:v>
                  </c:pt>
                  <c:pt idx="60">
                    <c:v>2023-12-01</c:v>
                  </c:pt>
                  <c:pt idx="61">
                    <c:v>2024-01-01</c:v>
                  </c:pt>
                  <c:pt idx="62">
                    <c:v>2024-02-01</c:v>
                  </c:pt>
                  <c:pt idx="63">
                    <c:v>2024-03-01</c:v>
                  </c:pt>
                  <c:pt idx="64">
                    <c:v>2024-04-01</c:v>
                  </c:pt>
                  <c:pt idx="65">
                    <c:v>2024-05-01</c:v>
                  </c:pt>
                  <c:pt idx="66">
                    <c:v>2024-06-01</c:v>
                  </c:pt>
                  <c:pt idx="67">
                    <c:v>2024-07-01</c:v>
                  </c:pt>
                  <c:pt idx="68">
                    <c:v>2024-08-01</c:v>
                  </c:pt>
                  <c:pt idx="69">
                    <c:v>2024-09-01</c:v>
                  </c:pt>
                  <c:pt idx="70">
                    <c:v>2024-10-01</c:v>
                  </c:pt>
                  <c:pt idx="71">
                    <c:v>2024-11-01</c:v>
                  </c:pt>
                  <c:pt idx="72">
                    <c:v>2024-12-01</c:v>
                  </c:pt>
                  <c:pt idx="73">
                    <c:v>2025-01-01</c:v>
                  </c:pt>
                  <c:pt idx="74">
                    <c:v>2025-02-01</c:v>
                  </c:pt>
                  <c:pt idx="75">
                    <c:v>2025-03-01</c:v>
                  </c:pt>
                  <c:pt idx="76">
                    <c:v>2025-04-01</c:v>
                  </c:pt>
                  <c:pt idx="77">
                    <c:v>2025-05-01</c:v>
                  </c:pt>
                  <c:pt idx="78">
                    <c:v>2025-06-01</c:v>
                  </c:pt>
                  <c:pt idx="79">
                    <c:v>2025-07-01</c:v>
                  </c:pt>
                  <c:pt idx="80">
                    <c:v>2025-08-01</c:v>
                  </c:pt>
                  <c:pt idx="81">
                    <c:v>2025-09-01</c:v>
                  </c:pt>
                  <c:pt idx="82">
                    <c:v>2025-10-01</c:v>
                  </c:pt>
                  <c:pt idx="83">
                    <c:v>2025-11-01</c:v>
                  </c:pt>
                  <c:pt idx="84">
                    <c:v>2025-12-01</c:v>
                  </c:pt>
                  <c:pt idx="85">
                    <c:v>2026-01-01</c:v>
                  </c:pt>
                  <c:pt idx="86">
                    <c:v>2026-02-01</c:v>
                  </c:pt>
                  <c:pt idx="87">
                    <c:v>2026-03-01</c:v>
                  </c:pt>
                  <c:pt idx="88">
                    <c:v>2026-04-01</c:v>
                  </c:pt>
                  <c:pt idx="89">
                    <c:v>2026-05-01</c:v>
                  </c:pt>
                  <c:pt idx="90">
                    <c:v>2026-06-01</c:v>
                  </c:pt>
                  <c:pt idx="91">
                    <c:v>2026-07-01</c:v>
                  </c:pt>
                  <c:pt idx="92">
                    <c:v>2026-08-01</c:v>
                  </c:pt>
                  <c:pt idx="93">
                    <c:v>2026-09-01</c:v>
                  </c:pt>
                  <c:pt idx="94">
                    <c:v>2026-10-01</c:v>
                  </c:pt>
                  <c:pt idx="95">
                    <c:v>2026-11-01</c:v>
                  </c:pt>
                  <c:pt idx="96">
                    <c:v>2026-12-01</c:v>
                  </c:pt>
                  <c:pt idx="97">
                    <c:v>2027-01-01</c:v>
                  </c:pt>
                  <c:pt idx="98">
                    <c:v>2027-02-01</c:v>
                  </c:pt>
                  <c:pt idx="99">
                    <c:v>2027-03-01</c:v>
                  </c:pt>
                  <c:pt idx="100">
                    <c:v>2027-04-01</c:v>
                  </c:pt>
                  <c:pt idx="101">
                    <c:v>2027-05-01</c:v>
                  </c:pt>
                  <c:pt idx="102">
                    <c:v>2027-06-01</c:v>
                  </c:pt>
                  <c:pt idx="103">
                    <c:v>2027-07-01</c:v>
                  </c:pt>
                  <c:pt idx="104">
                    <c:v>2027-08-01</c:v>
                  </c:pt>
                  <c:pt idx="105">
                    <c:v>2027-09-01</c:v>
                  </c:pt>
                  <c:pt idx="106">
                    <c:v>2027-10-01</c:v>
                  </c:pt>
                  <c:pt idx="107">
                    <c:v>2027-11-01</c:v>
                  </c:pt>
                  <c:pt idx="108">
                    <c:v>2027-12-01</c:v>
                  </c:pt>
                  <c:pt idx="109">
                    <c:v>2028-01-01</c:v>
                  </c:pt>
                  <c:pt idx="110">
                    <c:v>2028-02-01</c:v>
                  </c:pt>
                  <c:pt idx="111">
                    <c:v>2028-03-01</c:v>
                  </c:pt>
                  <c:pt idx="112">
                    <c:v>2028-04-01</c:v>
                  </c:pt>
                  <c:pt idx="113">
                    <c:v>2028-05-01</c:v>
                  </c:pt>
                  <c:pt idx="114">
                    <c:v>2028-06-01</c:v>
                  </c:pt>
                  <c:pt idx="115">
                    <c:v>2028-07-01</c:v>
                  </c:pt>
                  <c:pt idx="116">
                    <c:v>2028-08-01</c:v>
                  </c:pt>
                  <c:pt idx="117">
                    <c:v>2028-09-01</c:v>
                  </c:pt>
                  <c:pt idx="118">
                    <c:v>2028-10-01</c:v>
                  </c:pt>
                  <c:pt idx="119">
                    <c:v>2028-11-01</c:v>
                  </c:pt>
                  <c:pt idx="120">
                    <c:v>2028-12-01</c:v>
                  </c:pt>
                  <c:pt idx="121">
                    <c:v>2029-01-01</c:v>
                  </c:pt>
                  <c:pt idx="122">
                    <c:v>2029-02-01</c:v>
                  </c:pt>
                  <c:pt idx="123">
                    <c:v>2029-03-01</c:v>
                  </c:pt>
                  <c:pt idx="124">
                    <c:v>2029-04-01</c:v>
                  </c:pt>
                  <c:pt idx="125">
                    <c:v>2029-05-01</c:v>
                  </c:pt>
                  <c:pt idx="126">
                    <c:v>2029-06-01</c:v>
                  </c:pt>
                  <c:pt idx="127">
                    <c:v>2029-07-01</c:v>
                  </c:pt>
                  <c:pt idx="128">
                    <c:v>2029-08-01</c:v>
                  </c:pt>
                  <c:pt idx="129">
                    <c:v>2029-09-01</c:v>
                  </c:pt>
                  <c:pt idx="130">
                    <c:v>2029-10-01</c:v>
                  </c:pt>
                  <c:pt idx="131">
                    <c:v>2029-11-01</c:v>
                  </c:pt>
                  <c:pt idx="132">
                    <c:v>2029-12-01</c:v>
                  </c:pt>
                  <c:pt idx="133">
                    <c:v>2030-01-01</c:v>
                  </c:pt>
                  <c:pt idx="134">
                    <c:v>2030-02-01</c:v>
                  </c:pt>
                  <c:pt idx="135">
                    <c:v>2030-03-01</c:v>
                  </c:pt>
                  <c:pt idx="136">
                    <c:v>2030-04-01</c:v>
                  </c:pt>
                  <c:pt idx="137">
                    <c:v>2030-05-01</c:v>
                  </c:pt>
                  <c:pt idx="138">
                    <c:v>2030-06-01</c:v>
                  </c:pt>
                  <c:pt idx="139">
                    <c:v>2030-07-01</c:v>
                  </c:pt>
                  <c:pt idx="140">
                    <c:v>2030-08-01</c:v>
                  </c:pt>
                  <c:pt idx="141">
                    <c:v>2030-09-01</c:v>
                  </c:pt>
                  <c:pt idx="142">
                    <c:v>2030-10-01</c:v>
                  </c:pt>
                  <c:pt idx="143">
                    <c:v>2030-11-01</c:v>
                  </c:pt>
                  <c:pt idx="144">
                    <c:v>2030-12-01</c:v>
                  </c:pt>
                </c:lvl>
              </c:multiLvlStrCache>
            </c:multiLvlStrRef>
          </c:cat>
          <c:val>
            <c:numRef>
              <c:f>Overview!$U$3:$U$147</c:f>
              <c:numCache>
                <c:formatCode>_("$"* #,##0.00_);_("$"* \(#,##0.00\);_("$"* "-"??_);_(@_)</c:formatCode>
                <c:ptCount val="145"/>
                <c:pt idx="0">
                  <c:v>11923.43</c:v>
                </c:pt>
                <c:pt idx="1">
                  <c:v>11591.99</c:v>
                </c:pt>
                <c:pt idx="2">
                  <c:v>6441.5599999999995</c:v>
                </c:pt>
                <c:pt idx="3">
                  <c:v>5275.9</c:v>
                </c:pt>
                <c:pt idx="4">
                  <c:v>5290.2599999999993</c:v>
                </c:pt>
                <c:pt idx="5">
                  <c:v>7374.6899999999987</c:v>
                </c:pt>
                <c:pt idx="6">
                  <c:v>9054.8699999999972</c:v>
                </c:pt>
                <c:pt idx="7">
                  <c:v>6776.9199999999973</c:v>
                </c:pt>
                <c:pt idx="8">
                  <c:v>9518.4199999999983</c:v>
                </c:pt>
                <c:pt idx="9">
                  <c:v>12499.279999999999</c:v>
                </c:pt>
                <c:pt idx="10">
                  <c:v>16954.489999999998</c:v>
                </c:pt>
                <c:pt idx="11">
                  <c:v>20785.439999999999</c:v>
                </c:pt>
                <c:pt idx="12">
                  <c:v>22699.079999999998</c:v>
                </c:pt>
                <c:pt idx="13">
                  <c:v>23828.359999999997</c:v>
                </c:pt>
                <c:pt idx="14">
                  <c:v>26671.1</c:v>
                </c:pt>
                <c:pt idx="15">
                  <c:v>29532.27</c:v>
                </c:pt>
                <c:pt idx="16">
                  <c:v>39204.58</c:v>
                </c:pt>
                <c:pt idx="17">
                  <c:v>41855.54</c:v>
                </c:pt>
                <c:pt idx="18">
                  <c:v>43967.83</c:v>
                </c:pt>
                <c:pt idx="19">
                  <c:v>45590.01</c:v>
                </c:pt>
                <c:pt idx="20">
                  <c:v>45879.08</c:v>
                </c:pt>
                <c:pt idx="21">
                  <c:v>49852.5</c:v>
                </c:pt>
                <c:pt idx="22">
                  <c:v>51439.55</c:v>
                </c:pt>
                <c:pt idx="23">
                  <c:v>52359.710000000006</c:v>
                </c:pt>
                <c:pt idx="24">
                  <c:v>53443.310000000005</c:v>
                </c:pt>
                <c:pt idx="25">
                  <c:v>53392.91</c:v>
                </c:pt>
                <c:pt idx="26">
                  <c:v>54637.4</c:v>
                </c:pt>
                <c:pt idx="27">
                  <c:v>56401.99</c:v>
                </c:pt>
                <c:pt idx="28">
                  <c:v>57157.7</c:v>
                </c:pt>
                <c:pt idx="29">
                  <c:v>62184.689999999995</c:v>
                </c:pt>
                <c:pt idx="30">
                  <c:v>63350.2</c:v>
                </c:pt>
                <c:pt idx="31">
                  <c:v>65026.81</c:v>
                </c:pt>
                <c:pt idx="32">
                  <c:v>66825.649999999994</c:v>
                </c:pt>
                <c:pt idx="33">
                  <c:v>67016.569999999992</c:v>
                </c:pt>
                <c:pt idx="34">
                  <c:v>68568.39</c:v>
                </c:pt>
                <c:pt idx="35">
                  <c:v>69899.02</c:v>
                </c:pt>
                <c:pt idx="36">
                  <c:v>71056.66</c:v>
                </c:pt>
                <c:pt idx="37">
                  <c:v>71179.820000000007</c:v>
                </c:pt>
                <c:pt idx="38">
                  <c:v>73102.080000000002</c:v>
                </c:pt>
                <c:pt idx="39">
                  <c:v>72873.400000000009</c:v>
                </c:pt>
                <c:pt idx="40">
                  <c:v>76034.930000000008</c:v>
                </c:pt>
                <c:pt idx="41">
                  <c:v>77031.490000000005</c:v>
                </c:pt>
                <c:pt idx="42">
                  <c:v>80119.960000000006</c:v>
                </c:pt>
                <c:pt idx="43">
                  <c:v>85542.46</c:v>
                </c:pt>
                <c:pt idx="44">
                  <c:v>86048.85</c:v>
                </c:pt>
                <c:pt idx="45">
                  <c:v>85824.14</c:v>
                </c:pt>
                <c:pt idx="46">
                  <c:v>86458.9</c:v>
                </c:pt>
                <c:pt idx="47">
                  <c:v>86819.04</c:v>
                </c:pt>
                <c:pt idx="48">
                  <c:v>90464.37</c:v>
                </c:pt>
                <c:pt idx="49">
                  <c:v>90704.989999999991</c:v>
                </c:pt>
                <c:pt idx="50">
                  <c:v>90715.799999999988</c:v>
                </c:pt>
                <c:pt idx="51">
                  <c:v>90038.219999999987</c:v>
                </c:pt>
                <c:pt idx="52">
                  <c:v>89247.479999999981</c:v>
                </c:pt>
                <c:pt idx="53">
                  <c:v>93748.679999999978</c:v>
                </c:pt>
                <c:pt idx="54">
                  <c:v>95447.979999999981</c:v>
                </c:pt>
                <c:pt idx="55">
                  <c:v>95171.639999999985</c:v>
                </c:pt>
                <c:pt idx="56">
                  <c:v>29360.309999999998</c:v>
                </c:pt>
                <c:pt idx="57">
                  <c:v>29958.62</c:v>
                </c:pt>
                <c:pt idx="58">
                  <c:v>30205.469999999998</c:v>
                </c:pt>
                <c:pt idx="59">
                  <c:v>31063.129999999997</c:v>
                </c:pt>
                <c:pt idx="60">
                  <c:v>34247.42</c:v>
                </c:pt>
                <c:pt idx="61">
                  <c:v>21780.070000000003</c:v>
                </c:pt>
                <c:pt idx="62">
                  <c:v>21486.840000000004</c:v>
                </c:pt>
                <c:pt idx="63">
                  <c:v>19080.270000000004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115712"/>
        <c:axId val="242117248"/>
      </c:lineChart>
      <c:catAx>
        <c:axId val="242115712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in"/>
        <c:tickLblPos val="low"/>
        <c:crossAx val="242117248"/>
        <c:crosses val="autoZero"/>
        <c:auto val="1"/>
        <c:lblAlgn val="ctr"/>
        <c:lblOffset val="100"/>
        <c:tickMarkSkip val="1"/>
        <c:noMultiLvlLbl val="1"/>
      </c:catAx>
      <c:valAx>
        <c:axId val="2421172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</a:t>
                </a:r>
              </a:p>
            </c:rich>
          </c:tx>
          <c:overlay val="0"/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ln w="12700"/>
        </c:spPr>
        <c:crossAx val="2421157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41"/>
  <sheetViews>
    <sheetView zoomScale="13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40"/>
  <sheetViews>
    <sheetView zoomScale="145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Overview!A1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8</xdr:row>
      <xdr:rowOff>28575</xdr:rowOff>
    </xdr:from>
    <xdr:to>
      <xdr:col>11</xdr:col>
      <xdr:colOff>161068</xdr:colOff>
      <xdr:row>12</xdr:row>
      <xdr:rowOff>142765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762125"/>
          <a:ext cx="6857143" cy="87619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18</xdr:row>
      <xdr:rowOff>0</xdr:rowOff>
    </xdr:from>
    <xdr:to>
      <xdr:col>11</xdr:col>
      <xdr:colOff>171450</xdr:colOff>
      <xdr:row>35</xdr:row>
      <xdr:rowOff>180975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3638550"/>
          <a:ext cx="6791325" cy="3419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304800</xdr:colOff>
      <xdr:row>48</xdr:row>
      <xdr:rowOff>114300</xdr:rowOff>
    </xdr:from>
    <xdr:to>
      <xdr:col>4</xdr:col>
      <xdr:colOff>47625</xdr:colOff>
      <xdr:row>51</xdr:row>
      <xdr:rowOff>9525</xdr:rowOff>
    </xdr:to>
    <xdr:sp macro="" textlink="">
      <xdr:nvSpPr>
        <xdr:cNvPr id="4" name="Rounded Rectangle 3">
          <a:hlinkClick xmlns:r="http://schemas.openxmlformats.org/officeDocument/2006/relationships" r:id="rId3"/>
        </xdr:cNvPr>
        <xdr:cNvSpPr/>
      </xdr:nvSpPr>
      <xdr:spPr>
        <a:xfrm>
          <a:off x="914400" y="9467850"/>
          <a:ext cx="1571625" cy="4667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2000" b="1" cap="none" spc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gradFill>
                <a:gsLst>
                  <a:gs pos="0">
                    <a:schemeClr val="accent1">
                      <a:tint val="40000"/>
                      <a:satMod val="250000"/>
                    </a:schemeClr>
                  </a:gs>
                  <a:gs pos="9000">
                    <a:schemeClr val="accent1">
                      <a:tint val="52000"/>
                      <a:satMod val="300000"/>
                    </a:schemeClr>
                  </a:gs>
                  <a:gs pos="50000">
                    <a:schemeClr val="accent1">
                      <a:shade val="20000"/>
                      <a:satMod val="300000"/>
                    </a:schemeClr>
                  </a:gs>
                  <a:gs pos="79000">
                    <a:schemeClr val="accent1">
                      <a:tint val="52000"/>
                      <a:satMod val="300000"/>
                    </a:schemeClr>
                  </a:gs>
                  <a:gs pos="100000">
                    <a:schemeClr val="accent1">
                      <a:tint val="40000"/>
                      <a:satMod val="250000"/>
                    </a:schemeClr>
                  </a:gs>
                </a:gsLst>
                <a:lin ang="5400000"/>
              </a:gradFill>
              <a:effectLst/>
            </a:rPr>
            <a:t>To</a:t>
          </a:r>
          <a:r>
            <a:rPr lang="en-US" sz="2000" b="1" cap="none" spc="0" baseline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gradFill>
                <a:gsLst>
                  <a:gs pos="0">
                    <a:schemeClr val="accent1">
                      <a:tint val="40000"/>
                      <a:satMod val="250000"/>
                    </a:schemeClr>
                  </a:gs>
                  <a:gs pos="9000">
                    <a:schemeClr val="accent1">
                      <a:tint val="52000"/>
                      <a:satMod val="300000"/>
                    </a:schemeClr>
                  </a:gs>
                  <a:gs pos="50000">
                    <a:schemeClr val="accent1">
                      <a:shade val="20000"/>
                      <a:satMod val="300000"/>
                    </a:schemeClr>
                  </a:gs>
                  <a:gs pos="79000">
                    <a:schemeClr val="accent1">
                      <a:tint val="52000"/>
                      <a:satMod val="300000"/>
                    </a:schemeClr>
                  </a:gs>
                  <a:gs pos="100000">
                    <a:schemeClr val="accent1">
                      <a:tint val="40000"/>
                      <a:satMod val="250000"/>
                    </a:schemeClr>
                  </a:gs>
                </a:gsLst>
                <a:lin ang="5400000"/>
              </a:gradFill>
              <a:effectLst/>
            </a:rPr>
            <a:t> Overview</a:t>
          </a:r>
          <a:endParaRPr lang="en-US" sz="2000" b="1" cap="none" spc="0">
            <a:ln w="10541" cmpd="sng">
              <a:solidFill>
                <a:schemeClr val="accent1">
                  <a:shade val="88000"/>
                  <a:satMod val="110000"/>
                </a:schemeClr>
              </a:solidFill>
              <a:prstDash val="solid"/>
            </a:ln>
            <a:gradFill>
              <a:gsLst>
                <a:gs pos="0">
                  <a:schemeClr val="accent1">
                    <a:tint val="40000"/>
                    <a:satMod val="250000"/>
                  </a:schemeClr>
                </a:gs>
                <a:gs pos="9000">
                  <a:schemeClr val="accent1">
                    <a:tint val="52000"/>
                    <a:satMod val="300000"/>
                  </a:schemeClr>
                </a:gs>
                <a:gs pos="50000">
                  <a:schemeClr val="accent1">
                    <a:shade val="20000"/>
                    <a:satMod val="300000"/>
                  </a:schemeClr>
                </a:gs>
                <a:gs pos="79000">
                  <a:schemeClr val="accent1">
                    <a:tint val="52000"/>
                    <a:satMod val="300000"/>
                  </a:schemeClr>
                </a:gs>
                <a:gs pos="100000">
                  <a:schemeClr val="accent1">
                    <a:tint val="40000"/>
                    <a:satMod val="250000"/>
                  </a:schemeClr>
                </a:gs>
              </a:gsLst>
              <a:lin ang="5400000"/>
            </a:gra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733425</xdr:colOff>
      <xdr:row>17</xdr:row>
      <xdr:rowOff>104775</xdr:rowOff>
    </xdr:from>
    <xdr:to>
      <xdr:col>24</xdr:col>
      <xdr:colOff>733425</xdr:colOff>
      <xdr:row>20</xdr:row>
      <xdr:rowOff>0</xdr:rowOff>
    </xdr:to>
    <xdr:sp macro="[0]!CreateNewMonth" textlink="">
      <xdr:nvSpPr>
        <xdr:cNvPr id="2" name="Rounded Rectangle 1"/>
        <xdr:cNvSpPr/>
      </xdr:nvSpPr>
      <xdr:spPr>
        <a:xfrm>
          <a:off x="15487650" y="3152775"/>
          <a:ext cx="2305050" cy="4667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2000" b="1" cap="none" spc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gradFill>
                <a:gsLst>
                  <a:gs pos="0">
                    <a:schemeClr val="accent1">
                      <a:tint val="40000"/>
                      <a:satMod val="250000"/>
                    </a:schemeClr>
                  </a:gs>
                  <a:gs pos="9000">
                    <a:schemeClr val="accent1">
                      <a:tint val="52000"/>
                      <a:satMod val="300000"/>
                    </a:schemeClr>
                  </a:gs>
                  <a:gs pos="50000">
                    <a:schemeClr val="accent1">
                      <a:shade val="20000"/>
                      <a:satMod val="300000"/>
                    </a:schemeClr>
                  </a:gs>
                  <a:gs pos="79000">
                    <a:schemeClr val="accent1">
                      <a:tint val="52000"/>
                      <a:satMod val="300000"/>
                    </a:schemeClr>
                  </a:gs>
                  <a:gs pos="100000">
                    <a:schemeClr val="accent1">
                      <a:tint val="40000"/>
                      <a:satMod val="250000"/>
                    </a:schemeClr>
                  </a:gs>
                </a:gsLst>
                <a:lin ang="5400000"/>
              </a:gradFill>
              <a:effectLst/>
            </a:rPr>
            <a:t>Add</a:t>
          </a:r>
          <a:r>
            <a:rPr lang="en-US" sz="2000" b="1" cap="none" spc="0" baseline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gradFill>
                <a:gsLst>
                  <a:gs pos="0">
                    <a:schemeClr val="accent1">
                      <a:tint val="40000"/>
                      <a:satMod val="250000"/>
                    </a:schemeClr>
                  </a:gs>
                  <a:gs pos="9000">
                    <a:schemeClr val="accent1">
                      <a:tint val="52000"/>
                      <a:satMod val="300000"/>
                    </a:schemeClr>
                  </a:gs>
                  <a:gs pos="50000">
                    <a:schemeClr val="accent1">
                      <a:shade val="20000"/>
                      <a:satMod val="300000"/>
                    </a:schemeClr>
                  </a:gs>
                  <a:gs pos="79000">
                    <a:schemeClr val="accent1">
                      <a:tint val="52000"/>
                      <a:satMod val="300000"/>
                    </a:schemeClr>
                  </a:gs>
                  <a:gs pos="100000">
                    <a:schemeClr val="accent1">
                      <a:tint val="40000"/>
                      <a:satMod val="250000"/>
                    </a:schemeClr>
                  </a:gs>
                </a:gsLst>
                <a:lin ang="5400000"/>
              </a:gradFill>
              <a:effectLst/>
            </a:rPr>
            <a:t> New Month</a:t>
          </a:r>
          <a:endParaRPr lang="en-US" sz="2000" b="1" cap="none" spc="0">
            <a:ln w="10541" cmpd="sng">
              <a:solidFill>
                <a:schemeClr val="accent1">
                  <a:shade val="88000"/>
                  <a:satMod val="110000"/>
                </a:schemeClr>
              </a:solidFill>
              <a:prstDash val="solid"/>
            </a:ln>
            <a:gradFill>
              <a:gsLst>
                <a:gs pos="0">
                  <a:schemeClr val="accent1">
                    <a:tint val="40000"/>
                    <a:satMod val="250000"/>
                  </a:schemeClr>
                </a:gs>
                <a:gs pos="9000">
                  <a:schemeClr val="accent1">
                    <a:tint val="52000"/>
                    <a:satMod val="300000"/>
                  </a:schemeClr>
                </a:gs>
                <a:gs pos="50000">
                  <a:schemeClr val="accent1">
                    <a:shade val="20000"/>
                    <a:satMod val="300000"/>
                  </a:schemeClr>
                </a:gs>
                <a:gs pos="79000">
                  <a:schemeClr val="accent1">
                    <a:tint val="52000"/>
                    <a:satMod val="300000"/>
                  </a:schemeClr>
                </a:gs>
                <a:gs pos="100000">
                  <a:schemeClr val="accent1">
                    <a:tint val="40000"/>
                    <a:satMod val="250000"/>
                  </a:schemeClr>
                </a:gs>
              </a:gsLst>
              <a:lin ang="5400000"/>
            </a:gradFill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190500</xdr:colOff>
      <xdr:row>0</xdr:row>
      <xdr:rowOff>47625</xdr:rowOff>
    </xdr:from>
    <xdr:to>
      <xdr:col>18</xdr:col>
      <xdr:colOff>390525</xdr:colOff>
      <xdr:row>21</xdr:row>
      <xdr:rowOff>57150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409575</xdr:colOff>
      <xdr:row>0</xdr:row>
      <xdr:rowOff>76200</xdr:rowOff>
    </xdr:from>
    <xdr:to>
      <xdr:col>27</xdr:col>
      <xdr:colOff>19050</xdr:colOff>
      <xdr:row>21</xdr:row>
      <xdr:rowOff>38100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21</xdr:row>
      <xdr:rowOff>66675</xdr:rowOff>
    </xdr:from>
    <xdr:to>
      <xdr:col>9</xdr:col>
      <xdr:colOff>140634</xdr:colOff>
      <xdr:row>38</xdr:row>
      <xdr:rowOff>123825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57151</xdr:colOff>
      <xdr:row>0</xdr:row>
      <xdr:rowOff>47624</xdr:rowOff>
    </xdr:from>
    <xdr:to>
      <xdr:col>9</xdr:col>
      <xdr:colOff>152401</xdr:colOff>
      <xdr:row>20</xdr:row>
      <xdr:rowOff>133349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180975</xdr:colOff>
      <xdr:row>21</xdr:row>
      <xdr:rowOff>66675</xdr:rowOff>
    </xdr:from>
    <xdr:to>
      <xdr:col>18</xdr:col>
      <xdr:colOff>293034</xdr:colOff>
      <xdr:row>38</xdr:row>
      <xdr:rowOff>123825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333375</xdr:colOff>
      <xdr:row>21</xdr:row>
      <xdr:rowOff>66675</xdr:rowOff>
    </xdr:from>
    <xdr:to>
      <xdr:col>27</xdr:col>
      <xdr:colOff>445434</xdr:colOff>
      <xdr:row>38</xdr:row>
      <xdr:rowOff>123825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66675</xdr:colOff>
      <xdr:row>39</xdr:row>
      <xdr:rowOff>19050</xdr:rowOff>
    </xdr:from>
    <xdr:to>
      <xdr:col>9</xdr:col>
      <xdr:colOff>178734</xdr:colOff>
      <xdr:row>56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200025</xdr:colOff>
      <xdr:row>39</xdr:row>
      <xdr:rowOff>0</xdr:rowOff>
    </xdr:from>
    <xdr:to>
      <xdr:col>18</xdr:col>
      <xdr:colOff>307601</xdr:colOff>
      <xdr:row>56</xdr:row>
      <xdr:rowOff>57150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</xdr:col>
      <xdr:colOff>333375</xdr:colOff>
      <xdr:row>39</xdr:row>
      <xdr:rowOff>19050</xdr:rowOff>
    </xdr:from>
    <xdr:to>
      <xdr:col>27</xdr:col>
      <xdr:colOff>445434</xdr:colOff>
      <xdr:row>56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57150</xdr:colOff>
      <xdr:row>56</xdr:row>
      <xdr:rowOff>104775</xdr:rowOff>
    </xdr:from>
    <xdr:to>
      <xdr:col>9</xdr:col>
      <xdr:colOff>169209</xdr:colOff>
      <xdr:row>73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209550</xdr:colOff>
      <xdr:row>56</xdr:row>
      <xdr:rowOff>123825</xdr:rowOff>
    </xdr:from>
    <xdr:to>
      <xdr:col>18</xdr:col>
      <xdr:colOff>317126</xdr:colOff>
      <xdr:row>73</xdr:row>
      <xdr:rowOff>180975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18</xdr:col>
      <xdr:colOff>352425</xdr:colOff>
      <xdr:row>56</xdr:row>
      <xdr:rowOff>123825</xdr:rowOff>
    </xdr:from>
    <xdr:to>
      <xdr:col>27</xdr:col>
      <xdr:colOff>464484</xdr:colOff>
      <xdr:row>73</xdr:row>
      <xdr:rowOff>180975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74</xdr:row>
      <xdr:rowOff>0</xdr:rowOff>
    </xdr:from>
    <xdr:to>
      <xdr:col>9</xdr:col>
      <xdr:colOff>112059</xdr:colOff>
      <xdr:row>91</xdr:row>
      <xdr:rowOff>57150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142875</xdr:colOff>
      <xdr:row>74</xdr:row>
      <xdr:rowOff>28575</xdr:rowOff>
    </xdr:from>
    <xdr:to>
      <xdr:col>18</xdr:col>
      <xdr:colOff>250451</xdr:colOff>
      <xdr:row>91</xdr:row>
      <xdr:rowOff>85725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18</xdr:col>
      <xdr:colOff>276225</xdr:colOff>
      <xdr:row>74</xdr:row>
      <xdr:rowOff>38100</xdr:rowOff>
    </xdr:from>
    <xdr:to>
      <xdr:col>27</xdr:col>
      <xdr:colOff>388284</xdr:colOff>
      <xdr:row>91</xdr:row>
      <xdr:rowOff>95250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19050</xdr:colOff>
      <xdr:row>91</xdr:row>
      <xdr:rowOff>85725</xdr:rowOff>
    </xdr:from>
    <xdr:to>
      <xdr:col>9</xdr:col>
      <xdr:colOff>131109</xdr:colOff>
      <xdr:row>108</xdr:row>
      <xdr:rowOff>142875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</xdr:col>
      <xdr:colOff>152400</xdr:colOff>
      <xdr:row>91</xdr:row>
      <xdr:rowOff>104775</xdr:rowOff>
    </xdr:from>
    <xdr:to>
      <xdr:col>18</xdr:col>
      <xdr:colOff>264459</xdr:colOff>
      <xdr:row>108</xdr:row>
      <xdr:rowOff>161925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18</xdr:col>
      <xdr:colOff>228600</xdr:colOff>
      <xdr:row>91</xdr:row>
      <xdr:rowOff>171450</xdr:rowOff>
    </xdr:from>
    <xdr:to>
      <xdr:col>27</xdr:col>
      <xdr:colOff>340659</xdr:colOff>
      <xdr:row>109</xdr:row>
      <xdr:rowOff>38100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28575</xdr:colOff>
      <xdr:row>109</xdr:row>
      <xdr:rowOff>9525</xdr:rowOff>
    </xdr:from>
    <xdr:to>
      <xdr:col>9</xdr:col>
      <xdr:colOff>140634</xdr:colOff>
      <xdr:row>126</xdr:row>
      <xdr:rowOff>66675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</xdr:col>
      <xdr:colOff>180975</xdr:colOff>
      <xdr:row>109</xdr:row>
      <xdr:rowOff>19050</xdr:rowOff>
    </xdr:from>
    <xdr:to>
      <xdr:col>18</xdr:col>
      <xdr:colOff>293034</xdr:colOff>
      <xdr:row>126</xdr:row>
      <xdr:rowOff>76200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0423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1034" cy="6293069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udg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view"/>
      <sheetName val="Spending Over Time"/>
      <sheetName val="POS Categories"/>
      <sheetName val="January 2022"/>
      <sheetName val="December 2021"/>
      <sheetName val="November 2021"/>
      <sheetName val="October 2021"/>
      <sheetName val="September 2021"/>
      <sheetName val="August 2021"/>
      <sheetName val="July 2021"/>
      <sheetName val="June 2021"/>
      <sheetName val="May 2021"/>
      <sheetName val="April 2021"/>
      <sheetName val="March 2021"/>
      <sheetName val="February 2021"/>
      <sheetName val="January 2021"/>
      <sheetName val="December 2020"/>
      <sheetName val="November 2020"/>
      <sheetName val="October 2020"/>
      <sheetName val="September 2020"/>
      <sheetName val="August 2020"/>
      <sheetName val="July 2020"/>
      <sheetName val="June 2020"/>
      <sheetName val="May 2020"/>
      <sheetName val="April 2020"/>
      <sheetName val="March 2020"/>
      <sheetName val="February 2020"/>
      <sheetName val="January 2020"/>
      <sheetName val="December 2019"/>
      <sheetName val="November 2019"/>
      <sheetName val="October 2019"/>
      <sheetName val="September 2019"/>
      <sheetName val="August 2019"/>
      <sheetName val="July 2019"/>
      <sheetName val="June 2019"/>
      <sheetName val="May 2019"/>
      <sheetName val="April 2019"/>
      <sheetName val="March 2019"/>
      <sheetName val="February 2019"/>
      <sheetName val="January 2019"/>
    </sheetNames>
    <sheetDataSet>
      <sheetData sheetId="0" refreshError="1"/>
      <sheetData sheetId="1" refreshError="1"/>
      <sheetData sheetId="2" refreshError="1">
        <row r="1">
          <cell r="A1" t="str">
            <v>POS</v>
          </cell>
          <cell r="B1" t="str">
            <v>Category</v>
          </cell>
        </row>
        <row r="2">
          <cell r="A2" t="str">
            <v>SOBEYS LIQUOR #5053      SASKA</v>
          </cell>
          <cell r="B2" t="str">
            <v>Food</v>
          </cell>
        </row>
        <row r="3">
          <cell r="A3" t="str">
            <v>A&amp;W STORE 2290           SASKA</v>
          </cell>
          <cell r="B3" t="str">
            <v>Food</v>
          </cell>
        </row>
        <row r="4">
          <cell r="A4" t="str">
            <v>SED Systems, a division of CPT</v>
          </cell>
          <cell r="B4" t="str">
            <v>Job</v>
          </cell>
        </row>
        <row r="5">
          <cell r="A5" t="str">
            <v>SUPER CENTER #5878       SASKA</v>
          </cell>
          <cell r="B5" t="str">
            <v>Food</v>
          </cell>
        </row>
        <row r="6">
          <cell r="A6" t="str">
            <v>WAL-MART #5878           SASKA</v>
          </cell>
          <cell r="B6" t="str">
            <v>Food</v>
          </cell>
        </row>
        <row r="7">
          <cell r="A7" t="str">
            <v>HOMESENSE 082            SASKA</v>
          </cell>
          <cell r="B7" t="str">
            <v>Home</v>
          </cell>
        </row>
        <row r="8">
          <cell r="A8" t="str">
            <v>SHELL C81152             SASKA</v>
          </cell>
          <cell r="B8" t="str">
            <v>Vehicle</v>
          </cell>
        </row>
        <row r="9">
          <cell r="A9" t="str">
            <v>SQ *STREET TREATS ICE    Lumsd</v>
          </cell>
          <cell r="B9" t="str">
            <v>Food</v>
          </cell>
        </row>
        <row r="10">
          <cell r="A10" t="str">
            <v>PETRO-CANADA             SASKA</v>
          </cell>
          <cell r="B10" t="str">
            <v>Vehicle</v>
          </cell>
        </row>
        <row r="11">
          <cell r="A11" t="str">
            <v>REAL CDN SUPERSTORE #1   SASKA</v>
          </cell>
          <cell r="B11" t="str">
            <v>Food</v>
          </cell>
        </row>
        <row r="12">
          <cell r="A12" t="str">
            <v>SHELL C81152             SASKA</v>
          </cell>
          <cell r="B12" t="str">
            <v>Vehicle</v>
          </cell>
        </row>
        <row r="13">
          <cell r="A13" t="str">
            <v>KEO'S KITCHEN            SASKA</v>
          </cell>
          <cell r="B13" t="str">
            <v>Food</v>
          </cell>
        </row>
        <row r="14">
          <cell r="A14" t="str">
            <v>PETRO-CANADA             REGIN</v>
          </cell>
          <cell r="B14" t="str">
            <v>Vehicle</v>
          </cell>
        </row>
        <row r="15">
          <cell r="A15" t="str">
            <v>PRAIRIE DONAIR           REGIN</v>
          </cell>
          <cell r="B15" t="str">
            <v>Food</v>
          </cell>
        </row>
        <row r="16">
          <cell r="A16" t="str">
            <v xml:space="preserve">SASKTEL PAYROLL DME          </v>
          </cell>
          <cell r="B16" t="str">
            <v>Job</v>
          </cell>
        </row>
        <row r="17">
          <cell r="A17" t="str">
            <v>WENDY'S RESTAURANT       REGIN</v>
          </cell>
          <cell r="B17" t="str">
            <v>Food</v>
          </cell>
        </row>
        <row r="18">
          <cell r="A18" t="str">
            <v>A &amp; W REGINA - AVONHUR   REGIN</v>
          </cell>
          <cell r="B18" t="str">
            <v>Food</v>
          </cell>
        </row>
        <row r="19">
          <cell r="A19" t="str">
            <v>DQ GRILL &amp; CHILL #2732   REGIN</v>
          </cell>
          <cell r="B19" t="str">
            <v>Food</v>
          </cell>
        </row>
        <row r="20">
          <cell r="A20" t="str">
            <v>SHELL C11988             SASKA</v>
          </cell>
          <cell r="B20" t="str">
            <v>Vehicle</v>
          </cell>
        </row>
        <row r="21">
          <cell r="A21" t="str">
            <v>A&amp;W STORE 2285           SASKA</v>
          </cell>
          <cell r="B21" t="str">
            <v>Food</v>
          </cell>
        </row>
        <row r="22">
          <cell r="A22" t="str">
            <v>TIM HORTONS #1156        REGIN</v>
          </cell>
          <cell r="B22" t="str">
            <v>Food</v>
          </cell>
        </row>
        <row r="23">
          <cell r="A23" t="str">
            <v>PETRO-CANADA             REGIN</v>
          </cell>
          <cell r="B23" t="str">
            <v>Vehicle</v>
          </cell>
        </row>
        <row r="24">
          <cell r="A24" t="str">
            <v>DQ GRILL &amp; CHILL #2732   REGIN</v>
          </cell>
          <cell r="B24" t="str">
            <v>Food</v>
          </cell>
        </row>
        <row r="25">
          <cell r="A25" t="str">
            <v>WENDY'S RESTAURANT       REGIN</v>
          </cell>
          <cell r="B25" t="str">
            <v>Food</v>
          </cell>
        </row>
        <row r="26">
          <cell r="A26" t="str">
            <v>MB-DEP</v>
          </cell>
          <cell r="B26" t="str">
            <v>Misc</v>
          </cell>
        </row>
        <row r="27">
          <cell r="A27" t="str">
            <v>MB-CREDIT CARD/LOC PAY.</v>
          </cell>
          <cell r="B27" t="str">
            <v>Misc</v>
          </cell>
        </row>
        <row r="28">
          <cell r="A28" t="str">
            <v>TIM HORTONS #1156        REGIN</v>
          </cell>
          <cell r="B28" t="str">
            <v>Food</v>
          </cell>
        </row>
        <row r="29">
          <cell r="A29" t="str">
            <v>AFFINITY INSURANCE SER   REGIN</v>
          </cell>
          <cell r="B29" t="str">
            <v>Vehicle</v>
          </cell>
        </row>
        <row r="30">
          <cell r="A30" t="str">
            <v>THE FAT BADGER           REGIN</v>
          </cell>
          <cell r="B30" t="str">
            <v>Food</v>
          </cell>
        </row>
        <row r="31">
          <cell r="A31" t="str">
            <v>A &amp; W REGINA - CORNWAL   REGIN</v>
          </cell>
          <cell r="B31" t="str">
            <v>Food</v>
          </cell>
        </row>
        <row r="32">
          <cell r="A32" t="str">
            <v>BOSTON PIZZA # 210       REGIN</v>
          </cell>
          <cell r="B32" t="str">
            <v>Food</v>
          </cell>
        </row>
        <row r="33">
          <cell r="A33" t="str">
            <v>FRESHII - REGINA         REGIN</v>
          </cell>
          <cell r="B33" t="str">
            <v>Food</v>
          </cell>
        </row>
        <row r="34">
          <cell r="A34" t="str">
            <v>TANGERINE: THE FOOD BAR  REGIN</v>
          </cell>
          <cell r="B34" t="str">
            <v>Food</v>
          </cell>
        </row>
        <row r="35">
          <cell r="A35" t="str">
            <v>TIM HORTONS #3282        REGIN</v>
          </cell>
          <cell r="B35" t="str">
            <v>Food</v>
          </cell>
        </row>
        <row r="36">
          <cell r="A36" t="str">
            <v>A &amp; W REGINA - CORNWAL   REGIN</v>
          </cell>
          <cell r="B36" t="str">
            <v>Food</v>
          </cell>
        </row>
        <row r="37">
          <cell r="A37" t="str">
            <v>DAIRY QUEEN #27215       REGIN</v>
          </cell>
          <cell r="B37" t="str">
            <v>Food</v>
          </cell>
        </row>
        <row r="38">
          <cell r="A38" t="str">
            <v>SUBWAY # 33065           REGIN</v>
          </cell>
          <cell r="B38" t="str">
            <v>Food</v>
          </cell>
        </row>
        <row r="39">
          <cell r="A39" t="str">
            <v>A &amp; W REGINA - CORNWAL   REGIN</v>
          </cell>
          <cell r="B39" t="str">
            <v>Food</v>
          </cell>
        </row>
        <row r="40">
          <cell r="A40" t="str">
            <v>CANADIAN TIRE #275       REGIN</v>
          </cell>
          <cell r="B40" t="str">
            <v>Vehicle</v>
          </cell>
        </row>
        <row r="41">
          <cell r="A41" t="str">
            <v>SHELL C81152             SASKA</v>
          </cell>
          <cell r="B41" t="str">
            <v>Vehicle</v>
          </cell>
        </row>
        <row r="42">
          <cell r="A42" t="str">
            <v>STARBUCKS #04496#        SASKA</v>
          </cell>
          <cell r="B42" t="str">
            <v>Food</v>
          </cell>
        </row>
        <row r="43">
          <cell r="A43" t="str">
            <v>EARLS SASKATOON          SASKA</v>
          </cell>
          <cell r="B43" t="str">
            <v>Food</v>
          </cell>
        </row>
        <row r="44">
          <cell r="A44" t="str">
            <v>TIM HORTONS #5868        SASKA</v>
          </cell>
          <cell r="B44" t="str">
            <v>Food</v>
          </cell>
        </row>
        <row r="45">
          <cell r="A45" t="str">
            <v>SUBWAY # 33065           REGIN</v>
          </cell>
          <cell r="B45" t="str">
            <v>Food</v>
          </cell>
        </row>
        <row r="46">
          <cell r="A46" t="str">
            <v>TIM HORTONS #3282        REGIN</v>
          </cell>
          <cell r="B46" t="str">
            <v>Food</v>
          </cell>
        </row>
        <row r="47">
          <cell r="A47" t="str">
            <v xml:space="preserve">SASKTEL PAYROLL DME          </v>
          </cell>
          <cell r="B47" t="str">
            <v>Job</v>
          </cell>
        </row>
        <row r="48">
          <cell r="A48" t="str">
            <v>KUNG PAO WOK             REGIN</v>
          </cell>
          <cell r="B48" t="str">
            <v>Food</v>
          </cell>
        </row>
        <row r="49">
          <cell r="A49" t="str">
            <v>A &amp; W REGINA - CORNWAL   REGIN</v>
          </cell>
          <cell r="B49" t="str">
            <v>Food</v>
          </cell>
        </row>
        <row r="50">
          <cell r="A50" t="str">
            <v>REGINA POLICE 1          REGIN</v>
          </cell>
          <cell r="B50" t="str">
            <v>Job</v>
          </cell>
        </row>
        <row r="51">
          <cell r="A51" t="str">
            <v>OPOS SASKTEL WIRELESS RECREGIN</v>
          </cell>
          <cell r="B51" t="str">
            <v>Sasktel</v>
          </cell>
        </row>
        <row r="52">
          <cell r="A52" t="str">
            <v>NEW YORK FRIES #3272     REGIN</v>
          </cell>
          <cell r="B52" t="str">
            <v>Food</v>
          </cell>
        </row>
        <row r="53">
          <cell r="A53" t="str">
            <v>WENDY'S RESTAURANT       REGIN</v>
          </cell>
          <cell r="B53" t="str">
            <v>Food</v>
          </cell>
        </row>
        <row r="54">
          <cell r="A54" t="str">
            <v>WENDY'S RESTAURANT       REGIN</v>
          </cell>
          <cell r="B54" t="str">
            <v>Food</v>
          </cell>
        </row>
        <row r="55">
          <cell r="A55" t="str">
            <v>OPOS MICROSOFT*STORE     MSBIL</v>
          </cell>
          <cell r="B55" t="str">
            <v>Entertainment</v>
          </cell>
        </row>
        <row r="56">
          <cell r="A56" t="str">
            <v>SUBWAY # 33065           REGIN</v>
          </cell>
          <cell r="B56" t="str">
            <v>Food</v>
          </cell>
        </row>
        <row r="57">
          <cell r="A57" t="str">
            <v>OPOS 9.15 Amazon web servaws.a</v>
          </cell>
          <cell r="B57" t="str">
            <v>Entertainment</v>
          </cell>
        </row>
        <row r="58">
          <cell r="A58" t="str">
            <v>A &amp; W REGINA - CORNWAL   REGIN</v>
          </cell>
          <cell r="B58" t="str">
            <v>Food</v>
          </cell>
        </row>
        <row r="59">
          <cell r="A59" t="str">
            <v>OPOS STASEON KLEIN APPLICREGIN</v>
          </cell>
          <cell r="B59" t="str">
            <v>Food</v>
          </cell>
        </row>
        <row r="60">
          <cell r="A60" t="str">
            <v>A&amp;W ROCHDALE             REGIN</v>
          </cell>
          <cell r="B60" t="str">
            <v>Food</v>
          </cell>
        </row>
        <row r="61">
          <cell r="A61" t="str">
            <v>A&amp;W RESTAURANT #1726     MEDIC</v>
          </cell>
          <cell r="B61" t="str">
            <v>Food</v>
          </cell>
        </row>
        <row r="62">
          <cell r="A62" t="str">
            <v>PETRO-CANADA             MEDIC</v>
          </cell>
          <cell r="B62" t="str">
            <v>Vehicle</v>
          </cell>
        </row>
        <row r="63">
          <cell r="A63" t="str">
            <v>CAN MORE HOTEL           CANMO</v>
          </cell>
          <cell r="B63" t="str">
            <v>Food</v>
          </cell>
        </row>
        <row r="64">
          <cell r="A64" t="str">
            <v>ROCK PAPER SILVER BANF   BANFF</v>
          </cell>
          <cell r="B64" t="str">
            <v>Personal</v>
          </cell>
        </row>
        <row r="65">
          <cell r="A65" t="str">
            <v>BEAVERTAILS              CANMO</v>
          </cell>
          <cell r="B65" t="str">
            <v>Food</v>
          </cell>
        </row>
        <row r="66">
          <cell r="A66" t="str">
            <v>COOL AS A MOOSE          BANFF</v>
          </cell>
          <cell r="B66" t="str">
            <v>Personal</v>
          </cell>
        </row>
        <row r="67">
          <cell r="A67" t="str">
            <v>HUDSON'S BAY #1154       BANFF</v>
          </cell>
          <cell r="B67" t="str">
            <v>Personal</v>
          </cell>
        </row>
        <row r="68">
          <cell r="A68" t="str">
            <v>QUATRO ASIAN BISTRO      CANMO</v>
          </cell>
          <cell r="B68" t="str">
            <v>Food</v>
          </cell>
        </row>
        <row r="69">
          <cell r="A69" t="str">
            <v>TIM HORTONS #6565        REGIN</v>
          </cell>
          <cell r="B69" t="str">
            <v>Food</v>
          </cell>
        </row>
        <row r="70">
          <cell r="A70" t="str">
            <v>OPOS STEAMGAMES.COM 42595Hambu</v>
          </cell>
          <cell r="B70" t="str">
            <v>Entertainment</v>
          </cell>
        </row>
        <row r="71">
          <cell r="A71" t="str">
            <v>OPOS NINTENDO    *AMERICA800-2</v>
          </cell>
          <cell r="B71" t="str">
            <v>Entertainment</v>
          </cell>
        </row>
        <row r="72">
          <cell r="A72" t="str">
            <v>OPOS NINTENDO    *AMERICA800-2</v>
          </cell>
          <cell r="B72" t="str">
            <v>Entertainment</v>
          </cell>
        </row>
        <row r="73">
          <cell r="A73" t="str">
            <v>REAL CANADIAN SUPRSTOR   REGIN</v>
          </cell>
          <cell r="B73" t="str">
            <v>Food</v>
          </cell>
        </row>
        <row r="74">
          <cell r="A74" t="str">
            <v>SAFEWAY #4890            REGIN</v>
          </cell>
          <cell r="B74" t="str">
            <v>Food</v>
          </cell>
        </row>
        <row r="75">
          <cell r="A75" t="str">
            <v>WOK BOX                  REGIN</v>
          </cell>
          <cell r="B75" t="str">
            <v>Food</v>
          </cell>
        </row>
        <row r="76">
          <cell r="A76" t="str">
            <v>OPOS Riot* AN0H1JQLE2P1  866-3</v>
          </cell>
          <cell r="B76" t="str">
            <v>Entertainment</v>
          </cell>
        </row>
        <row r="77">
          <cell r="A77" t="str">
            <v>WAL-MART #3076           REGIN</v>
          </cell>
          <cell r="B77" t="str">
            <v>Food</v>
          </cell>
        </row>
        <row r="78">
          <cell r="A78" t="str">
            <v>OPOS RiotGam*LoL LN018WTP866-3</v>
          </cell>
          <cell r="B78" t="str">
            <v>Entertainment</v>
          </cell>
        </row>
        <row r="79">
          <cell r="A79" t="str">
            <v>OPOS Xsolla *EFT         h.xso</v>
          </cell>
          <cell r="B79" t="str">
            <v>Entertainment</v>
          </cell>
        </row>
        <row r="80">
          <cell r="A80" t="str">
            <v>OPOS Xsolla * LZUD CODE  h.xso</v>
          </cell>
          <cell r="B80" t="str">
            <v>Entertainment</v>
          </cell>
        </row>
        <row r="81">
          <cell r="A81" t="str">
            <v>OPOS Xsolla * LZUD CODE  h.xso</v>
          </cell>
          <cell r="B81" t="str">
            <v>Entertainment</v>
          </cell>
        </row>
        <row r="82">
          <cell r="A82" t="str">
            <v>OPOS SKIPTHEDISHES       +1855</v>
          </cell>
          <cell r="B82" t="str">
            <v>Food</v>
          </cell>
        </row>
        <row r="83">
          <cell r="A83" t="str">
            <v>SOBEYS STONEBRIDGE #49   SASKA</v>
          </cell>
          <cell r="B83" t="str">
            <v>Food</v>
          </cell>
        </row>
        <row r="84">
          <cell r="A84" t="str">
            <v>STARBUCKS COFFEE #26918  SASKA</v>
          </cell>
          <cell r="B84" t="str">
            <v>Food</v>
          </cell>
        </row>
        <row r="85">
          <cell r="A85" t="str">
            <v>TOMMY GUN'S ORIGINAL B   SASKA</v>
          </cell>
          <cell r="B85" t="str">
            <v>Personal</v>
          </cell>
        </row>
        <row r="86">
          <cell r="A86" t="str">
            <v>COSTCO WHOLESALE W1234   SASKA</v>
          </cell>
          <cell r="B86" t="str">
            <v>Food</v>
          </cell>
        </row>
        <row r="87">
          <cell r="A87" t="str">
            <v>RED SWAN PIZZA           SASKA</v>
          </cell>
          <cell r="B87" t="str">
            <v>Food</v>
          </cell>
        </row>
        <row r="88">
          <cell r="A88" t="str">
            <v>ASHLEY FURNITURE HOMES   SASKA</v>
          </cell>
          <cell r="B88" t="str">
            <v>Home</v>
          </cell>
        </row>
        <row r="89">
          <cell r="A89" t="str">
            <v>JYSK CANADA 865          SASKA</v>
          </cell>
          <cell r="B89" t="str">
            <v>Home</v>
          </cell>
        </row>
        <row r="90">
          <cell r="A90" t="str">
            <v>BEST BUY #974            SASKA</v>
          </cell>
          <cell r="B90" t="str">
            <v>Entertainment</v>
          </cell>
        </row>
        <row r="91">
          <cell r="A91" t="str">
            <v>OPOS 9.43 Amazon web servaws.a</v>
          </cell>
          <cell r="B91" t="str">
            <v>Entertainment</v>
          </cell>
        </row>
        <row r="92">
          <cell r="A92" t="str">
            <v>STARBUCKS COFFEE # 59659 SASKA</v>
          </cell>
          <cell r="B92" t="str">
            <v>Food</v>
          </cell>
        </row>
        <row r="93">
          <cell r="A93" t="str">
            <v>#5127 SPORT CHEK         SASKA</v>
          </cell>
          <cell r="B93" t="str">
            <v>Personal</v>
          </cell>
        </row>
        <row r="94">
          <cell r="A94" t="str">
            <v>JYSK CANADA 900          SASKA</v>
          </cell>
          <cell r="B94" t="str">
            <v>Home</v>
          </cell>
        </row>
        <row r="95">
          <cell r="A95" t="str">
            <v>OPOS Microsoft*Store     Missi</v>
          </cell>
          <cell r="B95" t="str">
            <v>Entertainment</v>
          </cell>
        </row>
        <row r="96">
          <cell r="A96" t="str">
            <v>OPOS RiotGam*LoL LN0UABTQ866-3</v>
          </cell>
          <cell r="B96" t="str">
            <v>Entertainment</v>
          </cell>
        </row>
        <row r="97">
          <cell r="A97" t="str">
            <v>VIET-THAI RESTAURANT R   REGIN</v>
          </cell>
          <cell r="B97" t="str">
            <v>Food</v>
          </cell>
        </row>
        <row r="98">
          <cell r="A98" t="str">
            <v>OPOS STEAMGAMES.COM      425-9</v>
          </cell>
          <cell r="B98" t="str">
            <v>Entertainment</v>
          </cell>
        </row>
        <row r="99">
          <cell r="A99" t="str">
            <v>OPOS 1.25 Amazon web servaws.a</v>
          </cell>
          <cell r="B99" t="str">
            <v>Entertainment</v>
          </cell>
        </row>
        <row r="100">
          <cell r="A100" t="str">
            <v>STAPLES#151              REGIN</v>
          </cell>
          <cell r="B100" t="str">
            <v>Home</v>
          </cell>
        </row>
        <row r="101">
          <cell r="A101" t="str">
            <v>OPOS 32.25 Amazon web seraws.a</v>
          </cell>
          <cell r="B101" t="str">
            <v>Entertainment</v>
          </cell>
        </row>
        <row r="102">
          <cell r="A102" t="str">
            <v>Amazon web seraws.a</v>
          </cell>
          <cell r="B102" t="str">
            <v>Entertainment</v>
          </cell>
        </row>
        <row r="103">
          <cell r="A103" t="str">
            <v>OPOS IMPARK CANADA AUTO  VANCO</v>
          </cell>
          <cell r="B103" t="str">
            <v>Bills</v>
          </cell>
        </row>
        <row r="104">
          <cell r="A104" t="str">
            <v>BIRMINGHAM'S VODKA AND   REGIN</v>
          </cell>
          <cell r="B104" t="str">
            <v>Food</v>
          </cell>
        </row>
        <row r="105">
          <cell r="A105" t="str">
            <v>OPOS 49.90 Xsolla *Twitchh.xso</v>
          </cell>
          <cell r="B105" t="str">
            <v>Entertainment</v>
          </cell>
        </row>
        <row r="106">
          <cell r="A106" t="str">
            <v>SAFEWAY #4894            REGIN</v>
          </cell>
          <cell r="B106" t="str">
            <v>Food</v>
          </cell>
        </row>
        <row r="107">
          <cell r="A107" t="str">
            <v>ULTRACUTS #0307          REGIN</v>
          </cell>
          <cell r="B107" t="str">
            <v>Personal</v>
          </cell>
        </row>
        <row r="108">
          <cell r="A108" t="str">
            <v>OPOS BLIZZARD CAD        IRVIN</v>
          </cell>
          <cell r="B108" t="str">
            <v>Entertainment</v>
          </cell>
        </row>
        <row r="109">
          <cell r="A109" t="str">
            <v>MB-FREE EMAIL MONEY TRF</v>
          </cell>
          <cell r="B109" t="str">
            <v>Personal</v>
          </cell>
        </row>
        <row r="110">
          <cell r="A110" t="str">
            <v>MB-EMAIL MONEY TRF</v>
          </cell>
          <cell r="B110" t="str">
            <v>Personal</v>
          </cell>
        </row>
        <row r="111">
          <cell r="A111" t="str">
            <v>OPOS 34.52 Amazon web seraws.a</v>
          </cell>
          <cell r="B111" t="str">
            <v>Entertainment</v>
          </cell>
        </row>
        <row r="112">
          <cell r="A112" t="str">
            <v>SUNRISE RECORDS          REGIN</v>
          </cell>
          <cell r="B112" t="str">
            <v>Entertainment</v>
          </cell>
        </row>
        <row r="113">
          <cell r="A113" t="str">
            <v>ALBERT NORTH AUTO &amp; AG   REGIN</v>
          </cell>
          <cell r="B113" t="str">
            <v>Vehicle</v>
          </cell>
        </row>
        <row r="114">
          <cell r="A114" t="str">
            <v>CAA SASKATCHEWAN         REGIN</v>
          </cell>
          <cell r="B114" t="str">
            <v>Vehicle</v>
          </cell>
        </row>
        <row r="115">
          <cell r="A115" t="str">
            <v>CORNWALL CENTRE INC.     REGIN</v>
          </cell>
          <cell r="B115" t="str">
            <v>Misc</v>
          </cell>
        </row>
        <row r="116">
          <cell r="A116" t="str">
            <v>OTV TECHNOLOGIES LTD     REGIN</v>
          </cell>
          <cell r="B116" t="str">
            <v>Entertainment</v>
          </cell>
        </row>
        <row r="117">
          <cell r="A117" t="str">
            <v>BURGER KING #03845       REGIN</v>
          </cell>
          <cell r="B117" t="str">
            <v>Food</v>
          </cell>
        </row>
        <row r="118">
          <cell r="A118" t="str">
            <v>PIER 1 IMPORTS #1206     REGIN</v>
          </cell>
          <cell r="B118" t="str">
            <v>Home</v>
          </cell>
        </row>
        <row r="119">
          <cell r="A119" t="str">
            <v xml:space="preserve">GREAT-WEST LIFE              </v>
          </cell>
          <cell r="B119" t="str">
            <v>Bills</v>
          </cell>
        </row>
        <row r="120">
          <cell r="A120" t="str">
            <v>THE SOURCE #58140        REGIN</v>
          </cell>
          <cell r="B120" t="str">
            <v>Entertainment</v>
          </cell>
        </row>
        <row r="121">
          <cell r="A121" t="str">
            <v>REAL CDN WHOLESALE #67   REGIN</v>
          </cell>
          <cell r="B121" t="str">
            <v>Food</v>
          </cell>
        </row>
        <row r="122">
          <cell r="A122" t="str">
            <v>OPOS STEAMGAMES.COM      Hambu</v>
          </cell>
          <cell r="B122" t="str">
            <v>Entertainment</v>
          </cell>
        </row>
        <row r="123">
          <cell r="A123" t="str">
            <v>ESSO GOLDEN MILE         REGIN</v>
          </cell>
          <cell r="B123" t="str">
            <v>Vehicle</v>
          </cell>
        </row>
        <row r="124">
          <cell r="A124" t="str">
            <v>CARL'S JR                REGIN</v>
          </cell>
          <cell r="B124" t="str">
            <v>Food</v>
          </cell>
        </row>
        <row r="125">
          <cell r="A125" t="str">
            <v>FYIDOCTORS               REGIN</v>
          </cell>
          <cell r="B125" t="str">
            <v>Personal</v>
          </cell>
        </row>
        <row r="126">
          <cell r="A126" t="str">
            <v>OPOS 33.41 Amazon web seraws.a</v>
          </cell>
          <cell r="B126" t="str">
            <v>Entertainment</v>
          </cell>
        </row>
        <row r="127">
          <cell r="A127" t="str">
            <v>SHOPPERS DRUG MART #04   REGIN</v>
          </cell>
          <cell r="B127" t="str">
            <v>Personal</v>
          </cell>
        </row>
        <row r="128">
          <cell r="A128" t="str">
            <v>OPOS NEOMAGNETIC-LEDMTL  51441</v>
          </cell>
          <cell r="B128" t="str">
            <v>Personal</v>
          </cell>
        </row>
        <row r="129">
          <cell r="A129" t="str">
            <v>TIM HORTONS #4361        REGIN</v>
          </cell>
          <cell r="B129" t="str">
            <v>Food</v>
          </cell>
        </row>
        <row r="130">
          <cell r="A130" t="str">
            <v>SHELL C01888             REGIN</v>
          </cell>
          <cell r="B130" t="str">
            <v>Vehicle</v>
          </cell>
        </row>
        <row r="131">
          <cell r="A131" t="str">
            <v>OPOS 36.61 WARNER MUSIC GNEW Y</v>
          </cell>
          <cell r="B131" t="str">
            <v>Entertainment</v>
          </cell>
        </row>
        <row r="132">
          <cell r="A132" t="str">
            <v>CBSA/ASFC REGINA PORT    REGIN</v>
          </cell>
          <cell r="B132" t="str">
            <v>Food</v>
          </cell>
        </row>
        <row r="133">
          <cell r="A133" t="str">
            <v>OPOS IMPARK CANADA ONLINEVANCO</v>
          </cell>
          <cell r="B133" t="str">
            <v>Bills</v>
          </cell>
        </row>
        <row r="134">
          <cell r="A134" t="str">
            <v>SAFEWAY #4891            REGIN</v>
          </cell>
          <cell r="B134" t="str">
            <v>Food</v>
          </cell>
        </row>
        <row r="135">
          <cell r="A135" t="str">
            <v>OPOS FC REGINA           REGIN</v>
          </cell>
          <cell r="B135" t="str">
            <v>Personal</v>
          </cell>
        </row>
        <row r="136">
          <cell r="A136" t="str">
            <v>EARL'S ALBERT STREET     REGIN</v>
          </cell>
          <cell r="B136" t="str">
            <v>Food</v>
          </cell>
        </row>
        <row r="137">
          <cell r="A137" t="str">
            <v>HENDERSON CAFE # 2       REGIN</v>
          </cell>
          <cell r="B137" t="str">
            <v>Food</v>
          </cell>
        </row>
        <row r="138">
          <cell r="A138" t="str">
            <v>SASK LIQ &amp; GAMING AUTH   REGIN</v>
          </cell>
          <cell r="B138" t="str">
            <v>Food</v>
          </cell>
        </row>
        <row r="139">
          <cell r="A139" t="str">
            <v>WESTERN PIZZA            REGIN</v>
          </cell>
          <cell r="B139" t="str">
            <v>Food</v>
          </cell>
        </row>
        <row r="140">
          <cell r="A140" t="str">
            <v>DAIRY QUEEN #26920       REGIN</v>
          </cell>
          <cell r="B140" t="str">
            <v>Food</v>
          </cell>
        </row>
        <row r="141">
          <cell r="A141" t="str">
            <v>OPOS 37.00 KICKSTARTER COBROOK</v>
          </cell>
          <cell r="B141" t="str">
            <v>Personal</v>
          </cell>
        </row>
        <row r="142">
          <cell r="A142" t="str">
            <v>DAIRY QUEEN #27144       REGIN</v>
          </cell>
          <cell r="B142" t="str">
            <v>Food</v>
          </cell>
        </row>
        <row r="143">
          <cell r="A143" t="str">
            <v>DSW #548                 REGIN</v>
          </cell>
          <cell r="B143" t="str">
            <v>Food</v>
          </cell>
        </row>
        <row r="144">
          <cell r="A144" t="str">
            <v>MELTWICH FOOD CO         REGIN</v>
          </cell>
          <cell r="B144" t="str">
            <v>Food</v>
          </cell>
        </row>
        <row r="145">
          <cell r="A145" t="str">
            <v>OPOS 23.62 Amazon web seraws.a</v>
          </cell>
          <cell r="B145" t="str">
            <v>Entertainment</v>
          </cell>
        </row>
        <row r="146">
          <cell r="A146" t="str">
            <v>FIVE GUYS BURGERS &amp; FRIESREGIN</v>
          </cell>
          <cell r="B146" t="str">
            <v>Food</v>
          </cell>
        </row>
        <row r="147">
          <cell r="A147" t="str">
            <v>TIM HORTONS #2334        REGIN</v>
          </cell>
          <cell r="B147" t="str">
            <v>Food</v>
          </cell>
        </row>
        <row r="148">
          <cell r="A148" t="str">
            <v>DOLLARAMA # 703          REGIN</v>
          </cell>
          <cell r="B148" t="str">
            <v>Personal</v>
          </cell>
        </row>
        <row r="149">
          <cell r="A149" t="str">
            <v>OPOS Fanatical           Rugel</v>
          </cell>
          <cell r="B149" t="str">
            <v>Entertainment</v>
          </cell>
        </row>
        <row r="150">
          <cell r="A150" t="str">
            <v>DOLLARAMA # 728          REGIN</v>
          </cell>
          <cell r="B150" t="str">
            <v>Personal</v>
          </cell>
        </row>
        <row r="151">
          <cell r="A151" t="str">
            <v>CANADIAN TIRE #310       REGIN</v>
          </cell>
          <cell r="B151" t="str">
            <v>Personal</v>
          </cell>
        </row>
        <row r="152">
          <cell r="A152" t="str">
            <v>OPOS 1.00 Amazon web servaws.a</v>
          </cell>
          <cell r="B152" t="str">
            <v>Entertainment</v>
          </cell>
        </row>
        <row r="153">
          <cell r="A153" t="str">
            <v>OPOS 56.91 GEEKNET, INC. 888-4</v>
          </cell>
          <cell r="B153" t="str">
            <v>Entertainment</v>
          </cell>
        </row>
        <row r="154">
          <cell r="A154" t="str">
            <v>OPOS UNIVERSITY OF REGINAREGIN</v>
          </cell>
          <cell r="B154" t="str">
            <v>Education</v>
          </cell>
        </row>
        <row r="155">
          <cell r="A155" t="str">
            <v>BOOSTER JUICE STORE #173 REGIN</v>
          </cell>
          <cell r="B155" t="str">
            <v>Food</v>
          </cell>
        </row>
        <row r="156">
          <cell r="A156" t="str">
            <v>SHRWD CO-OP ARGYLE &amp; R   REGIN</v>
          </cell>
          <cell r="B156" t="str">
            <v>Food</v>
          </cell>
        </row>
        <row r="157">
          <cell r="A157" t="str">
            <v>RQH - NUTRITION &amp; FOOD   REGIN</v>
          </cell>
          <cell r="B157" t="str">
            <v>Personal</v>
          </cell>
        </row>
        <row r="158">
          <cell r="A158" t="str">
            <v>SS REGINA                REGIN</v>
          </cell>
          <cell r="B158" t="str">
            <v>Food</v>
          </cell>
        </row>
        <row r="159">
          <cell r="A159" t="str">
            <v>CHARTWELLS-REGINA U-57   REGIN</v>
          </cell>
          <cell r="B159" t="str">
            <v>Food</v>
          </cell>
        </row>
        <row r="160">
          <cell r="A160" t="str">
            <v>THE OWL                  REGIN</v>
          </cell>
          <cell r="B160" t="str">
            <v>Food</v>
          </cell>
        </row>
        <row r="161">
          <cell r="A161" t="str">
            <v>GOLDEN PRAIRIE CONFECT   REGIN</v>
          </cell>
          <cell r="B161" t="str">
            <v>Food</v>
          </cell>
        </row>
        <row r="162">
          <cell r="A162" t="str">
            <v>TIM HORTONS #2869        REGIN</v>
          </cell>
          <cell r="B162" t="str">
            <v>Food</v>
          </cell>
        </row>
        <row r="163">
          <cell r="A163" t="str">
            <v>SUBWAY # 17761           REGIN</v>
          </cell>
          <cell r="B163" t="str">
            <v>Food</v>
          </cell>
        </row>
        <row r="164">
          <cell r="A164" t="str">
            <v>OPOS 20.00 Comfort Inn UnMisso</v>
          </cell>
          <cell r="B164" t="str">
            <v>Entertainment</v>
          </cell>
        </row>
        <row r="165">
          <cell r="A165" t="str">
            <v>VPOS 16.39 THE NOTORIOUS MISSO</v>
          </cell>
          <cell r="B165" t="str">
            <v>Entertainment</v>
          </cell>
        </row>
        <row r="166">
          <cell r="A166" t="str">
            <v>VPOS 14.25 THE NOTORIOUS MISSO</v>
          </cell>
          <cell r="B166" t="str">
            <v>Entertainment</v>
          </cell>
        </row>
        <row r="167">
          <cell r="A167" t="str">
            <v>JIMMYS DRIVE IN          BOW I</v>
          </cell>
          <cell r="B167" t="str">
            <v>Food</v>
          </cell>
        </row>
        <row r="168">
          <cell r="A168" t="str">
            <v>RAINBOW GAS (TEMPO)      BOW I</v>
          </cell>
          <cell r="B168" t="str">
            <v>Vehicle</v>
          </cell>
        </row>
        <row r="169">
          <cell r="A169" t="str">
            <v>CANADIAN TIRE GAS BAR    SWIFT</v>
          </cell>
          <cell r="B169" t="str">
            <v>Vehicle</v>
          </cell>
        </row>
        <row r="170">
          <cell r="A170" t="str">
            <v>TIM HORTONS #2869# QTH   REGIN</v>
          </cell>
          <cell r="B170" t="str">
            <v>Food</v>
          </cell>
        </row>
        <row r="171">
          <cell r="A171" t="str">
            <v>LAKESHORE DENTAL CLINI   REGIN</v>
          </cell>
          <cell r="B171" t="str">
            <v>Personal</v>
          </cell>
        </row>
        <row r="172">
          <cell r="A172" t="str">
            <v>OPOS 166.64 Comfort Inn UMisso</v>
          </cell>
          <cell r="B172" t="str">
            <v>Personal</v>
          </cell>
        </row>
        <row r="173">
          <cell r="A173" t="str">
            <v>DAIRY QUEEN #27357       REGIN</v>
          </cell>
          <cell r="B173" t="str">
            <v>Food</v>
          </cell>
        </row>
        <row r="174">
          <cell r="A174" t="str">
            <v>TIM HORTONS #2869# QTH   REGIN</v>
          </cell>
          <cell r="B174" t="str">
            <v>Food</v>
          </cell>
        </row>
        <row r="175">
          <cell r="A175" t="str">
            <v>OPOS MYBACKCHECK.COM     SURRE</v>
          </cell>
          <cell r="B175" t="str">
            <v>Job</v>
          </cell>
        </row>
        <row r="176">
          <cell r="A176" t="str">
            <v>FRESH &amp; SWEET            REGIN</v>
          </cell>
          <cell r="B176" t="str">
            <v>Food</v>
          </cell>
        </row>
        <row r="177">
          <cell r="A177" t="str">
            <v>CAMERA ONE               REGIN</v>
          </cell>
          <cell r="B177" t="str">
            <v>Personal</v>
          </cell>
        </row>
        <row r="178">
          <cell r="A178" t="str">
            <v>OPOS APL* ITUNES.COM/BILL800-6</v>
          </cell>
          <cell r="B178" t="str">
            <v>Entertainment</v>
          </cell>
        </row>
        <row r="179">
          <cell r="A179" t="str">
            <v>WENDY'S #6588            SASKA</v>
          </cell>
          <cell r="B179" t="str">
            <v>Food</v>
          </cell>
        </row>
        <row r="180">
          <cell r="A180" t="str">
            <v>WOK BOX (SASKATOON STO   SASKA</v>
          </cell>
          <cell r="B180" t="str">
            <v>Food</v>
          </cell>
        </row>
        <row r="181">
          <cell r="A181" t="str">
            <v>GO GRILL                 SASKA</v>
          </cell>
          <cell r="B181" t="str">
            <v>Food</v>
          </cell>
        </row>
        <row r="182">
          <cell r="A182" t="str">
            <v>HOMESTEAD ICE CREAM AN   SASKA</v>
          </cell>
          <cell r="B182" t="str">
            <v>Food</v>
          </cell>
        </row>
        <row r="183">
          <cell r="A183" t="str">
            <v>DAIRY QUEEN #27018       REGIN</v>
          </cell>
          <cell r="B183" t="str">
            <v>Food</v>
          </cell>
        </row>
        <row r="184">
          <cell r="A184" t="str">
            <v>JAGR INDUSTRIAL ELECTR   REGIN</v>
          </cell>
          <cell r="B184" t="str">
            <v>Personal</v>
          </cell>
        </row>
        <row r="185">
          <cell r="A185" t="str">
            <v>QUESADA BURRITOS &amp; TAC   SASKA</v>
          </cell>
          <cell r="B185" t="str">
            <v>Food</v>
          </cell>
        </row>
        <row r="186">
          <cell r="A186" t="str">
            <v>DOLLARAMA #1274          SASKA</v>
          </cell>
          <cell r="B186" t="str">
            <v>Personal</v>
          </cell>
        </row>
        <row r="187">
          <cell r="A187" t="str">
            <v>WENDY'S RESTAURANT       SASKA</v>
          </cell>
          <cell r="B187" t="str">
            <v>Food</v>
          </cell>
        </row>
        <row r="188">
          <cell r="A188" t="str">
            <v>THE VINYL EXCHANGE       SASKA</v>
          </cell>
          <cell r="B188" t="str">
            <v>Entertainment</v>
          </cell>
        </row>
        <row r="189">
          <cell r="A189" t="str">
            <v>OPOS 35.35 SP * VINYL MOOLOS A</v>
          </cell>
          <cell r="B189" t="str">
            <v>Entertainment</v>
          </cell>
        </row>
        <row r="190">
          <cell r="A190" t="str">
            <v>OPOS 25.00 UNITY         COPEN</v>
          </cell>
          <cell r="B190" t="str">
            <v>Personal</v>
          </cell>
        </row>
        <row r="191">
          <cell r="A191" t="str">
            <v>PC-SASKPOWER</v>
          </cell>
          <cell r="B191" t="str">
            <v>Power</v>
          </cell>
        </row>
        <row r="192">
          <cell r="A192" t="str">
            <v>TIM HORTONS #9041        REGIN</v>
          </cell>
          <cell r="B192" t="str">
            <v>Food</v>
          </cell>
        </row>
        <row r="193">
          <cell r="A193" t="str">
            <v>THE HOME DEPOT #7245     REGIN</v>
          </cell>
          <cell r="B193" t="str">
            <v>Food</v>
          </cell>
        </row>
        <row r="194">
          <cell r="A194" t="str">
            <v xml:space="preserve">CO-OWNERSHIP                 </v>
          </cell>
          <cell r="B194" t="str">
            <v>Rent</v>
          </cell>
        </row>
        <row r="195">
          <cell r="A195" t="str">
            <v>WALMART STORE #5878      SASKA</v>
          </cell>
          <cell r="B195" t="str">
            <v>Personal</v>
          </cell>
        </row>
        <row r="196">
          <cell r="A196" t="str">
            <v>THE HOME DEPOT #7265     SASKA</v>
          </cell>
          <cell r="B196" t="str">
            <v>Personal</v>
          </cell>
        </row>
        <row r="197">
          <cell r="A197" t="str">
            <v>OPOS SASKTEL WIRELINE WEBREGIN</v>
          </cell>
          <cell r="B197" t="str">
            <v>Sasktel</v>
          </cell>
        </row>
        <row r="198">
          <cell r="A198" t="str">
            <v>SHOPPERS DRUG MART #24   SASKA</v>
          </cell>
          <cell r="B198" t="str">
            <v>Personal</v>
          </cell>
        </row>
        <row r="199">
          <cell r="A199" t="str">
            <v>TAVERNA ITALIAN KITCHE   SASKA</v>
          </cell>
          <cell r="B199" t="str">
            <v>Food</v>
          </cell>
        </row>
        <row r="200">
          <cell r="A200" t="str">
            <v>PC TO 4537336965964010</v>
          </cell>
          <cell r="B200" t="str">
            <v>Misc</v>
          </cell>
        </row>
        <row r="201">
          <cell r="A201" t="str">
            <v>DOMINO'S PIZZA #10154    SASKA</v>
          </cell>
          <cell r="B201" t="str">
            <v>Food</v>
          </cell>
        </row>
        <row r="202">
          <cell r="A202" t="str">
            <v>SHERWOOD CO-OP ARGYLE    REGIN</v>
          </cell>
          <cell r="B202" t="str">
            <v>Vehicle</v>
          </cell>
        </row>
        <row r="203">
          <cell r="A203" t="str">
            <v>WINNERSHOMESENSE 473/119 REGIN</v>
          </cell>
          <cell r="B203" t="str">
            <v>Home</v>
          </cell>
        </row>
        <row r="204">
          <cell r="A204" t="str">
            <v>WALMART STORE #3076      REGIN</v>
          </cell>
          <cell r="B204" t="str">
            <v>Personal</v>
          </cell>
        </row>
        <row r="205">
          <cell r="A205" t="str">
            <v>DQ GRILL &amp; CHILL # 274   SASKA</v>
          </cell>
          <cell r="B205" t="str">
            <v>Food</v>
          </cell>
        </row>
        <row r="206">
          <cell r="A206" t="str">
            <v>PC-FREE EMAIL MONEY TRF</v>
          </cell>
          <cell r="B206" t="str">
            <v>Bills</v>
          </cell>
        </row>
        <row r="207">
          <cell r="A207" t="str">
            <v>PC-EMAIL MONEY TRF</v>
          </cell>
          <cell r="B207" t="str">
            <v>Bills</v>
          </cell>
        </row>
        <row r="208">
          <cell r="A208" t="str">
            <v>FIVE GUYS BURGERS &amp; FRIESSASKA</v>
          </cell>
          <cell r="B208" t="str">
            <v>Food</v>
          </cell>
        </row>
        <row r="209">
          <cell r="A209" t="str">
            <v>OPOS 9.27 Amazon web servaws.a</v>
          </cell>
          <cell r="B209" t="str">
            <v>Entertainment</v>
          </cell>
        </row>
        <row r="210">
          <cell r="A210" t="str">
            <v>DQ GRILL &amp; CHILL #2735   SASKA</v>
          </cell>
          <cell r="B210" t="str">
            <v>Food</v>
          </cell>
        </row>
        <row r="211">
          <cell r="A211" t="str">
            <v>PINK CADILLACS PINK MA   SASKA</v>
          </cell>
          <cell r="B211" t="str">
            <v>Food</v>
          </cell>
        </row>
        <row r="212">
          <cell r="A212" t="str">
            <v>NEXT LEVEL GAME EXCHAN   SASKA</v>
          </cell>
          <cell r="B212" t="str">
            <v>Entertainment</v>
          </cell>
        </row>
        <row r="213">
          <cell r="A213" t="str">
            <v>Subway 43845             Saska</v>
          </cell>
          <cell r="B213" t="str">
            <v>Food</v>
          </cell>
        </row>
        <row r="214">
          <cell r="A214" t="str">
            <v>OPOS SASKTEL WIRELINE RECREGIN</v>
          </cell>
          <cell r="B214" t="str">
            <v>Sasktel</v>
          </cell>
        </row>
        <row r="215">
          <cell r="A215" t="str">
            <v>MICHAELS #3923           REGIN</v>
          </cell>
          <cell r="B215" t="str">
            <v>Personal</v>
          </cell>
        </row>
        <row r="216">
          <cell r="A216" t="str">
            <v>TS-SASKPOWER</v>
          </cell>
          <cell r="B216" t="str">
            <v>Power</v>
          </cell>
        </row>
        <row r="217">
          <cell r="A217" t="str">
            <v>VARSITY COMMON GARDN M   SASKA</v>
          </cell>
          <cell r="B217" t="str">
            <v>Food</v>
          </cell>
        </row>
        <row r="218">
          <cell r="A218" t="str">
            <v>TIM HORTONS #3155        SASKA</v>
          </cell>
          <cell r="B218" t="str">
            <v>Food</v>
          </cell>
        </row>
        <row r="219">
          <cell r="A219" t="str">
            <v>OPOS 10.23 Amazon web seraws.a</v>
          </cell>
          <cell r="B219" t="str">
            <v>Entertainment</v>
          </cell>
        </row>
        <row r="220">
          <cell r="A220" t="str">
            <v>BOSTON PIZZA # 203       SASKA</v>
          </cell>
          <cell r="B220" t="str">
            <v>Food</v>
          </cell>
        </row>
        <row r="221">
          <cell r="A221" t="str">
            <v>OPOS ASSOCIATION OF PROFEREGIN</v>
          </cell>
          <cell r="B221" t="str">
            <v>Bills</v>
          </cell>
        </row>
        <row r="222">
          <cell r="A222" t="str">
            <v>44036 MACS CONV. STORE   SASKA</v>
          </cell>
          <cell r="B222" t="str">
            <v>Food</v>
          </cell>
        </row>
        <row r="223">
          <cell r="A223" t="str">
            <v>BK # 12631               SASKA</v>
          </cell>
          <cell r="B223" t="str">
            <v>Food</v>
          </cell>
        </row>
        <row r="224">
          <cell r="A224" t="str">
            <v>PRAIRIE DONAIR           SASKA</v>
          </cell>
          <cell r="B224" t="str">
            <v>Food</v>
          </cell>
        </row>
        <row r="225">
          <cell r="A225" t="str">
            <v>MINUTE MUFFLER AND BRA   SASKA</v>
          </cell>
          <cell r="B225" t="str">
            <v>Vehicle</v>
          </cell>
        </row>
        <row r="226">
          <cell r="A226" t="str">
            <v>COLES 063                SASKA</v>
          </cell>
          <cell r="B226" t="str">
            <v>Personal</v>
          </cell>
        </row>
        <row r="227">
          <cell r="A227" t="str">
            <v>HUDSONS SASKATOON        SASKA</v>
          </cell>
          <cell r="B227" t="str">
            <v>Food</v>
          </cell>
        </row>
        <row r="228">
          <cell r="A228" t="str">
            <v>FOX &amp; HOUNDS PUB &amp; BRE   SASKA</v>
          </cell>
          <cell r="B228" t="str">
            <v>Food</v>
          </cell>
        </row>
        <row r="229">
          <cell r="A229" t="str">
            <v>KARL`S AIRLINE SERVICE   SASKA</v>
          </cell>
          <cell r="B229" t="str">
            <v>Food</v>
          </cell>
        </row>
        <row r="230">
          <cell r="A230" t="str">
            <v>A&amp;W STORE 2287           SASKA</v>
          </cell>
          <cell r="B230" t="str">
            <v>Food</v>
          </cell>
        </row>
        <row r="231">
          <cell r="A231" t="str">
            <v>OPOS 9.95 Amazon web servaws.a</v>
          </cell>
          <cell r="B231" t="str">
            <v>Bills</v>
          </cell>
        </row>
        <row r="232">
          <cell r="A232" t="str">
            <v>REVOLVE CAFE             SASKA</v>
          </cell>
          <cell r="B232" t="str">
            <v>Food</v>
          </cell>
        </row>
        <row r="233">
          <cell r="A233" t="str">
            <v xml:space="preserve">Shareowner Investments       </v>
          </cell>
          <cell r="B233" t="str">
            <v>Investment</v>
          </cell>
        </row>
        <row r="234">
          <cell r="A234" t="str">
            <v>AFFINITY INSURANCE SER   SASKA</v>
          </cell>
          <cell r="B234" t="str">
            <v>Vehicle</v>
          </cell>
        </row>
        <row r="235">
          <cell r="A235" t="str">
            <v>GOLDEN CHEF              HEPBU</v>
          </cell>
          <cell r="B235" t="str">
            <v>Food</v>
          </cell>
        </row>
        <row r="236">
          <cell r="A236" t="str">
            <v>SHELL C00220             SASKA</v>
          </cell>
          <cell r="B236" t="str">
            <v>Vehicle</v>
          </cell>
        </row>
        <row r="237">
          <cell r="A237" t="str">
            <v>PRESTON DENTAL CENTRE    SASKA</v>
          </cell>
          <cell r="B237" t="str">
            <v>Personal</v>
          </cell>
        </row>
        <row r="238">
          <cell r="A238" t="str">
            <v>FREE INTERAC E-TRANSFER</v>
          </cell>
          <cell r="B238" t="str">
            <v>Bills</v>
          </cell>
        </row>
        <row r="239">
          <cell r="A239" t="str">
            <v>PRESTON DENTAL CENTRE    SASKA</v>
          </cell>
          <cell r="B239" t="str">
            <v>Personal</v>
          </cell>
        </row>
        <row r="240">
          <cell r="A240" t="str">
            <v>WALMART STORE #3084      SASKA</v>
          </cell>
          <cell r="B240" t="str">
            <v>Personal</v>
          </cell>
        </row>
        <row r="241">
          <cell r="A241" t="str">
            <v>TIM HORTONS #2259        SASKA</v>
          </cell>
          <cell r="B241" t="str">
            <v>Food</v>
          </cell>
        </row>
        <row r="242">
          <cell r="A242" t="str">
            <v>EB GAMES 1600            SASKA</v>
          </cell>
          <cell r="B242" t="str">
            <v>Entertainment</v>
          </cell>
        </row>
        <row r="243">
          <cell r="A243" t="str">
            <v>MARKET MALL              SASKA</v>
          </cell>
          <cell r="B243" t="str">
            <v>Entertainment</v>
          </cell>
        </row>
        <row r="244">
          <cell r="A244" t="str">
            <v>BK # 14455               SASKA</v>
          </cell>
          <cell r="B244" t="str">
            <v>Food</v>
          </cell>
        </row>
        <row r="245">
          <cell r="A245" t="str">
            <v>HAZELVIEW PROPERTY SERVICES IN</v>
          </cell>
          <cell r="B245" t="str">
            <v>Rent</v>
          </cell>
        </row>
        <row r="246">
          <cell r="A246" t="str">
            <v>BROADWAY CAFE            SASKA</v>
          </cell>
          <cell r="B246" t="str">
            <v>Food</v>
          </cell>
        </row>
        <row r="247">
          <cell r="A247" t="str">
            <v>OPOS 337.72 WWW.REDBUBBLE+1888</v>
          </cell>
          <cell r="B247" t="str">
            <v>Personal</v>
          </cell>
        </row>
        <row r="248">
          <cell r="A248" t="str">
            <v>SUNRISE RECORDS          SASKA</v>
          </cell>
          <cell r="B248" t="str">
            <v>Entertainment</v>
          </cell>
        </row>
        <row r="249">
          <cell r="A249" t="str">
            <v>FAMOUS PLAYER #4403QPS   SASKA</v>
          </cell>
          <cell r="B249" t="str">
            <v>Entertainment</v>
          </cell>
        </row>
        <row r="250">
          <cell r="A250" t="str">
            <v>SHOPPERS DRUG MART #41   SASKA</v>
          </cell>
          <cell r="B250" t="str">
            <v>Personal</v>
          </cell>
        </row>
        <row r="251">
          <cell r="A251" t="str">
            <v xml:space="preserve">DESJARDINS SECUR. FIN.       </v>
          </cell>
          <cell r="B251" t="str">
            <v>Investment</v>
          </cell>
        </row>
        <row r="252">
          <cell r="A252" t="str">
            <v>OPOS Steam Purchase      425-9</v>
          </cell>
          <cell r="B252" t="str">
            <v>Entertainment</v>
          </cell>
        </row>
        <row r="253">
          <cell r="A253" t="str">
            <v>OPOS Steam Purchase      425-9</v>
          </cell>
          <cell r="B253" t="str">
            <v>Entertainment</v>
          </cell>
        </row>
        <row r="254">
          <cell r="A254" t="str">
            <v>OPOS Steam Purchase      425-9</v>
          </cell>
          <cell r="B254" t="str">
            <v>Entertainment</v>
          </cell>
        </row>
        <row r="255">
          <cell r="A255" t="str">
            <v>OPOS DELTA BESSBOROUGH   SASKA</v>
          </cell>
          <cell r="B255" t="str">
            <v>Personal</v>
          </cell>
        </row>
        <row r="256">
          <cell r="A256" t="str">
            <v>VALUE VILLAGE # 2123     SASKA</v>
          </cell>
          <cell r="B256" t="str">
            <v>Personal</v>
          </cell>
        </row>
        <row r="257">
          <cell r="A257" t="str">
            <v>PETLAND STONEGATE        SASKA</v>
          </cell>
          <cell r="B257" t="str">
            <v>Personal</v>
          </cell>
        </row>
        <row r="258">
          <cell r="A258" t="str">
            <v>ORANGE JULIUS 65092      REGIN</v>
          </cell>
          <cell r="B258" t="str">
            <v>Food</v>
          </cell>
        </row>
        <row r="259">
          <cell r="A259" t="str">
            <v>STAPLES #240             SASKA</v>
          </cell>
          <cell r="B259" t="str">
            <v>Home</v>
          </cell>
        </row>
        <row r="260">
          <cell r="A260" t="str">
            <v>ESCAPE SPORTS            SASKA</v>
          </cell>
          <cell r="B260" t="str">
            <v>Entertainment</v>
          </cell>
        </row>
        <row r="261">
          <cell r="A261" t="str">
            <v>SAMIS SUNRISE GRILL      SASKA</v>
          </cell>
          <cell r="B261" t="str">
            <v>Food</v>
          </cell>
        </row>
        <row r="262">
          <cell r="A262" t="str">
            <v>OPOS 9.40 Amazon web servaws.a</v>
          </cell>
          <cell r="B262" t="str">
            <v>Entertainment</v>
          </cell>
        </row>
        <row r="263">
          <cell r="A263" t="str">
            <v>CABELA'S CANADA          SASKA</v>
          </cell>
          <cell r="B263" t="str">
            <v>Home</v>
          </cell>
        </row>
        <row r="264">
          <cell r="A264" t="str">
            <v>SNOWY VILLAGE            SASKA</v>
          </cell>
          <cell r="B264" t="str">
            <v>Food</v>
          </cell>
        </row>
        <row r="265">
          <cell r="A265" t="str">
            <v>OPOS 87.84 SP * WARNER MU+6129</v>
          </cell>
          <cell r="B265" t="str">
            <v>Entertainment</v>
          </cell>
        </row>
        <row r="266">
          <cell r="A266" t="str">
            <v>OPOS 30.00 SESSIONS LIVE +1424</v>
          </cell>
          <cell r="B266" t="str">
            <v>Entertainment</v>
          </cell>
        </row>
        <row r="267">
          <cell r="A267" t="str">
            <v>OPOS U OF S PARKING SERVISASKA</v>
          </cell>
          <cell r="B267" t="str">
            <v>Bills</v>
          </cell>
        </row>
        <row r="268">
          <cell r="A268" t="str">
            <v>INDIGO 406               SASKA</v>
          </cell>
          <cell r="B268" t="str">
            <v>Personal</v>
          </cell>
        </row>
        <row r="269">
          <cell r="A269" t="str">
            <v>GRAINFIELDS FAMILY RES   SASKA</v>
          </cell>
          <cell r="B269" t="str">
            <v>Food</v>
          </cell>
        </row>
        <row r="270">
          <cell r="A270" t="str">
            <v>SOBEYS STONEBRIDGE #49   SASKA</v>
          </cell>
          <cell r="B270" t="str">
            <v>Food</v>
          </cell>
        </row>
        <row r="271">
          <cell r="A271" t="str">
            <v>HAZELVIEW PROPERTY SERVICES IN</v>
          </cell>
          <cell r="B271" t="str">
            <v>Rent</v>
          </cell>
        </row>
        <row r="272">
          <cell r="A272" t="str">
            <v>OPOS STEAMGAMES.COM 42595Hambu</v>
          </cell>
          <cell r="B272" t="str">
            <v>Entertainment</v>
          </cell>
        </row>
        <row r="273">
          <cell r="A273" t="str">
            <v>DAIRY QUEEN #27028       SASKA</v>
          </cell>
          <cell r="B273" t="str">
            <v>Food</v>
          </cell>
        </row>
        <row r="274">
          <cell r="A274" t="str">
            <v>THIEN VIETNAM DOWNTOWN   SASKA</v>
          </cell>
          <cell r="B274" t="str">
            <v>Food</v>
          </cell>
        </row>
        <row r="275">
          <cell r="A275" t="str">
            <v>SOBEYS LIQUOR #1070      SASKA</v>
          </cell>
          <cell r="B275" t="str">
            <v>Food</v>
          </cell>
        </row>
        <row r="276">
          <cell r="A276" t="str">
            <v>ORIGINAL JOE'S MILLAR    SASKA</v>
          </cell>
          <cell r="B276" t="str">
            <v>Food</v>
          </cell>
        </row>
        <row r="277">
          <cell r="A277" t="str">
            <v>RETRO PETRO HUSKY        SASKA</v>
          </cell>
          <cell r="B277" t="str">
            <v>Vehicle</v>
          </cell>
        </row>
        <row r="278">
          <cell r="A278" t="str">
            <v>PETRO-CANADA             HUMBO</v>
          </cell>
          <cell r="B278" t="str">
            <v>Vehicle</v>
          </cell>
        </row>
        <row r="279">
          <cell r="A279" t="str">
            <v>TIM HORTONS #7569        SASKA</v>
          </cell>
          <cell r="B279" t="str">
            <v>Food</v>
          </cell>
        </row>
        <row r="280">
          <cell r="A280" t="str">
            <v>SASKATOON FAMILY PHARM   SASKA</v>
          </cell>
          <cell r="B280" t="str">
            <v>Personal</v>
          </cell>
        </row>
        <row r="281">
          <cell r="A281" t="str">
            <v xml:space="preserve">CANADA                       </v>
          </cell>
          <cell r="B281" t="str">
            <v>Bills</v>
          </cell>
        </row>
        <row r="282">
          <cell r="A282" t="str">
            <v xml:space="preserve">SWAN VALLEY CO-OP GAS    SWAN </v>
          </cell>
          <cell r="B282" t="str">
            <v>Vehicle</v>
          </cell>
        </row>
        <row r="283">
          <cell r="A283" t="str">
            <v>GATEWAY CO-OP GAS BAR    CANOR</v>
          </cell>
          <cell r="B283" t="str">
            <v>Vehicle</v>
          </cell>
        </row>
        <row r="284">
          <cell r="A284" t="str">
            <v>OPOS INTUIT *            800-4</v>
          </cell>
          <cell r="B284" t="str">
            <v>Personal</v>
          </cell>
        </row>
        <row r="285">
          <cell r="A285" t="str">
            <v>PRESS'D STONEBRIDGE      SASKA</v>
          </cell>
          <cell r="B285" t="str">
            <v>Food</v>
          </cell>
        </row>
        <row r="286">
          <cell r="A286" t="str">
            <v>Five Guys                Saska</v>
          </cell>
          <cell r="B286" t="str">
            <v>Food</v>
          </cell>
        </row>
        <row r="287">
          <cell r="A287" t="str">
            <v>REGINA BEACH ESSO        REGIN</v>
          </cell>
          <cell r="B287" t="str">
            <v>Vehicle</v>
          </cell>
        </row>
        <row r="288">
          <cell r="A288" t="str">
            <v>TIM HORTONS #2473        SASKA</v>
          </cell>
          <cell r="B288" t="str">
            <v>Food</v>
          </cell>
        </row>
        <row r="289">
          <cell r="A289" t="str">
            <v>DQ GRILL &amp; CHILL #2713   SASKA</v>
          </cell>
          <cell r="B289" t="str">
            <v>Food</v>
          </cell>
        </row>
        <row r="290">
          <cell r="A290" t="str">
            <v>BOSTON PIZZA #224        SASKA</v>
          </cell>
          <cell r="B290" t="str">
            <v>Food</v>
          </cell>
        </row>
        <row r="291">
          <cell r="A291" t="str">
            <v>PETRO-CANADA             N. BA</v>
          </cell>
          <cell r="B291" t="str">
            <v>Vacation</v>
          </cell>
        </row>
        <row r="292">
          <cell r="A292" t="str">
            <v>VEGREVILLE FAS GAS       VEGRE</v>
          </cell>
          <cell r="B292" t="str">
            <v>Vacation</v>
          </cell>
        </row>
        <row r="293">
          <cell r="A293" t="str">
            <v>RIVER CREE STAR BUCKS    ENOCH</v>
          </cell>
          <cell r="B293" t="str">
            <v>Food</v>
          </cell>
        </row>
        <row r="294">
          <cell r="A294" t="str">
            <v>CINEPLEX STARBURST INC.  EDMON</v>
          </cell>
          <cell r="B294" t="str">
            <v>Vacation</v>
          </cell>
        </row>
        <row r="295">
          <cell r="A295" t="str">
            <v>MOXIES BAR AND GRILL W   EDMON</v>
          </cell>
          <cell r="B295" t="str">
            <v>Food</v>
          </cell>
        </row>
        <row r="296">
          <cell r="A296" t="str">
            <v>WEM - MARINE LIFE        EDMON</v>
          </cell>
          <cell r="B296" t="str">
            <v>Vacation</v>
          </cell>
        </row>
        <row r="297">
          <cell r="A297" t="str">
            <v>WENDY'S                  EDMON</v>
          </cell>
          <cell r="B297" t="str">
            <v>Food</v>
          </cell>
        </row>
        <row r="298">
          <cell r="A298" t="str">
            <v>PETRO-CANADA             JASPE</v>
          </cell>
          <cell r="B298" t="str">
            <v>Vacation</v>
          </cell>
        </row>
        <row r="299">
          <cell r="A299" t="str">
            <v>ROCK PAPER SILVER        BANFF</v>
          </cell>
          <cell r="B299" t="str">
            <v>Vacation</v>
          </cell>
        </row>
        <row r="300">
          <cell r="A300" t="str">
            <v>MELISSA'S MISSTEAK       BANFF</v>
          </cell>
          <cell r="B300" t="str">
            <v>Food</v>
          </cell>
        </row>
        <row r="301">
          <cell r="A301" t="str">
            <v>22161 MACS CONV. STORE   BANFF</v>
          </cell>
          <cell r="B301" t="str">
            <v>Food</v>
          </cell>
        </row>
        <row r="302">
          <cell r="A302" t="str">
            <v>A BIT OF BANFF           BANFF</v>
          </cell>
          <cell r="B302" t="str">
            <v>Vacation</v>
          </cell>
        </row>
        <row r="303">
          <cell r="A303" t="str">
            <v>ELK &amp; OARSMAN BAR &amp; GR   BANFF</v>
          </cell>
          <cell r="B303" t="str">
            <v>Food</v>
          </cell>
        </row>
        <row r="304">
          <cell r="A304" t="str">
            <v>OPOS PARKSCAN-YOHO/LL/KOOGATIN</v>
          </cell>
          <cell r="B304" t="str">
            <v>Vacation</v>
          </cell>
        </row>
        <row r="305">
          <cell r="A305" t="str">
            <v>THE BISON RESTAURANT &amp;   BANFF</v>
          </cell>
          <cell r="B305" t="str">
            <v>Food</v>
          </cell>
        </row>
        <row r="306">
          <cell r="A306" t="str">
            <v>JOHNSTON CANYON - CAFE   BANFF</v>
          </cell>
          <cell r="B306" t="str">
            <v>Food</v>
          </cell>
        </row>
        <row r="307">
          <cell r="A307" t="str">
            <v>GOOD EARTH COFFEEHOUSE   BANFF</v>
          </cell>
          <cell r="B307" t="str">
            <v>Food</v>
          </cell>
        </row>
        <row r="308">
          <cell r="A308" t="str">
            <v>EDDIE BURGER BAR         BANFF</v>
          </cell>
          <cell r="B308" t="str">
            <v>Food</v>
          </cell>
        </row>
        <row r="309">
          <cell r="A309" t="str">
            <v>OPOS ALBERTA PARKS       CANMO</v>
          </cell>
          <cell r="B309" t="str">
            <v>Vacation</v>
          </cell>
        </row>
        <row r="310">
          <cell r="A310" t="str">
            <v>Subway 15140             Drumh</v>
          </cell>
          <cell r="B310" t="str">
            <v>Food</v>
          </cell>
        </row>
        <row r="311">
          <cell r="A311" t="str">
            <v>KINDERSLEY COOP C-STOR   KINDE</v>
          </cell>
          <cell r="B311" t="str">
            <v>Vacation</v>
          </cell>
        </row>
        <row r="312">
          <cell r="A312" t="str">
            <v>CLEO'S FUSION            SASKA</v>
          </cell>
          <cell r="B312" t="str">
            <v>Food</v>
          </cell>
        </row>
        <row r="313">
          <cell r="A313" t="str">
            <v>OPOS Riot* AN1HY9SFN002  866-3</v>
          </cell>
          <cell r="B313" t="str">
            <v>Entertainment</v>
          </cell>
        </row>
        <row r="314">
          <cell r="A314" t="str">
            <v>OPOS DOMINO'S PIZZA #1015SASKA</v>
          </cell>
          <cell r="B314" t="str">
            <v>Food</v>
          </cell>
        </row>
        <row r="315">
          <cell r="A315" t="str">
            <v>CANADIAN TIRE #133       SASKA</v>
          </cell>
          <cell r="B315" t="str">
            <v>Personal</v>
          </cell>
        </row>
        <row r="316">
          <cell r="A316" t="str">
            <v>LOOSEYS'S GOOD TIME JO   SASKA</v>
          </cell>
          <cell r="B316" t="str">
            <v>Food</v>
          </cell>
        </row>
        <row r="317">
          <cell r="A317" t="str">
            <v>Subway 43035             Saska</v>
          </cell>
          <cell r="B317" t="str">
            <v>Food</v>
          </cell>
        </row>
        <row r="318">
          <cell r="A318" t="str">
            <v>MCDONALD S #9455         SASKA</v>
          </cell>
          <cell r="B318" t="str">
            <v>Food</v>
          </cell>
        </row>
        <row r="319">
          <cell r="A319" t="str">
            <v>LOOSEYS'S GOOD TIME JO   SASKA</v>
          </cell>
          <cell r="B319" t="str">
            <v>Food</v>
          </cell>
        </row>
        <row r="320">
          <cell r="A320" t="str">
            <v>CORA BREAKFAST AND LUN   SASKA</v>
          </cell>
          <cell r="B320" t="str">
            <v>Food</v>
          </cell>
        </row>
        <row r="321">
          <cell r="A321" t="str">
            <v>FATBURGER                SASKA</v>
          </cell>
          <cell r="B321" t="str">
            <v>Food</v>
          </cell>
        </row>
        <row r="322">
          <cell r="A322" t="str">
            <v>OPOS SUDS* SUDS          +1267</v>
          </cell>
          <cell r="B322" t="str">
            <v>Sports</v>
          </cell>
        </row>
        <row r="323">
          <cell r="A323" t="str">
            <v>OLIVE GARDEN 4349        SASKA</v>
          </cell>
          <cell r="B323" t="str">
            <v>Food</v>
          </cell>
        </row>
        <row r="324">
          <cell r="A324" t="str">
            <v>BUDS ON BROADWAY         SASKA</v>
          </cell>
          <cell r="B324" t="str">
            <v>Entertainment</v>
          </cell>
        </row>
        <row r="325">
          <cell r="A325" t="str">
            <v>THE CANADIAN BREW HOUS   SASKA</v>
          </cell>
          <cell r="B325" t="str">
            <v>Food</v>
          </cell>
        </row>
        <row r="326">
          <cell r="A326" t="str">
            <v>FORESTRY FARM PARK &amp; Z   SASKA</v>
          </cell>
          <cell r="B326" t="str">
            <v>Food</v>
          </cell>
        </row>
        <row r="327">
          <cell r="A327" t="str">
            <v>CACTUS CLUB SASKATOON    SASKA</v>
          </cell>
          <cell r="B327" t="str">
            <v>Food</v>
          </cell>
        </row>
        <row r="328">
          <cell r="A328" t="str">
            <v>NORTH AMERICAN MIDWAY    CALGA</v>
          </cell>
          <cell r="B328" t="str">
            <v>Entertainment</v>
          </cell>
        </row>
        <row r="329">
          <cell r="A329" t="str">
            <v>OPOS 10.85 Amazon web seraws.a</v>
          </cell>
          <cell r="B329" t="str">
            <v>Bills</v>
          </cell>
        </row>
        <row r="330">
          <cell r="A330" t="str">
            <v>DQ GRILL &amp; CHILL #2732   SASKA</v>
          </cell>
          <cell r="B330" t="str">
            <v>Food</v>
          </cell>
        </row>
        <row r="331">
          <cell r="A331" t="str">
            <v>MemoryExpress SK ST      Saska</v>
          </cell>
          <cell r="B331" t="str">
            <v>Personal</v>
          </cell>
        </row>
        <row r="332">
          <cell r="A332" t="str">
            <v>STARBUCKS COFFEE #47372  SASKA</v>
          </cell>
          <cell r="B332" t="str">
            <v>Food</v>
          </cell>
        </row>
        <row r="333">
          <cell r="A333" t="str">
            <v>OPOS NEWEGG CANADA INC   RICHM</v>
          </cell>
          <cell r="B333" t="str">
            <v>Personal</v>
          </cell>
        </row>
        <row r="334">
          <cell r="A334" t="str">
            <v>OPOS 7.77 OF             LONDO</v>
          </cell>
          <cell r="B334" t="str">
            <v>Entertainment</v>
          </cell>
        </row>
        <row r="335">
          <cell r="A335" t="str">
            <v>SASKATOON COOP STONEBR   SASKA</v>
          </cell>
          <cell r="B335" t="str">
            <v>Vehicle</v>
          </cell>
        </row>
        <row r="336">
          <cell r="A336" t="str">
            <v>AYDEN KITCHEN &amp; BAR      SASKA</v>
          </cell>
          <cell r="B336" t="str">
            <v>Food</v>
          </cell>
        </row>
        <row r="337">
          <cell r="A337" t="str">
            <v>PETRO-CANADA             EDMON</v>
          </cell>
          <cell r="B337" t="str">
            <v>Vehicle</v>
          </cell>
        </row>
        <row r="338">
          <cell r="A338" t="str">
            <v>SKECHERS SOUTH EDMONTO   EDMON</v>
          </cell>
          <cell r="B338" t="str">
            <v>Personal</v>
          </cell>
        </row>
        <row r="339">
          <cell r="A339" t="str">
            <v>SQ *LOCAL SOUTH COMMON   Edmon</v>
          </cell>
          <cell r="B339" t="str">
            <v>Personal</v>
          </cell>
        </row>
        <row r="340">
          <cell r="A340" t="str">
            <v>TIM HORTONS #9405        EDMON</v>
          </cell>
          <cell r="B340" t="str">
            <v>Food</v>
          </cell>
        </row>
        <row r="341">
          <cell r="A341" t="str">
            <v>MEAT BARBECUE            EDMON</v>
          </cell>
          <cell r="B341" t="str">
            <v>Food</v>
          </cell>
        </row>
        <row r="342">
          <cell r="A342" t="str">
            <v>BOURBON STREET GRILL     EDMON</v>
          </cell>
          <cell r="B342" t="str">
            <v>Food</v>
          </cell>
        </row>
        <row r="343">
          <cell r="A343" t="str">
            <v>TREEHOUSE TOYS WEM       EDMON</v>
          </cell>
          <cell r="B343" t="str">
            <v>Personal</v>
          </cell>
        </row>
        <row r="344">
          <cell r="A344" t="str">
            <v>TANDEM EXPOSITION INC    MONTR</v>
          </cell>
          <cell r="B344" t="str">
            <v>Personal</v>
          </cell>
        </row>
        <row r="345">
          <cell r="A345" t="str">
            <v>TIM HORTONS #6998        EDMON</v>
          </cell>
          <cell r="B345" t="str">
            <v>Food</v>
          </cell>
        </row>
        <row r="346">
          <cell r="A346" t="str">
            <v>SASKATOON HUSKY TC       SASKA</v>
          </cell>
          <cell r="B346" t="str">
            <v>Vehicle</v>
          </cell>
        </row>
        <row r="347">
          <cell r="A347" t="str">
            <v>TIM HORTONS #2970        SASKA</v>
          </cell>
          <cell r="B347" t="str">
            <v>Food</v>
          </cell>
        </row>
        <row r="348">
          <cell r="A348" t="str">
            <v>OPOS Saskatoon Adult Socc30697</v>
          </cell>
          <cell r="B348" t="str">
            <v>Sports</v>
          </cell>
        </row>
        <row r="349">
          <cell r="A349" t="str">
            <v>ACE BURGER               SASKA</v>
          </cell>
          <cell r="B349" t="str">
            <v>Food</v>
          </cell>
        </row>
        <row r="350">
          <cell r="A350" t="str">
            <v>CHIANTI CAFE &amp; RESTAURANTSASKA</v>
          </cell>
          <cell r="B350" t="str">
            <v>Food</v>
          </cell>
        </row>
        <row r="351">
          <cell r="A351" t="str">
            <v>OPOS 55.50 CCBill.com  *O888-5</v>
          </cell>
          <cell r="B351" t="str">
            <v>Entertainment</v>
          </cell>
        </row>
        <row r="352">
          <cell r="A352" t="str">
            <v>OPOS 100.00 ONLYFANS.COM LONDO</v>
          </cell>
          <cell r="B352" t="str">
            <v>Entertainment</v>
          </cell>
        </row>
        <row r="353">
          <cell r="A353" t="str">
            <v>OPOS 55.50 CCBill.com  *O888-5</v>
          </cell>
          <cell r="B353" t="str">
            <v>Entertainment</v>
          </cell>
        </row>
        <row r="354">
          <cell r="A354" t="str">
            <v>PINK CADILLACS DINER AND SASKA</v>
          </cell>
          <cell r="B354" t="str">
            <v>Food</v>
          </cell>
        </row>
        <row r="355">
          <cell r="A355" t="str">
            <v>PRESS'D SANDWICH SHOP    SASKA</v>
          </cell>
          <cell r="B355" t="str">
            <v>Food</v>
          </cell>
        </row>
        <row r="356">
          <cell r="A356" t="str">
            <v>OPOS 10.55 Amazon web seraws.a</v>
          </cell>
          <cell r="B356" t="str">
            <v>Bills</v>
          </cell>
        </row>
        <row r="357">
          <cell r="A357" t="str">
            <v>DIANE'S KITCHEN          SASKA</v>
          </cell>
          <cell r="B357" t="str">
            <v>Food</v>
          </cell>
        </row>
        <row r="358">
          <cell r="A358" t="str">
            <v>PLEASURE WAY PUB         SASKA</v>
          </cell>
          <cell r="B358" t="str">
            <v>Food</v>
          </cell>
        </row>
        <row r="359">
          <cell r="A359" t="str">
            <v>BOSTON PIZZA # 215       SASKA</v>
          </cell>
          <cell r="B359" t="str">
            <v>Food</v>
          </cell>
        </row>
        <row r="360">
          <cell r="A360" t="str">
            <v>DRIFT SIDEWALK CAFE      SASKA</v>
          </cell>
          <cell r="B360" t="str">
            <v>Food</v>
          </cell>
        </row>
        <row r="361">
          <cell r="A361" t="str">
            <v>OPOS SASK JUSTICE PROVINCREGIN</v>
          </cell>
          <cell r="B361" t="str">
            <v>Bills</v>
          </cell>
        </row>
        <row r="362">
          <cell r="A362" t="str">
            <v>SQ *ARTESIAN PERFORMIN   Regin</v>
          </cell>
          <cell r="B362" t="str">
            <v>Entertainment</v>
          </cell>
        </row>
        <row r="363">
          <cell r="A363" t="str">
            <v>NORTHGATE ESSO           REGIN</v>
          </cell>
          <cell r="B363" t="str">
            <v>Vehicle</v>
          </cell>
        </row>
        <row r="364">
          <cell r="A364" t="str">
            <v>MCDONALD'S #8637   Q04   REGIN</v>
          </cell>
          <cell r="B364" t="str">
            <v>Food</v>
          </cell>
        </row>
        <row r="365">
          <cell r="A365" t="str">
            <v>SP * RICH MAN RECORDS    VANCO</v>
          </cell>
          <cell r="B365" t="str">
            <v>Entertainment</v>
          </cell>
        </row>
        <row r="366">
          <cell r="A366" t="str">
            <v>OPOS ARTESIAN PRESENTS   30652</v>
          </cell>
          <cell r="B366" t="str">
            <v>Entertainment</v>
          </cell>
        </row>
        <row r="367">
          <cell r="A367" t="str">
            <v>OPOS CACTUS CLUB SASKATOOSASKA</v>
          </cell>
          <cell r="B367" t="str">
            <v>Food</v>
          </cell>
        </row>
        <row r="368">
          <cell r="A368" t="str">
            <v>WESTEND ESSO 88002170    LLOYD</v>
          </cell>
          <cell r="B368" t="str">
            <v>Vehicle</v>
          </cell>
        </row>
        <row r="369">
          <cell r="A369" t="str">
            <v>BOOSTER JUICE # 6 (WES   EDMON</v>
          </cell>
          <cell r="B369" t="str">
            <v>Food</v>
          </cell>
        </row>
        <row r="370">
          <cell r="A370" t="str">
            <v>RIPE TOMATO PIZZA        EDMON</v>
          </cell>
          <cell r="B370" t="str">
            <v>Food</v>
          </cell>
        </row>
        <row r="371">
          <cell r="A371" t="str">
            <v>SHELL C00990             LLOYD</v>
          </cell>
          <cell r="B371" t="str">
            <v>Vehicle</v>
          </cell>
        </row>
        <row r="372">
          <cell r="A372" t="str">
            <v>SMOKE'S POUTINERIE       SASKA</v>
          </cell>
          <cell r="B372" t="str">
            <v>Food</v>
          </cell>
        </row>
        <row r="373">
          <cell r="A373" t="str">
            <v>BLANCO CANTINA CUMBERL   SASKA</v>
          </cell>
          <cell r="B373" t="str">
            <v>Food</v>
          </cell>
        </row>
        <row r="374">
          <cell r="A374" t="str">
            <v>MANCHU WOK               REGIN</v>
          </cell>
          <cell r="B374" t="str">
            <v>Food</v>
          </cell>
        </row>
        <row r="375">
          <cell r="A375" t="str">
            <v>GALAXY CINEMAS #4114     REGIN</v>
          </cell>
          <cell r="B375" t="str">
            <v>Entertainment</v>
          </cell>
        </row>
        <row r="376">
          <cell r="A376" t="str">
            <v>VICTORIA'S TAVERN NORM   REGIN</v>
          </cell>
          <cell r="B376" t="str">
            <v>Food</v>
          </cell>
        </row>
        <row r="377">
          <cell r="A377" t="str">
            <v>STARBUCKS- NORMANVIEW    REGIN</v>
          </cell>
          <cell r="B377" t="str">
            <v>Food</v>
          </cell>
        </row>
        <row r="378">
          <cell r="A378" t="str">
            <v>BK #3845                 REGIN</v>
          </cell>
          <cell r="B378" t="str">
            <v>Food</v>
          </cell>
        </row>
        <row r="379">
          <cell r="A379" t="str">
            <v>PRAIRIELAND              SASKA</v>
          </cell>
          <cell r="B379" t="str">
            <v>Entertainment</v>
          </cell>
        </row>
        <row r="380">
          <cell r="A380" t="str">
            <v>ENCHANTED FOREST         SASKA</v>
          </cell>
          <cell r="B380" t="str">
            <v>Entertainment</v>
          </cell>
        </row>
        <row r="381">
          <cell r="A381" t="str">
            <v>MIDTOWN PLAZA            SASKA</v>
          </cell>
          <cell r="B381" t="str">
            <v>Gifts</v>
          </cell>
        </row>
        <row r="382">
          <cell r="A382" t="str">
            <v>CHARMED AROMA MIDTOWN    SASKA</v>
          </cell>
          <cell r="B382" t="str">
            <v>Gifts</v>
          </cell>
        </row>
        <row r="383">
          <cell r="A383" t="str">
            <v>BOOSTER JUICE #412       SASKA</v>
          </cell>
          <cell r="B383" t="str">
            <v>Food</v>
          </cell>
        </row>
        <row r="384">
          <cell r="A384" t="str">
            <v>OPOS PAYPAL *YNMHOMETEXT 40293</v>
          </cell>
          <cell r="B384" t="str">
            <v>Gifts</v>
          </cell>
        </row>
        <row r="385">
          <cell r="A385" t="str">
            <v>SPICY TIME RESTAURANT    SASKA</v>
          </cell>
          <cell r="B385" t="str">
            <v>Food</v>
          </cell>
        </row>
        <row r="386">
          <cell r="A386" t="str">
            <v>DOLLARAMA #1411          SASKA</v>
          </cell>
          <cell r="B386" t="str">
            <v>Personal</v>
          </cell>
        </row>
        <row r="387">
          <cell r="A387" t="str">
            <v>OPOS UBER CANADA         TORON</v>
          </cell>
          <cell r="B387" t="str">
            <v>Food</v>
          </cell>
        </row>
        <row r="388">
          <cell r="A388" t="str">
            <v>OPOS UBER* EATS PENDING  UBER.</v>
          </cell>
          <cell r="B388" t="str">
            <v>Food</v>
          </cell>
        </row>
        <row r="389">
          <cell r="A389" t="str">
            <v>HEY FRIED CHICKEN        SASKA</v>
          </cell>
          <cell r="B389" t="str">
            <v>Food</v>
          </cell>
        </row>
        <row r="390">
          <cell r="A390" t="str">
            <v>BOOSTER JUICE #20        SASKA</v>
          </cell>
          <cell r="B390" t="str">
            <v>Food</v>
          </cell>
        </row>
        <row r="391">
          <cell r="A391" t="str">
            <v>HANDMADE SASKATCHEWAN    SASKA</v>
          </cell>
          <cell r="B391" t="str">
            <v>Entertainment</v>
          </cell>
        </row>
        <row r="392">
          <cell r="A392" t="str">
            <v>OPOS 10.54 Amazon web seraws.a</v>
          </cell>
          <cell r="B392" t="str">
            <v>Bills</v>
          </cell>
        </row>
        <row r="393">
          <cell r="A393" t="str">
            <v>STONEBRIDGE FOOD         SASKA</v>
          </cell>
          <cell r="B393" t="str">
            <v>Food</v>
          </cell>
        </row>
        <row r="394">
          <cell r="A394" t="str">
            <v>CORA STONEBRIDGE         SASKA</v>
          </cell>
          <cell r="B394" t="str">
            <v>Food</v>
          </cell>
        </row>
        <row r="395">
          <cell r="A395" t="str">
            <v>OPOS 81.00 Townsend MusicLanca</v>
          </cell>
          <cell r="B395" t="str">
            <v>Entertainment</v>
          </cell>
        </row>
        <row r="396">
          <cell r="A396" t="str">
            <v>OPOS UBER* EATS          UBER.</v>
          </cell>
          <cell r="B396" t="str">
            <v>Food</v>
          </cell>
        </row>
        <row r="397">
          <cell r="A397" t="str">
            <v>OPOS 71.21 WWW.REDBUBBLE.+1888</v>
          </cell>
          <cell r="B397" t="str">
            <v>Personal</v>
          </cell>
        </row>
        <row r="398">
          <cell r="A398" t="str">
            <v>STONEBRIDGE              SASKA</v>
          </cell>
          <cell r="B398" t="str">
            <v>Food</v>
          </cell>
        </row>
        <row r="399">
          <cell r="A399" t="str">
            <v>THE ASIAN BOWL           SASKA</v>
          </cell>
          <cell r="B399" t="str">
            <v>Food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>
        <row r="1">
          <cell r="E1" t="str">
            <v>SOBEYS LIQUOR #5053      SASKA</v>
          </cell>
        </row>
        <row r="3">
          <cell r="E3" t="str">
            <v>SED Systems, a division of CPT</v>
          </cell>
        </row>
        <row r="4">
          <cell r="E4" t="str">
            <v>SUPER CENTER #5878       SASKA</v>
          </cell>
        </row>
        <row r="5">
          <cell r="E5" t="str">
            <v>WAL-MART #5878           SASKA</v>
          </cell>
        </row>
        <row r="6">
          <cell r="E6" t="str">
            <v>HOMESENSE 082            SASKA</v>
          </cell>
        </row>
        <row r="7">
          <cell r="E7" t="str">
            <v>SHELL C81152             SASKA</v>
          </cell>
        </row>
        <row r="8">
          <cell r="E8" t="str">
            <v>SQ *STREET TREATS ICE    Lumsd</v>
          </cell>
        </row>
        <row r="9">
          <cell r="E9" t="str">
            <v>PETRO-CANADA             SASKA</v>
          </cell>
        </row>
        <row r="10">
          <cell r="E10" t="str">
            <v>REAL CDN SUPERSTORE #1   SASKA</v>
          </cell>
        </row>
        <row r="11">
          <cell r="E11" t="str">
            <v>SHELL C81152             SASKA</v>
          </cell>
        </row>
        <row r="12">
          <cell r="E12" t="str">
            <v>KEO'S KITCHEN            SASKA</v>
          </cell>
        </row>
        <row r="13">
          <cell r="E13" t="str">
            <v>PETRO-CANADA             REGIN</v>
          </cell>
        </row>
        <row r="14">
          <cell r="E14" t="str">
            <v>PRAIRIE DONAIR           REGIN</v>
          </cell>
        </row>
        <row r="15">
          <cell r="E15" t="str">
            <v xml:space="preserve">SASKTEL PAYROLL DME          </v>
          </cell>
        </row>
        <row r="16">
          <cell r="E16" t="str">
            <v>WENDY'S RESTAURANT       REGIN</v>
          </cell>
        </row>
        <row r="17">
          <cell r="E17" t="str">
            <v>A &amp; W REGINA - AVONHUR   REGIN</v>
          </cell>
        </row>
        <row r="18">
          <cell r="E18" t="str">
            <v>DQ GRILL &amp; CHILL #2732   REGIN</v>
          </cell>
        </row>
        <row r="19">
          <cell r="E19" t="str">
            <v>SHELL C11988             SASKA</v>
          </cell>
        </row>
        <row r="20">
          <cell r="E20" t="str">
            <v>A&amp;W STORE 2285           SASKA</v>
          </cell>
        </row>
        <row r="21">
          <cell r="E21" t="str">
            <v>TIM HORTONS #1156        REGIN</v>
          </cell>
        </row>
        <row r="22">
          <cell r="E22" t="str">
            <v>PETRO-CANADA             REGIN</v>
          </cell>
        </row>
        <row r="23">
          <cell r="E23" t="str">
            <v>DQ GRILL &amp; CHILL #2732   REGIN</v>
          </cell>
        </row>
        <row r="24">
          <cell r="E24" t="str">
            <v>WENDY'S RESTAURANT       REGIN</v>
          </cell>
        </row>
        <row r="25">
          <cell r="E25" t="str">
            <v>MB-DEP</v>
          </cell>
        </row>
        <row r="26">
          <cell r="E26" t="str">
            <v>MB-CREDIT CARD/LOC PAY.</v>
          </cell>
        </row>
        <row r="27">
          <cell r="E27" t="str">
            <v>TIM HORTONS #1156        REGIN</v>
          </cell>
        </row>
        <row r="28">
          <cell r="E28" t="str">
            <v>AFFINITY INSURANCE SER   REGIN</v>
          </cell>
        </row>
        <row r="29">
          <cell r="E29" t="str">
            <v>THE FAT BADGER           REGIN</v>
          </cell>
        </row>
        <row r="30">
          <cell r="E30" t="str">
            <v>A &amp; W REGINA - CORNWAL   REGIN</v>
          </cell>
        </row>
        <row r="31">
          <cell r="E31" t="str">
            <v>BOSTON PIZZA # 210       REGIN</v>
          </cell>
        </row>
        <row r="32">
          <cell r="E32" t="str">
            <v>FRESHII - REGINA         REGIN</v>
          </cell>
        </row>
        <row r="33">
          <cell r="E33" t="str">
            <v>TANGERINE: THE FOOD BAR  REGIN</v>
          </cell>
        </row>
        <row r="34">
          <cell r="E34" t="str">
            <v>TIM HORTONS #3282        REGIN</v>
          </cell>
        </row>
        <row r="35">
          <cell r="E35" t="str">
            <v>A &amp; W REGINA - CORNWAL   REGIN</v>
          </cell>
        </row>
        <row r="36">
          <cell r="E36" t="str">
            <v>DAIRY QUEEN #27215       REGIN</v>
          </cell>
        </row>
        <row r="37">
          <cell r="E37" t="str">
            <v>SUBWAY # 33065           REGIN</v>
          </cell>
        </row>
        <row r="38">
          <cell r="E38" t="str">
            <v>A &amp; W REGINA - CORNWAL   REGIN</v>
          </cell>
        </row>
        <row r="39">
          <cell r="E39" t="str">
            <v>CANADIAN TIRE #275       REGIN</v>
          </cell>
        </row>
        <row r="40">
          <cell r="E40" t="str">
            <v>SHELL C81152             SASKA</v>
          </cell>
        </row>
        <row r="41">
          <cell r="E41" t="str">
            <v>STARBUCKS #04496#        SASKA</v>
          </cell>
        </row>
        <row r="42">
          <cell r="E42" t="str">
            <v>EARLS SASKATOON          SASKA</v>
          </cell>
        </row>
        <row r="43">
          <cell r="E43" t="str">
            <v>TIM HORTONS #5868        SASKA</v>
          </cell>
        </row>
        <row r="44">
          <cell r="E44" t="str">
            <v>SUBWAY # 33065           REGIN</v>
          </cell>
        </row>
        <row r="45">
          <cell r="E45" t="str">
            <v>TIM HORTONS #3282        REGIN</v>
          </cell>
        </row>
        <row r="46">
          <cell r="E46" t="str">
            <v xml:space="preserve">SASKTEL PAYROLL DME          </v>
          </cell>
        </row>
        <row r="47">
          <cell r="E47" t="str">
            <v>KUNG PAO WOK             REGIN</v>
          </cell>
        </row>
        <row r="48">
          <cell r="E48" t="str">
            <v>A &amp; W REGINA - CORNWAL   REGIN</v>
          </cell>
        </row>
        <row r="49">
          <cell r="E49" t="str">
            <v>REGINA POLICE 1          REGIN</v>
          </cell>
        </row>
        <row r="50">
          <cell r="E50" t="str">
            <v>OPOS SASKTEL WIRELESS RECREGIN</v>
          </cell>
        </row>
        <row r="51">
          <cell r="E51" t="str">
            <v>NEW YORK FRIES #3272     REGIN</v>
          </cell>
        </row>
        <row r="52">
          <cell r="E52" t="str">
            <v>WENDY'S RESTAURANT       REGIN</v>
          </cell>
        </row>
        <row r="53">
          <cell r="E53" t="str">
            <v>WENDY'S RESTAURANT       REGIN</v>
          </cell>
        </row>
        <row r="54">
          <cell r="E54" t="str">
            <v>OPOS MICROSOFT*STORE     MSBIL</v>
          </cell>
        </row>
        <row r="55">
          <cell r="E55" t="str">
            <v>SUBWAY # 33065           REGIN</v>
          </cell>
        </row>
        <row r="56">
          <cell r="E56" t="str">
            <v>OPOS 9.15 Amazon web servaws.a</v>
          </cell>
        </row>
        <row r="57">
          <cell r="E57" t="str">
            <v>A &amp; W REGINA - CORNWAL   REGIN</v>
          </cell>
        </row>
        <row r="58">
          <cell r="E58" t="str">
            <v>OPOS STASEON KLEIN APPLICREGIN</v>
          </cell>
        </row>
      </sheetData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tables/table1.xml><?xml version="1.0" encoding="utf-8"?>
<table xmlns="http://schemas.openxmlformats.org/spreadsheetml/2006/main" id="5" name="Table5" displayName="Table5" ref="W3:X10" totalsRowShown="0" headerRowDxfId="49">
  <autoFilter ref="W3:X10"/>
  <tableColumns count="2">
    <tableColumn id="1" name="Recurring Bills"/>
    <tableColumn id="2" name="Value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6" name="Table6" displayName="Table6" ref="W14:X15" totalsRowShown="0">
  <autoFilter ref="W14:X15"/>
  <tableColumns count="2">
    <tableColumn id="1" name="Current Total">
      <calculatedColumnFormula>SUMIF(T3:T10000,"&lt;&gt;#REF!")</calculatedColumnFormula>
    </tableColumn>
    <tableColumn id="2" name="Months without income" dataDxfId="48">
      <calculatedColumnFormula>W15/X10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id="7" name="Table7" displayName="Table7" ref="A2:U147" totalsRowShown="0" headerRowDxfId="47" dataDxfId="46" tableBorderDxfId="45" dataCellStyle="Currency">
  <autoFilter ref="A2:U147"/>
  <tableColumns count="21">
    <tableColumn id="1" name="Date" dataDxfId="44" dataCellStyle="Accent1">
      <calculatedColumnFormula>DATE(YEAR(A2), MONTH(A2) + 1, 1)</calculatedColumnFormula>
    </tableColumn>
    <tableColumn id="2" name="Sheet name" dataCellStyle="Accent1">
      <calculatedColumnFormula>CONCATENATE(TEXT(A3, "mmmm"), " ", TEXT(A3, "yyyy"))</calculatedColumnFormula>
    </tableColumn>
    <tableColumn id="3" name="Job" dataDxfId="43" dataCellStyle="Currency">
      <calculatedColumnFormula>SUMIF(INDIRECT("'"&amp;$B3&amp;"'!$F$1:$F$999"), C$2, INDIRECT("'"&amp;$B3&amp;"'!$B$1:$B$999"))</calculatedColumnFormula>
    </tableColumn>
    <tableColumn id="4" name="Food" dataDxfId="42" dataCellStyle="Currency">
      <calculatedColumnFormula>SUMIF(INDIRECT("'"&amp;$B3&amp;"'!$F$1:$F$999"), D$2, INDIRECT("'"&amp;$B3&amp;"'!$B$1:$B$999"))</calculatedColumnFormula>
    </tableColumn>
    <tableColumn id="5" name="Bills" dataDxfId="41" dataCellStyle="Currency">
      <calculatedColumnFormula>SUMIF(INDIRECT("'"&amp;$B3&amp;"'!$F$1:$F$999"), E$2, INDIRECT("'"&amp;$B3&amp;"'!$B$1:$B$999"))</calculatedColumnFormula>
    </tableColumn>
    <tableColumn id="6" name="Entertainment" dataDxfId="40" dataCellStyle="Currency">
      <calculatedColumnFormula>SUMIF(INDIRECT("'"&amp;$B3&amp;"'!$F$1:$F$999"), F$2, INDIRECT("'"&amp;$B3&amp;"'!$B$1:$B$999"))</calculatedColumnFormula>
    </tableColumn>
    <tableColumn id="7" name="Home" dataDxfId="39" dataCellStyle="Currency">
      <calculatedColumnFormula>SUMIF(INDIRECT("'"&amp;$B3&amp;"'!$F$1:$F$999"), G$2, INDIRECT("'"&amp;$B3&amp;"'!$B$1:$B$999"))</calculatedColumnFormula>
    </tableColumn>
    <tableColumn id="8" name="Misc" dataDxfId="38" dataCellStyle="Currency">
      <calculatedColumnFormula>SUMIF(INDIRECT("'"&amp;$B3&amp;"'!$F$1:$F$999"), H$2, INDIRECT("'"&amp;$B3&amp;"'!$B$1:$B$999"))</calculatedColumnFormula>
    </tableColumn>
    <tableColumn id="9" name="Vehicle" dataDxfId="37" dataCellStyle="Currency">
      <calculatedColumnFormula>SUMIF(INDIRECT("'"&amp;$B3&amp;"'!$F$1:$F$999"), I$2, INDIRECT("'"&amp;$B3&amp;"'!$B$1:$B$999"))</calculatedColumnFormula>
    </tableColumn>
    <tableColumn id="10" name="Personal" dataDxfId="36" dataCellStyle="Currency">
      <calculatedColumnFormula>SUMIF(INDIRECT("'"&amp;$B3&amp;"'!$F$1:$F$999"), J$2, INDIRECT("'"&amp;$B3&amp;"'!$B$1:$B$999"))</calculatedColumnFormula>
    </tableColumn>
    <tableColumn id="11" name="Education" dataDxfId="35" dataCellStyle="Currency">
      <calculatedColumnFormula>SUMIF(INDIRECT("'"&amp;$B3&amp;"'!$F$1:$F$999"), K$2, INDIRECT("'"&amp;$B3&amp;"'!$B$1:$B$999"))</calculatedColumnFormula>
    </tableColumn>
    <tableColumn id="12" name="Investment" dataDxfId="34" dataCellStyle="Currency">
      <calculatedColumnFormula>SUMIF(INDIRECT("'"&amp;$B3&amp;"'!$F$1:$F$999"), L$2, INDIRECT("'"&amp;$B3&amp;"'!$B$1:$B$999"))</calculatedColumnFormula>
    </tableColumn>
    <tableColumn id="21" name="Sports" dataDxfId="33" dataCellStyle="Currency"/>
    <tableColumn id="22" name="Vacation" dataDxfId="32" dataCellStyle="Currency"/>
    <tableColumn id="13" name="Gifts" dataDxfId="31" dataCellStyle="Currency">
      <calculatedColumnFormula>SUMIF(INDIRECT("'"&amp;$B3&amp;"'!$F$1:$F$999"), O$2, INDIRECT("'"&amp;$B3&amp;"'!$B$1:$B$999"))</calculatedColumnFormula>
    </tableColumn>
    <tableColumn id="14" name="#N/A" dataDxfId="30" dataCellStyle="Currency">
      <calculatedColumnFormula>SUMIF(INDIRECT("'"&amp;$B3&amp;"'!$F$1:$F$999"), P$2, INDIRECT("'"&amp;$B3&amp;"'!$B$1:$B$999"))</calculatedColumnFormula>
    </tableColumn>
    <tableColumn id="16" name="Power" dataDxfId="29" dataCellStyle="Currency"/>
    <tableColumn id="17" name="Rent" dataDxfId="28" dataCellStyle="Currency"/>
    <tableColumn id="18" name="Sasktel" dataDxfId="27" dataCellStyle="Currency"/>
    <tableColumn id="15" name="Total Monthly" dataDxfId="26" dataCellStyle="Currency">
      <calculatedColumnFormula>SUM(INDIRECT("'"&amp;B3&amp;"'!B1:B999"))</calculatedColumnFormula>
    </tableColumn>
    <tableColumn id="19" name="Current Value" dataDxfId="25" dataCellStyle="Currenc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able1" displayName="Table1" ref="V15:W32" totalsRowShown="0" headerRowDxfId="24">
  <autoFilter ref="V15:W32"/>
  <tableColumns count="2">
    <tableColumn id="1" name="Expected Budget"/>
    <tableColumn id="2" name="Value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id="2" name="Table2" displayName="Table2" ref="V4:W11" totalsRowShown="0" headerRowDxfId="23">
  <autoFilter ref="V4:W11"/>
  <tableColumns count="2">
    <tableColumn id="1" name="Recurring Bills"/>
    <tableColumn id="2" name="Expected Value"/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id="4" name="Table4" displayName="Table4" ref="V35:W36" totalsRowShown="0">
  <autoFilter ref="V35:W36"/>
  <tableColumns count="2">
    <tableColumn id="1" name="Current Total" dataCellStyle="Currency">
      <calculatedColumnFormula>SUMIF(P2:P9999,"&lt;&gt;#REF!")</calculatedColumnFormula>
    </tableColumn>
    <tableColumn id="2" name="Months without income" dataDxfId="22">
      <calculatedColumnFormula>V36/W11</calculatedColumnFormula>
    </tableColumn>
  </tableColumns>
  <tableStyleInfo name="TableStyleMedium5" showFirstColumn="0" showLastColumn="0" showRowStripes="1" showColumnStripes="0"/>
</table>
</file>

<file path=xl/tables/table7.xml><?xml version="1.0" encoding="utf-8"?>
<table xmlns="http://schemas.openxmlformats.org/spreadsheetml/2006/main" id="9" name="Table9" displayName="Table9" ref="A1:T146" totalsRowShown="0" headerRowDxfId="21" dataDxfId="20" tableBorderDxfId="19" dataCellStyle="Currency">
  <autoFilter ref="A1:T146"/>
  <tableColumns count="20">
    <tableColumn id="1" name="Date" dataDxfId="18" dataCellStyle="Accent1">
      <calculatedColumnFormula>DATE(YEAR(A1), MONTH(A1) + 1, 1)</calculatedColumnFormula>
    </tableColumn>
    <tableColumn id="2" name="Sheet name" dataCellStyle="Accent1">
      <calculatedColumnFormula>CONCATENATE(TEXT(A2, "mmmm"), " ", TEXT(A2, "yyyy"))</calculatedColumnFormula>
    </tableColumn>
    <tableColumn id="3" name="Job" dataDxfId="17" dataCellStyle="Currency">
      <calculatedColumnFormula>SUMIF(INDIRECT("'"&amp;$B2&amp;"'!$F$1:$F$999"), C$1, INDIRECT("'"&amp;$B2&amp;"'!$B$1:$B$999"))/$W$16</calculatedColumnFormula>
    </tableColumn>
    <tableColumn id="4" name="Food" dataDxfId="16" dataCellStyle="Currency">
      <calculatedColumnFormula>SUMIF(INDIRECT("'"&amp;$B2&amp;"'!$F$1:$F$999"),D$1,INDIRECT("'"&amp;$B2&amp;"'!$B$1:$B$999"))/$W$17</calculatedColumnFormula>
    </tableColumn>
    <tableColumn id="5" name="Bills" dataDxfId="15" dataCellStyle="Currency">
      <calculatedColumnFormula>SUMIF(INDIRECT("'"&amp;$B2&amp;"'!$F$1:$F$999"), E$1, INDIRECT("'"&amp;$B2&amp;"'!$B$1:$B$999"))/$W$18</calculatedColumnFormula>
    </tableColumn>
    <tableColumn id="6" name="Entertainment" dataDxfId="14" dataCellStyle="Currency">
      <calculatedColumnFormula>SUMIF(INDIRECT("'"&amp;$B2&amp;"'!$F$1:$F$999"), F$1, INDIRECT("'"&amp;$B2&amp;"'!$B$1:$B$999"))/$W$19</calculatedColumnFormula>
    </tableColumn>
    <tableColumn id="7" name="Home" dataDxfId="13" dataCellStyle="Currency">
      <calculatedColumnFormula>SUMIF(INDIRECT("'"&amp;$B2&amp;"'!$F$1:$F$999"), G$1, INDIRECT("'"&amp;$B2&amp;"'!$B$1:$B$999"))/$W$20</calculatedColumnFormula>
    </tableColumn>
    <tableColumn id="8" name="Misc" dataDxfId="12" dataCellStyle="Currency">
      <calculatedColumnFormula>SUMIF(INDIRECT("'"&amp;$B2&amp;"'!$F$1:$F$999"), H$1, INDIRECT("'"&amp;$B2&amp;"'!$B$1:$B$999"))/$W$21</calculatedColumnFormula>
    </tableColumn>
    <tableColumn id="9" name="Vehicle" dataDxfId="11" dataCellStyle="Currency">
      <calculatedColumnFormula>SUMIF(INDIRECT("'"&amp;$B2&amp;"'!$F$1:$F$999"), I$1, INDIRECT("'"&amp;$B2&amp;"'!$B$1:$B$999"))/$W$22</calculatedColumnFormula>
    </tableColumn>
    <tableColumn id="10" name="Personal" dataDxfId="10" dataCellStyle="Currency">
      <calculatedColumnFormula>SUMIF(INDIRECT("'"&amp;$B2&amp;"'!$F$1:$F$999"), J$1, INDIRECT("'"&amp;$B2&amp;"'!$B$1:$B$999"))/$W$23</calculatedColumnFormula>
    </tableColumn>
    <tableColumn id="11" name="Education" dataDxfId="9" dataCellStyle="Currency">
      <calculatedColumnFormula>SUMIF(INDIRECT("'"&amp;$B2&amp;"'!$F$1:$F$999"), K$1, INDIRECT("'"&amp;$B2&amp;"'!$B$1:$B$999"))/$W$24</calculatedColumnFormula>
    </tableColumn>
    <tableColumn id="12" name="Investment" dataDxfId="8" dataCellStyle="Currency">
      <calculatedColumnFormula>SUMIF(INDIRECT("'"&amp;$B2&amp;"'!$F$1:$F$999"), L$1, INDIRECT("'"&amp;$B2&amp;"'!$B$1:$B$999"))/$W$27</calculatedColumnFormula>
    </tableColumn>
    <tableColumn id="19" name="Sports" dataDxfId="7" dataCellStyle="Currency"/>
    <tableColumn id="20" name="Vacation" dataDxfId="6" dataCellStyle="Currency"/>
    <tableColumn id="13" name="Gifts" dataDxfId="5" dataCellStyle="Currency">
      <calculatedColumnFormula>SUMIF(INDIRECT("'"&amp;$B2&amp;"'!$F$1:$F$999"), O$1, INDIRECT("'"&amp;$B2&amp;"'!$B$1:$B$999"))/$W$28</calculatedColumnFormula>
    </tableColumn>
    <tableColumn id="16" name="Power" dataDxfId="4" dataCellStyle="Currency"/>
    <tableColumn id="17" name="Rent" dataDxfId="3" dataCellStyle="Currency"/>
    <tableColumn id="18" name="Sasktel" dataDxfId="2" dataCellStyle="Currency"/>
    <tableColumn id="14" name="#N/A" dataDxfId="1" dataCellStyle="Currency">
      <calculatedColumnFormula>SUMIF(INDIRECT("'"&amp;$B2&amp;"'!$F$1:$F$999"), S$1, INDIRECT("'"&amp;$B2&amp;"'!$B$1:$B$999"))/$W$29</calculatedColumnFormula>
    </tableColumn>
    <tableColumn id="15" name="Total Monthly" dataDxfId="0" dataCellStyle="Currency">
      <calculatedColumnFormula>SUM(INDIRECT("'"&amp;B2&amp;"'!B1:B999"))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7"/>
  <sheetViews>
    <sheetView topLeftCell="A17" workbookViewId="0">
      <selection activeCell="D42" sqref="D42"/>
    </sheetView>
  </sheetViews>
  <sheetFormatPr defaultRowHeight="15" x14ac:dyDescent="0.25"/>
  <sheetData>
    <row r="1" spans="1:1" ht="31.5" x14ac:dyDescent="0.5">
      <c r="A1" s="11" t="s">
        <v>223</v>
      </c>
    </row>
    <row r="3" spans="1:1" x14ac:dyDescent="0.25">
      <c r="A3" t="s">
        <v>224</v>
      </c>
    </row>
    <row r="4" spans="1:1" x14ac:dyDescent="0.25">
      <c r="A4" t="s">
        <v>225</v>
      </c>
    </row>
    <row r="5" spans="1:1" x14ac:dyDescent="0.25">
      <c r="A5" t="s">
        <v>226</v>
      </c>
    </row>
    <row r="6" spans="1:1" x14ac:dyDescent="0.25">
      <c r="A6" t="s">
        <v>227</v>
      </c>
    </row>
    <row r="7" spans="1:1" x14ac:dyDescent="0.25">
      <c r="A7" t="s">
        <v>228</v>
      </c>
    </row>
    <row r="15" spans="1:1" x14ac:dyDescent="0.25">
      <c r="A15" t="s">
        <v>229</v>
      </c>
    </row>
    <row r="16" spans="1:1" x14ac:dyDescent="0.25">
      <c r="A16" t="s">
        <v>230</v>
      </c>
    </row>
    <row r="17" spans="1:1" x14ac:dyDescent="0.25">
      <c r="A17" t="s">
        <v>231</v>
      </c>
    </row>
    <row r="38" spans="1:1" x14ac:dyDescent="0.25">
      <c r="A38" t="s">
        <v>232</v>
      </c>
    </row>
    <row r="39" spans="1:1" x14ac:dyDescent="0.25">
      <c r="A39" t="s">
        <v>253</v>
      </c>
    </row>
    <row r="40" spans="1:1" x14ac:dyDescent="0.25">
      <c r="A40" t="s">
        <v>254</v>
      </c>
    </row>
    <row r="41" spans="1:1" x14ac:dyDescent="0.25">
      <c r="A41" t="s">
        <v>255</v>
      </c>
    </row>
    <row r="42" spans="1:1" x14ac:dyDescent="0.25">
      <c r="A42" t="s">
        <v>256</v>
      </c>
    </row>
    <row r="43" spans="1:1" x14ac:dyDescent="0.25">
      <c r="A43" t="s">
        <v>257</v>
      </c>
    </row>
    <row r="45" spans="1:1" x14ac:dyDescent="0.25">
      <c r="A45" t="s">
        <v>235</v>
      </c>
    </row>
    <row r="47" spans="1:1" x14ac:dyDescent="0.25">
      <c r="A47" t="s">
        <v>234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47"/>
  <sheetViews>
    <sheetView topLeftCell="D1" zoomScale="70" zoomScaleNormal="70" workbookViewId="0">
      <pane ySplit="2" topLeftCell="A23" activePane="bottomLeft" state="frozen"/>
      <selection pane="bottomLeft" activeCell="W35" sqref="W35"/>
    </sheetView>
  </sheetViews>
  <sheetFormatPr defaultRowHeight="15" x14ac:dyDescent="0.25"/>
  <cols>
    <col min="1" max="1" width="10.42578125" style="14" bestFit="1" customWidth="1"/>
    <col min="2" max="2" width="20.85546875" style="14" customWidth="1"/>
    <col min="3" max="3" width="14.85546875" bestFit="1" customWidth="1"/>
    <col min="4" max="4" width="15.85546875" bestFit="1" customWidth="1"/>
    <col min="5" max="5" width="14.85546875" bestFit="1" customWidth="1"/>
    <col min="6" max="6" width="21" bestFit="1" customWidth="1"/>
    <col min="7" max="10" width="15.85546875" bestFit="1" customWidth="1"/>
    <col min="11" max="11" width="16.42578125" bestFit="1" customWidth="1"/>
    <col min="12" max="12" width="17.28515625" bestFit="1" customWidth="1"/>
    <col min="13" max="15" width="15.85546875" bestFit="1" customWidth="1"/>
    <col min="16" max="16" width="14.85546875" bestFit="1" customWidth="1"/>
    <col min="17" max="18" width="15.85546875" bestFit="1" customWidth="1"/>
    <col min="19" max="19" width="24.28515625" customWidth="1"/>
    <col min="20" max="20" width="16.28515625" customWidth="1"/>
    <col min="21" max="21" width="14.28515625" customWidth="1"/>
    <col min="23" max="23" width="14.85546875" bestFit="1" customWidth="1"/>
    <col min="24" max="24" width="28.5703125" customWidth="1"/>
  </cols>
  <sheetData>
    <row r="1" spans="1:24" x14ac:dyDescent="0.25">
      <c r="B1" s="14" t="s">
        <v>1192</v>
      </c>
      <c r="C1">
        <f ca="1">AVERAGEIF(C$24:C$900, "&lt;&gt;#REF!")</f>
        <v>4528.1416279069772</v>
      </c>
      <c r="D1">
        <f t="shared" ref="D1:S1" ca="1" si="0">AVERAGEIF(D$24:D$900, "&lt;&gt;#REF!")</f>
        <v>-997.9679069767443</v>
      </c>
      <c r="E1">
        <f t="shared" ca="1" si="0"/>
        <v>-16.798372093023261</v>
      </c>
      <c r="F1">
        <f t="shared" ca="1" si="0"/>
        <v>-202.64395348837209</v>
      </c>
      <c r="G1">
        <f t="shared" ca="1" si="0"/>
        <v>-38.236744186046515</v>
      </c>
      <c r="H1">
        <f t="shared" ca="1" si="0"/>
        <v>-349.92209302325574</v>
      </c>
      <c r="I1">
        <f t="shared" ca="1" si="0"/>
        <v>-208.42930232558138</v>
      </c>
      <c r="J1">
        <f t="shared" ca="1" si="0"/>
        <v>-184.8879069767442</v>
      </c>
      <c r="K1">
        <f t="shared" ca="1" si="0"/>
        <v>0</v>
      </c>
      <c r="L1">
        <f t="shared" ca="1" si="0"/>
        <v>-1968.5448837209301</v>
      </c>
      <c r="M1">
        <f t="shared" ca="1" si="0"/>
        <v>-40.491395348837209</v>
      </c>
      <c r="N1">
        <f t="shared" ca="1" si="0"/>
        <v>-41.563953488372093</v>
      </c>
      <c r="O1">
        <f t="shared" ca="1" si="0"/>
        <v>-7.7365116279069754</v>
      </c>
      <c r="P1">
        <f t="shared" ca="1" si="0"/>
        <v>0</v>
      </c>
      <c r="Q1">
        <f t="shared" ca="1" si="0"/>
        <v>-68.02441860465116</v>
      </c>
      <c r="R1">
        <f t="shared" ca="1" si="0"/>
        <v>-1282.5581395348838</v>
      </c>
      <c r="S1">
        <f t="shared" ca="1" si="0"/>
        <v>-138.30069767441864</v>
      </c>
    </row>
    <row r="2" spans="1:24" s="1" customFormat="1" x14ac:dyDescent="0.25">
      <c r="A2" s="12" t="s">
        <v>4</v>
      </c>
      <c r="B2" s="12" t="s">
        <v>10</v>
      </c>
      <c r="C2" s="5" t="s">
        <v>1</v>
      </c>
      <c r="D2" s="5" t="s">
        <v>3</v>
      </c>
      <c r="E2" s="5" t="s">
        <v>6</v>
      </c>
      <c r="F2" s="5" t="s">
        <v>5</v>
      </c>
      <c r="G2" s="5" t="s">
        <v>2</v>
      </c>
      <c r="H2" s="5" t="s">
        <v>11</v>
      </c>
      <c r="I2" s="5" t="s">
        <v>7</v>
      </c>
      <c r="J2" s="5" t="s">
        <v>45</v>
      </c>
      <c r="K2" s="5" t="s">
        <v>116</v>
      </c>
      <c r="L2" s="5" t="s">
        <v>99</v>
      </c>
      <c r="M2" s="5" t="s">
        <v>321</v>
      </c>
      <c r="N2" s="5" t="s">
        <v>290</v>
      </c>
      <c r="O2" s="5" t="s">
        <v>193</v>
      </c>
      <c r="P2" s="5" t="s">
        <v>233</v>
      </c>
      <c r="Q2" s="5" t="s">
        <v>104</v>
      </c>
      <c r="R2" s="5" t="s">
        <v>101</v>
      </c>
      <c r="S2" s="5" t="s">
        <v>258</v>
      </c>
      <c r="T2" s="5" t="s">
        <v>63</v>
      </c>
      <c r="U2" s="16" t="s">
        <v>1161</v>
      </c>
    </row>
    <row r="3" spans="1:24" s="1" customFormat="1" x14ac:dyDescent="0.25">
      <c r="A3" s="12"/>
      <c r="B3" s="12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17">
        <v>11923.43</v>
      </c>
      <c r="U3" s="17">
        <v>11923.43</v>
      </c>
      <c r="W3" s="1" t="s">
        <v>100</v>
      </c>
      <c r="X3" s="1" t="s">
        <v>217</v>
      </c>
    </row>
    <row r="4" spans="1:24" s="1" customFormat="1" x14ac:dyDescent="0.25">
      <c r="A4" s="13">
        <f>DATE(2019, 1, 1)</f>
        <v>43466</v>
      </c>
      <c r="B4" s="12" t="str">
        <f>CONCATENATE(TEXT(A4, "mmmm"), " ", TEXT(A4, "yyyy"))</f>
        <v>January 2019</v>
      </c>
      <c r="C4" s="9">
        <f ca="1">SUMIF(INDIRECT("'"&amp;$B4&amp;"'!$F$1:$F$999"), C$2, INDIRECT("'"&amp;$B4&amp;"'!$B$1:$B$999"))</f>
        <v>0</v>
      </c>
      <c r="D4" s="9">
        <f t="shared" ref="D4:S19" ca="1" si="1">SUMIF(INDIRECT("'"&amp;$B4&amp;"'!$F$1:$F$999"), D$2, INDIRECT("'"&amp;$B4&amp;"'!$B$1:$B$999"))</f>
        <v>-123.97999999999999</v>
      </c>
      <c r="E4" s="9">
        <f t="shared" ca="1" si="1"/>
        <v>0</v>
      </c>
      <c r="F4" s="9">
        <f t="shared" ca="1" si="1"/>
        <v>-16.37</v>
      </c>
      <c r="G4" s="9">
        <f t="shared" ca="1" si="1"/>
        <v>0</v>
      </c>
      <c r="H4" s="9">
        <f t="shared" ca="1" si="1"/>
        <v>-46.99</v>
      </c>
      <c r="I4" s="9">
        <f t="shared" ca="1" si="1"/>
        <v>-88.6</v>
      </c>
      <c r="J4" s="9">
        <f t="shared" ca="1" si="1"/>
        <v>-55.5</v>
      </c>
      <c r="K4" s="9">
        <f t="shared" ca="1" si="1"/>
        <v>0</v>
      </c>
      <c r="L4" s="9">
        <f ca="1">SUMIF(INDIRECT("'"&amp;$B4&amp;"'!$F$1:$F$999"), L$2, INDIRECT("'"&amp;$B4&amp;"'!$B$1:$B$999"))</f>
        <v>0</v>
      </c>
      <c r="M4" s="9">
        <f ca="1">SUMIF(INDIRECT("'"&amp;$B4&amp;"'!$F$1:$F$999"), M$2, INDIRECT("'"&amp;$B4&amp;"'!$B$1:$B$999"))</f>
        <v>0</v>
      </c>
      <c r="N4" s="9">
        <f ca="1">SUMIF(INDIRECT("'"&amp;$B4&amp;"'!$F$1:$F$999"), N$2, INDIRECT("'"&amp;$B4&amp;"'!$B$1:$B$999"))</f>
        <v>0</v>
      </c>
      <c r="O4" s="9">
        <f ca="1">SUMIF(INDIRECT("'"&amp;$B4&amp;"'!$F$1:$F$999"), O$2, INDIRECT("'"&amp;$B4&amp;"'!$B$1:$B$999"))</f>
        <v>0</v>
      </c>
      <c r="P4" s="9">
        <f t="shared" ca="1" si="1"/>
        <v>0</v>
      </c>
      <c r="Q4" s="9">
        <f t="shared" ca="1" si="1"/>
        <v>0</v>
      </c>
      <c r="R4" s="9">
        <f t="shared" ca="1" si="1"/>
        <v>0</v>
      </c>
      <c r="S4" s="9">
        <f ca="1">SUMIF(INDIRECT("'"&amp;$B4&amp;"'!$F$1:$F$999"), S$2, INDIRECT("'"&amp;$B4&amp;"'!$B$1:$B$999"))</f>
        <v>0</v>
      </c>
      <c r="T4" s="9">
        <f t="shared" ref="T4:T35" ca="1" si="2">SUM(INDIRECT("'"&amp;B4&amp;"'!B1:B999"))</f>
        <v>-331.44000000000005</v>
      </c>
      <c r="U4" s="15">
        <f ca="1">U3+Table7[[#This Row],[Total Monthly]]</f>
        <v>11591.99</v>
      </c>
      <c r="W4" s="2" t="s">
        <v>101</v>
      </c>
      <c r="X4" s="2">
        <v>1200</v>
      </c>
    </row>
    <row r="5" spans="1:24" x14ac:dyDescent="0.25">
      <c r="A5" s="13">
        <f>DATE(YEAR(A4), MONTH(A4) + 1, 1)</f>
        <v>43497</v>
      </c>
      <c r="B5" s="12" t="str">
        <f t="shared" ref="B5:B34" si="3">CONCATENATE(TEXT(A5, "mmmm"), " ", TEXT(A5, "yyyy"))</f>
        <v>February 2019</v>
      </c>
      <c r="C5" s="9">
        <f t="shared" ref="C5:J14" ca="1" si="4">SUMIF(INDIRECT("'"&amp;$B5&amp;"'!$F$1:$F$999"), C$2, INDIRECT("'"&amp;$B5&amp;"'!$B$1:$B$999"))</f>
        <v>-35.700000000000003</v>
      </c>
      <c r="D5" s="9">
        <f t="shared" ca="1" si="4"/>
        <v>-230.95999999999998</v>
      </c>
      <c r="E5" s="9">
        <f t="shared" ca="1" si="4"/>
        <v>0</v>
      </c>
      <c r="F5" s="9">
        <f t="shared" ca="1" si="4"/>
        <v>-99.070000000000007</v>
      </c>
      <c r="G5" s="9">
        <f t="shared" ca="1" si="4"/>
        <v>0</v>
      </c>
      <c r="H5" s="9">
        <f t="shared" ca="1" si="4"/>
        <v>194.75</v>
      </c>
      <c r="I5" s="9">
        <f t="shared" ca="1" si="4"/>
        <v>-838.84999999999991</v>
      </c>
      <c r="J5" s="9">
        <f t="shared" ca="1" si="4"/>
        <v>0</v>
      </c>
      <c r="K5" s="9">
        <f t="shared" ref="K5:O36" ca="1" si="5">SUMIF(INDIRECT("'"&amp;$B5&amp;"'!$F$1:$F$999"), K$2, INDIRECT("'"&amp;$B5&amp;"'!$B$1:$B$999"))</f>
        <v>-4140.6000000000004</v>
      </c>
      <c r="L5" s="9">
        <f t="shared" ref="L5:O35" ca="1" si="6">SUMIF(INDIRECT("'"&amp;$B5&amp;"'!$F$1:$F$999"), L$2, INDIRECT("'"&amp;$B5&amp;"'!$B$1:$B$999"))</f>
        <v>0</v>
      </c>
      <c r="M5" s="9">
        <f t="shared" ca="1" si="6"/>
        <v>0</v>
      </c>
      <c r="N5" s="9">
        <f t="shared" ca="1" si="6"/>
        <v>0</v>
      </c>
      <c r="O5" s="9">
        <f t="shared" ca="1" si="6"/>
        <v>0</v>
      </c>
      <c r="P5" s="9">
        <f t="shared" ref="P5:S68" ca="1" si="7">SUMIF(INDIRECT("'"&amp;$B5&amp;"'!$F$1:$F$999"), P$2, INDIRECT("'"&amp;$B5&amp;"'!$B$1:$B$999"))</f>
        <v>0</v>
      </c>
      <c r="Q5" s="9">
        <f t="shared" ca="1" si="1"/>
        <v>0</v>
      </c>
      <c r="R5" s="9">
        <f t="shared" ca="1" si="1"/>
        <v>0</v>
      </c>
      <c r="S5" s="9">
        <f t="shared" ca="1" si="1"/>
        <v>0</v>
      </c>
      <c r="T5" s="9">
        <f t="shared" ca="1" si="2"/>
        <v>-5150.43</v>
      </c>
      <c r="U5" s="15">
        <f ca="1">U4+Table7[[#This Row],[Total Monthly]]</f>
        <v>6441.5599999999995</v>
      </c>
      <c r="W5" t="s">
        <v>102</v>
      </c>
      <c r="X5">
        <v>70</v>
      </c>
    </row>
    <row r="6" spans="1:24" x14ac:dyDescent="0.25">
      <c r="A6" s="13">
        <f t="shared" ref="A6:A69" si="8">DATE(YEAR(A5), MONTH(A5) + 1, 1)</f>
        <v>43525</v>
      </c>
      <c r="B6" s="12" t="str">
        <f t="shared" si="3"/>
        <v>March 2019</v>
      </c>
      <c r="C6" s="9">
        <f t="shared" ca="1" si="4"/>
        <v>0</v>
      </c>
      <c r="D6" s="9">
        <f t="shared" ca="1" si="4"/>
        <v>-281.78000000000003</v>
      </c>
      <c r="E6" s="9">
        <f t="shared" ca="1" si="4"/>
        <v>0</v>
      </c>
      <c r="F6" s="9">
        <f t="shared" ca="1" si="4"/>
        <v>-41.980000000000004</v>
      </c>
      <c r="G6" s="9">
        <f t="shared" ca="1" si="4"/>
        <v>0</v>
      </c>
      <c r="H6" s="9">
        <f t="shared" ca="1" si="4"/>
        <v>178.6</v>
      </c>
      <c r="I6" s="9">
        <f t="shared" ca="1" si="4"/>
        <v>-230.60000000000002</v>
      </c>
      <c r="J6" s="9">
        <f t="shared" ca="1" si="4"/>
        <v>-809.43999999999994</v>
      </c>
      <c r="K6" s="9">
        <f t="shared" ca="1" si="5"/>
        <v>0</v>
      </c>
      <c r="L6" s="9">
        <f t="shared" ca="1" si="6"/>
        <v>0</v>
      </c>
      <c r="M6" s="9">
        <f t="shared" ca="1" si="6"/>
        <v>0</v>
      </c>
      <c r="N6" s="9">
        <f t="shared" ca="1" si="6"/>
        <v>0</v>
      </c>
      <c r="O6" s="9">
        <f t="shared" ca="1" si="6"/>
        <v>0</v>
      </c>
      <c r="P6" s="9">
        <f t="shared" ca="1" si="7"/>
        <v>0</v>
      </c>
      <c r="Q6" s="9">
        <f t="shared" ca="1" si="1"/>
        <v>0</v>
      </c>
      <c r="R6" s="9">
        <f t="shared" ca="1" si="1"/>
        <v>0</v>
      </c>
      <c r="S6" s="9">
        <f t="shared" ca="1" si="1"/>
        <v>0</v>
      </c>
      <c r="T6" s="9">
        <f t="shared" ca="1" si="2"/>
        <v>-1165.6600000000001</v>
      </c>
      <c r="U6" s="15">
        <f ca="1">U5+Table7[[#This Row],[Total Monthly]]</f>
        <v>5275.9</v>
      </c>
      <c r="W6" t="s">
        <v>103</v>
      </c>
      <c r="X6">
        <v>60</v>
      </c>
    </row>
    <row r="7" spans="1:24" x14ac:dyDescent="0.25">
      <c r="A7" s="13">
        <f t="shared" si="8"/>
        <v>43556</v>
      </c>
      <c r="B7" s="12" t="str">
        <f t="shared" si="3"/>
        <v>April 2019</v>
      </c>
      <c r="C7" s="9">
        <f t="shared" ca="1" si="4"/>
        <v>0</v>
      </c>
      <c r="D7" s="9">
        <f t="shared" ca="1" si="4"/>
        <v>-332.09</v>
      </c>
      <c r="E7" s="9">
        <f t="shared" ca="1" si="4"/>
        <v>0</v>
      </c>
      <c r="F7" s="9">
        <f t="shared" ca="1" si="4"/>
        <v>-10.99</v>
      </c>
      <c r="G7" s="9">
        <f t="shared" ca="1" si="4"/>
        <v>0</v>
      </c>
      <c r="H7" s="9">
        <f t="shared" ca="1" si="4"/>
        <v>436.65999999999997</v>
      </c>
      <c r="I7" s="9">
        <f t="shared" ca="1" si="4"/>
        <v>-50</v>
      </c>
      <c r="J7" s="9">
        <f t="shared" ca="1" si="4"/>
        <v>-29.22</v>
      </c>
      <c r="K7" s="9">
        <f t="shared" ca="1" si="5"/>
        <v>0</v>
      </c>
      <c r="L7" s="9">
        <f t="shared" ca="1" si="6"/>
        <v>0</v>
      </c>
      <c r="M7" s="9">
        <f t="shared" ca="1" si="6"/>
        <v>0</v>
      </c>
      <c r="N7" s="9">
        <f t="shared" ca="1" si="6"/>
        <v>0</v>
      </c>
      <c r="O7" s="9">
        <f t="shared" ca="1" si="6"/>
        <v>0</v>
      </c>
      <c r="P7" s="9">
        <f t="shared" ca="1" si="7"/>
        <v>0</v>
      </c>
      <c r="Q7" s="9">
        <f t="shared" ca="1" si="1"/>
        <v>0</v>
      </c>
      <c r="R7" s="9">
        <f t="shared" ca="1" si="1"/>
        <v>0</v>
      </c>
      <c r="S7" s="9">
        <f t="shared" ca="1" si="1"/>
        <v>0</v>
      </c>
      <c r="T7" s="9">
        <f t="shared" ca="1" si="2"/>
        <v>14.36000000000007</v>
      </c>
      <c r="U7" s="15">
        <f ca="1">U6+Table7[[#This Row],[Total Monthly]]</f>
        <v>5290.2599999999993</v>
      </c>
      <c r="W7" t="s">
        <v>104</v>
      </c>
      <c r="X7">
        <v>100</v>
      </c>
    </row>
    <row r="8" spans="1:24" x14ac:dyDescent="0.25">
      <c r="A8" s="13">
        <f t="shared" si="8"/>
        <v>43586</v>
      </c>
      <c r="B8" s="12" t="str">
        <f t="shared" si="3"/>
        <v>May 2019</v>
      </c>
      <c r="C8" s="9">
        <f t="shared" ca="1" si="4"/>
        <v>1704.24</v>
      </c>
      <c r="D8" s="9">
        <f t="shared" ca="1" si="4"/>
        <v>-386.34000000000003</v>
      </c>
      <c r="E8" s="9">
        <f t="shared" ca="1" si="4"/>
        <v>-1.5</v>
      </c>
      <c r="F8" s="9">
        <f t="shared" ca="1" si="4"/>
        <v>-39.93</v>
      </c>
      <c r="G8" s="9">
        <f t="shared" ca="1" si="4"/>
        <v>0</v>
      </c>
      <c r="H8" s="9">
        <f t="shared" ca="1" si="4"/>
        <v>812.74</v>
      </c>
      <c r="I8" s="9">
        <f t="shared" ca="1" si="4"/>
        <v>0</v>
      </c>
      <c r="J8" s="9">
        <f t="shared" ca="1" si="4"/>
        <v>-6.16</v>
      </c>
      <c r="K8" s="9">
        <f t="shared" ca="1" si="5"/>
        <v>0</v>
      </c>
      <c r="L8" s="9">
        <f t="shared" ca="1" si="6"/>
        <v>0</v>
      </c>
      <c r="M8" s="9">
        <f t="shared" ca="1" si="6"/>
        <v>0</v>
      </c>
      <c r="N8" s="9">
        <f t="shared" ca="1" si="6"/>
        <v>0</v>
      </c>
      <c r="O8" s="9">
        <f t="shared" ca="1" si="6"/>
        <v>0</v>
      </c>
      <c r="P8" s="9">
        <f t="shared" ca="1" si="7"/>
        <v>0</v>
      </c>
      <c r="Q8" s="9">
        <f t="shared" ca="1" si="1"/>
        <v>0</v>
      </c>
      <c r="R8" s="9">
        <f t="shared" ca="1" si="1"/>
        <v>0</v>
      </c>
      <c r="S8" s="9">
        <f t="shared" ca="1" si="1"/>
        <v>0</v>
      </c>
      <c r="T8" s="9">
        <f t="shared" ca="1" si="2"/>
        <v>2084.4299999999998</v>
      </c>
      <c r="U8" s="15">
        <f ca="1">U7+Table7[[#This Row],[Total Monthly]]</f>
        <v>7374.6899999999987</v>
      </c>
      <c r="W8" t="s">
        <v>106</v>
      </c>
      <c r="X8">
        <v>400</v>
      </c>
    </row>
    <row r="9" spans="1:24" x14ac:dyDescent="0.25">
      <c r="A9" s="13">
        <f t="shared" si="8"/>
        <v>43617</v>
      </c>
      <c r="B9" s="12" t="str">
        <f t="shared" si="3"/>
        <v>June 2019</v>
      </c>
      <c r="C9" s="9">
        <f t="shared" ca="1" si="4"/>
        <v>3533.96</v>
      </c>
      <c r="D9" s="9">
        <f t="shared" ca="1" si="4"/>
        <v>-342.06</v>
      </c>
      <c r="E9" s="9">
        <f t="shared" ca="1" si="4"/>
        <v>0</v>
      </c>
      <c r="F9" s="9">
        <f t="shared" ca="1" si="4"/>
        <v>-131.57</v>
      </c>
      <c r="G9" s="9">
        <f t="shared" ca="1" si="4"/>
        <v>0</v>
      </c>
      <c r="H9" s="9">
        <f t="shared" ca="1" si="4"/>
        <v>0</v>
      </c>
      <c r="I9" s="9">
        <f t="shared" ca="1" si="4"/>
        <v>-98.48</v>
      </c>
      <c r="J9" s="9">
        <f t="shared" ca="1" si="4"/>
        <v>-350.57</v>
      </c>
      <c r="K9" s="9">
        <f t="shared" ca="1" si="5"/>
        <v>-897.47</v>
      </c>
      <c r="L9" s="9">
        <f t="shared" ca="1" si="6"/>
        <v>0</v>
      </c>
      <c r="M9" s="9">
        <f t="shared" ca="1" si="6"/>
        <v>0</v>
      </c>
      <c r="N9" s="9">
        <f t="shared" ca="1" si="6"/>
        <v>0</v>
      </c>
      <c r="O9" s="9">
        <f t="shared" ca="1" si="6"/>
        <v>0</v>
      </c>
      <c r="P9" s="9">
        <f t="shared" ca="1" si="7"/>
        <v>0</v>
      </c>
      <c r="Q9" s="9">
        <f t="shared" ca="1" si="1"/>
        <v>0</v>
      </c>
      <c r="R9" s="9">
        <f t="shared" ca="1" si="1"/>
        <v>0</v>
      </c>
      <c r="S9" s="9">
        <f t="shared" ca="1" si="1"/>
        <v>0</v>
      </c>
      <c r="T9" s="9">
        <f t="shared" ca="1" si="2"/>
        <v>1680.1799999999992</v>
      </c>
      <c r="U9" s="15">
        <f ca="1">U8+Table7[[#This Row],[Total Monthly]]</f>
        <v>9054.8699999999972</v>
      </c>
      <c r="W9" t="s">
        <v>140</v>
      </c>
      <c r="X9">
        <v>500</v>
      </c>
    </row>
    <row r="10" spans="1:24" x14ac:dyDescent="0.25">
      <c r="A10" s="13">
        <f t="shared" si="8"/>
        <v>43647</v>
      </c>
      <c r="B10" s="12" t="str">
        <f t="shared" si="3"/>
        <v>July 2019</v>
      </c>
      <c r="C10" s="9">
        <f t="shared" ca="1" si="4"/>
        <v>3471.22</v>
      </c>
      <c r="D10" s="9">
        <f t="shared" ca="1" si="4"/>
        <v>-594.07000000000005</v>
      </c>
      <c r="E10" s="9">
        <f t="shared" ca="1" si="4"/>
        <v>0</v>
      </c>
      <c r="F10" s="9">
        <f t="shared" ca="1" si="4"/>
        <v>-142.19</v>
      </c>
      <c r="G10" s="9">
        <f t="shared" ca="1" si="4"/>
        <v>0</v>
      </c>
      <c r="H10" s="9">
        <f t="shared" ca="1" si="4"/>
        <v>0</v>
      </c>
      <c r="I10" s="9">
        <f t="shared" ca="1" si="4"/>
        <v>-52.91</v>
      </c>
      <c r="J10" s="9">
        <f t="shared" ca="1" si="4"/>
        <v>40</v>
      </c>
      <c r="K10" s="9">
        <f t="shared" ca="1" si="5"/>
        <v>0</v>
      </c>
      <c r="L10" s="9">
        <f t="shared" ca="1" si="6"/>
        <v>-5000</v>
      </c>
      <c r="M10" s="9">
        <f t="shared" ca="1" si="6"/>
        <v>0</v>
      </c>
      <c r="N10" s="9">
        <f t="shared" ca="1" si="6"/>
        <v>0</v>
      </c>
      <c r="O10" s="9">
        <f t="shared" ca="1" si="6"/>
        <v>0</v>
      </c>
      <c r="P10" s="9">
        <f t="shared" ca="1" si="7"/>
        <v>0</v>
      </c>
      <c r="Q10" s="9">
        <f t="shared" ca="1" si="1"/>
        <v>0</v>
      </c>
      <c r="R10" s="9">
        <f t="shared" ca="1" si="1"/>
        <v>0</v>
      </c>
      <c r="S10" s="9">
        <f t="shared" ca="1" si="1"/>
        <v>0</v>
      </c>
      <c r="T10" s="9">
        <f t="shared" ca="1" si="2"/>
        <v>-2277.9499999999998</v>
      </c>
      <c r="U10" s="15">
        <f ca="1">U9+Table7[[#This Row],[Total Monthly]]</f>
        <v>6776.9199999999973</v>
      </c>
      <c r="W10" s="1" t="s">
        <v>220</v>
      </c>
      <c r="X10">
        <f>SUM(X4:X9)</f>
        <v>2330</v>
      </c>
    </row>
    <row r="11" spans="1:24" x14ac:dyDescent="0.25">
      <c r="A11" s="13">
        <f t="shared" si="8"/>
        <v>43678</v>
      </c>
      <c r="B11" s="12" t="str">
        <f t="shared" si="3"/>
        <v>August 2019</v>
      </c>
      <c r="C11" s="9">
        <f t="shared" ca="1" si="4"/>
        <v>3471.22</v>
      </c>
      <c r="D11" s="9">
        <f t="shared" ca="1" si="4"/>
        <v>-534.89000000000033</v>
      </c>
      <c r="E11" s="9">
        <f t="shared" ca="1" si="4"/>
        <v>0</v>
      </c>
      <c r="F11" s="9">
        <f t="shared" ca="1" si="4"/>
        <v>-96.81</v>
      </c>
      <c r="G11" s="9">
        <f t="shared" ca="1" si="4"/>
        <v>0</v>
      </c>
      <c r="H11" s="9">
        <f t="shared" ca="1" si="4"/>
        <v>0</v>
      </c>
      <c r="I11" s="9">
        <f t="shared" ca="1" si="4"/>
        <v>-47.41</v>
      </c>
      <c r="J11" s="9">
        <f t="shared" ca="1" si="4"/>
        <v>-50.61</v>
      </c>
      <c r="K11" s="9">
        <f t="shared" ca="1" si="5"/>
        <v>0</v>
      </c>
      <c r="L11" s="9">
        <f t="shared" ca="1" si="6"/>
        <v>0</v>
      </c>
      <c r="M11" s="9">
        <f t="shared" ca="1" si="6"/>
        <v>0</v>
      </c>
      <c r="N11" s="9">
        <f t="shared" ca="1" si="6"/>
        <v>0</v>
      </c>
      <c r="O11" s="9">
        <f t="shared" ca="1" si="6"/>
        <v>0</v>
      </c>
      <c r="P11" s="9">
        <f t="shared" ca="1" si="7"/>
        <v>0</v>
      </c>
      <c r="Q11" s="9">
        <f t="shared" ca="1" si="1"/>
        <v>0</v>
      </c>
      <c r="R11" s="9">
        <f t="shared" ca="1" si="1"/>
        <v>0</v>
      </c>
      <c r="S11" s="9">
        <f t="shared" ca="1" si="1"/>
        <v>0</v>
      </c>
      <c r="T11" s="9">
        <f t="shared" ca="1" si="2"/>
        <v>2741.5000000000005</v>
      </c>
      <c r="U11" s="15">
        <f ca="1">U10+Table7[[#This Row],[Total Monthly]]</f>
        <v>9518.4199999999983</v>
      </c>
    </row>
    <row r="12" spans="1:24" x14ac:dyDescent="0.25">
      <c r="A12" s="13">
        <f t="shared" si="8"/>
        <v>43709</v>
      </c>
      <c r="B12" s="12" t="str">
        <f t="shared" si="3"/>
        <v>September 2019</v>
      </c>
      <c r="C12" s="9">
        <f t="shared" ca="1" si="4"/>
        <v>3471.22</v>
      </c>
      <c r="D12" s="9">
        <f t="shared" ca="1" si="4"/>
        <v>-456.72000000000008</v>
      </c>
      <c r="E12" s="9">
        <f t="shared" ca="1" si="4"/>
        <v>0</v>
      </c>
      <c r="F12" s="9">
        <f t="shared" ca="1" si="4"/>
        <v>-249.34000000000003</v>
      </c>
      <c r="G12" s="9">
        <f t="shared" ca="1" si="4"/>
        <v>0</v>
      </c>
      <c r="H12" s="9">
        <f t="shared" ca="1" si="4"/>
        <v>197.25</v>
      </c>
      <c r="I12" s="9">
        <f t="shared" ca="1" si="4"/>
        <v>-55.32</v>
      </c>
      <c r="J12" s="9">
        <f t="shared" ca="1" si="4"/>
        <v>-26.05</v>
      </c>
      <c r="K12" s="9">
        <f t="shared" ca="1" si="5"/>
        <v>0</v>
      </c>
      <c r="L12" s="9">
        <f t="shared" ca="1" si="6"/>
        <v>0</v>
      </c>
      <c r="M12" s="9">
        <f t="shared" ca="1" si="6"/>
        <v>0</v>
      </c>
      <c r="N12" s="9">
        <f t="shared" ca="1" si="6"/>
        <v>0</v>
      </c>
      <c r="O12" s="9">
        <f t="shared" ca="1" si="6"/>
        <v>0</v>
      </c>
      <c r="P12" s="9">
        <f t="shared" ca="1" si="7"/>
        <v>0</v>
      </c>
      <c r="Q12" s="9">
        <f t="shared" ca="1" si="1"/>
        <v>0</v>
      </c>
      <c r="R12" s="9">
        <f t="shared" ca="1" si="1"/>
        <v>0</v>
      </c>
      <c r="S12" s="9">
        <f t="shared" ca="1" si="1"/>
        <v>0</v>
      </c>
      <c r="T12" s="9">
        <f t="shared" ca="1" si="2"/>
        <v>2980.8599999999997</v>
      </c>
      <c r="U12" s="15">
        <f ca="1">U11+Table7[[#This Row],[Total Monthly]]</f>
        <v>12499.279999999999</v>
      </c>
    </row>
    <row r="13" spans="1:24" x14ac:dyDescent="0.25">
      <c r="A13" s="13">
        <f t="shared" si="8"/>
        <v>43739</v>
      </c>
      <c r="B13" s="12" t="str">
        <f t="shared" si="3"/>
        <v>October 2019</v>
      </c>
      <c r="C13" s="9">
        <f t="shared" ca="1" si="4"/>
        <v>5206.83</v>
      </c>
      <c r="D13" s="9">
        <f t="shared" ca="1" si="4"/>
        <v>-428.81999999999994</v>
      </c>
      <c r="E13" s="9">
        <f t="shared" ca="1" si="4"/>
        <v>-121.6</v>
      </c>
      <c r="F13" s="9">
        <f t="shared" ca="1" si="4"/>
        <v>-339.16999999999996</v>
      </c>
      <c r="G13" s="9">
        <f t="shared" ca="1" si="4"/>
        <v>0</v>
      </c>
      <c r="H13" s="9">
        <f t="shared" ca="1" si="4"/>
        <v>197.25</v>
      </c>
      <c r="I13" s="9">
        <f t="shared" ca="1" si="4"/>
        <v>-51.96</v>
      </c>
      <c r="J13" s="9">
        <f t="shared" ca="1" si="4"/>
        <v>-256.2</v>
      </c>
      <c r="K13" s="9">
        <f t="shared" ca="1" si="5"/>
        <v>0</v>
      </c>
      <c r="L13" s="9">
        <f t="shared" ca="1" si="6"/>
        <v>0</v>
      </c>
      <c r="M13" s="9">
        <f t="shared" ca="1" si="6"/>
        <v>0</v>
      </c>
      <c r="N13" s="9">
        <f t="shared" ca="1" si="6"/>
        <v>0</v>
      </c>
      <c r="O13" s="9">
        <f t="shared" ca="1" si="6"/>
        <v>0</v>
      </c>
      <c r="P13" s="9">
        <f t="shared" ca="1" si="7"/>
        <v>0</v>
      </c>
      <c r="Q13" s="9">
        <f t="shared" ca="1" si="1"/>
        <v>0</v>
      </c>
      <c r="R13" s="9">
        <f t="shared" ca="1" si="1"/>
        <v>0</v>
      </c>
      <c r="S13" s="9">
        <f t="shared" ca="1" si="1"/>
        <v>0</v>
      </c>
      <c r="T13" s="9">
        <f t="shared" ca="1" si="2"/>
        <v>4455.2099999999991</v>
      </c>
      <c r="U13" s="15">
        <f ca="1">U12+Table7[[#This Row],[Total Monthly]]</f>
        <v>16954.489999999998</v>
      </c>
    </row>
    <row r="14" spans="1:24" x14ac:dyDescent="0.25">
      <c r="A14" s="13">
        <f t="shared" si="8"/>
        <v>43770</v>
      </c>
      <c r="B14" s="12" t="str">
        <f t="shared" si="3"/>
        <v>November 2019</v>
      </c>
      <c r="C14" s="9">
        <f t="shared" ca="1" si="4"/>
        <v>4652.3900000000003</v>
      </c>
      <c r="D14" s="9">
        <f t="shared" ca="1" si="4"/>
        <v>-409.80000000000013</v>
      </c>
      <c r="E14" s="9">
        <f t="shared" ca="1" si="4"/>
        <v>0</v>
      </c>
      <c r="F14" s="9">
        <f t="shared" ca="1" si="4"/>
        <v>-113.15</v>
      </c>
      <c r="G14" s="9">
        <f t="shared" ca="1" si="4"/>
        <v>0</v>
      </c>
      <c r="H14" s="9">
        <f t="shared" ca="1" si="4"/>
        <v>-216.23</v>
      </c>
      <c r="I14" s="9">
        <f t="shared" ca="1" si="4"/>
        <v>-47.23</v>
      </c>
      <c r="J14" s="9">
        <f t="shared" ca="1" si="4"/>
        <v>-84.600000000000009</v>
      </c>
      <c r="K14" s="9">
        <f t="shared" ca="1" si="5"/>
        <v>0</v>
      </c>
      <c r="L14" s="9">
        <f t="shared" ca="1" si="6"/>
        <v>0</v>
      </c>
      <c r="M14" s="9">
        <f t="shared" ca="1" si="6"/>
        <v>0</v>
      </c>
      <c r="N14" s="9">
        <f t="shared" ca="1" si="6"/>
        <v>0</v>
      </c>
      <c r="O14" s="9">
        <f t="shared" ca="1" si="6"/>
        <v>0</v>
      </c>
      <c r="P14" s="9">
        <f t="shared" ca="1" si="7"/>
        <v>0</v>
      </c>
      <c r="Q14" s="9">
        <f t="shared" ca="1" si="1"/>
        <v>0</v>
      </c>
      <c r="R14" s="9">
        <f t="shared" ca="1" si="1"/>
        <v>0</v>
      </c>
      <c r="S14" s="9">
        <f t="shared" ca="1" si="1"/>
        <v>0</v>
      </c>
      <c r="T14" s="9">
        <f t="shared" ca="1" si="2"/>
        <v>3830.9500000000016</v>
      </c>
      <c r="U14" s="15">
        <f ca="1">U13+Table7[[#This Row],[Total Monthly]]</f>
        <v>20785.439999999999</v>
      </c>
      <c r="W14" t="s">
        <v>105</v>
      </c>
      <c r="X14" t="s">
        <v>107</v>
      </c>
    </row>
    <row r="15" spans="1:24" x14ac:dyDescent="0.25">
      <c r="A15" s="13">
        <f t="shared" si="8"/>
        <v>43800</v>
      </c>
      <c r="B15" s="12" t="str">
        <f t="shared" si="3"/>
        <v>December 2019</v>
      </c>
      <c r="C15" s="9">
        <f t="shared" ref="C15:J24" ca="1" si="9">SUMIF(INDIRECT("'"&amp;$B15&amp;"'!$F$1:$F$999"), C$2, INDIRECT("'"&amp;$B15&amp;"'!$B$1:$B$999"))</f>
        <v>3420.24</v>
      </c>
      <c r="D15" s="9">
        <f t="shared" ca="1" si="9"/>
        <v>-439.61</v>
      </c>
      <c r="E15" s="9">
        <f t="shared" ca="1" si="9"/>
        <v>405.5</v>
      </c>
      <c r="F15" s="9">
        <f t="shared" ca="1" si="9"/>
        <v>-336.02</v>
      </c>
      <c r="G15" s="9">
        <f t="shared" ca="1" si="9"/>
        <v>-117.18</v>
      </c>
      <c r="H15" s="9">
        <f t="shared" ca="1" si="9"/>
        <v>-699.16</v>
      </c>
      <c r="I15" s="9">
        <f t="shared" ca="1" si="9"/>
        <v>-47.08</v>
      </c>
      <c r="J15" s="9">
        <f t="shared" ca="1" si="9"/>
        <v>-273.05</v>
      </c>
      <c r="K15" s="9">
        <f t="shared" ca="1" si="5"/>
        <v>0</v>
      </c>
      <c r="L15" s="9">
        <f t="shared" ca="1" si="6"/>
        <v>0</v>
      </c>
      <c r="M15" s="9">
        <f t="shared" ca="1" si="6"/>
        <v>0</v>
      </c>
      <c r="N15" s="9">
        <f t="shared" ca="1" si="6"/>
        <v>0</v>
      </c>
      <c r="O15" s="9">
        <f t="shared" ca="1" si="6"/>
        <v>0</v>
      </c>
      <c r="P15" s="9">
        <f t="shared" ca="1" si="7"/>
        <v>0</v>
      </c>
      <c r="Q15" s="9">
        <f t="shared" ca="1" si="1"/>
        <v>0</v>
      </c>
      <c r="R15" s="9">
        <f t="shared" ca="1" si="1"/>
        <v>0</v>
      </c>
      <c r="S15" s="9">
        <f t="shared" ca="1" si="1"/>
        <v>0</v>
      </c>
      <c r="T15" s="9">
        <f t="shared" ca="1" si="2"/>
        <v>1913.6399999999996</v>
      </c>
      <c r="U15" s="15">
        <f ca="1">U14+Table7[[#This Row],[Total Monthly]]</f>
        <v>22699.079999999998</v>
      </c>
      <c r="W15">
        <f ca="1">SUMIF(T3:T10000,"&lt;&gt;#REF!")</f>
        <v>19080.270000000004</v>
      </c>
      <c r="X15" s="1">
        <f ca="1">W15/X10</f>
        <v>8.1889570815450661</v>
      </c>
    </row>
    <row r="16" spans="1:24" x14ac:dyDescent="0.25">
      <c r="A16" s="13">
        <f t="shared" si="8"/>
        <v>43831</v>
      </c>
      <c r="B16" s="12" t="str">
        <f t="shared" si="3"/>
        <v>January 2020</v>
      </c>
      <c r="C16" s="9">
        <f t="shared" ca="1" si="9"/>
        <v>3316.72</v>
      </c>
      <c r="D16" s="9">
        <f t="shared" ca="1" si="9"/>
        <v>-392.15000000000009</v>
      </c>
      <c r="E16" s="9">
        <f t="shared" ca="1" si="9"/>
        <v>-105</v>
      </c>
      <c r="F16" s="9">
        <f t="shared" ca="1" si="9"/>
        <v>-128.94</v>
      </c>
      <c r="G16" s="9">
        <f t="shared" ca="1" si="9"/>
        <v>-11.09</v>
      </c>
      <c r="H16" s="9">
        <f t="shared" ca="1" si="9"/>
        <v>-638.37</v>
      </c>
      <c r="I16" s="9">
        <f t="shared" ca="1" si="9"/>
        <v>-911.8900000000001</v>
      </c>
      <c r="J16" s="9">
        <f t="shared" ca="1" si="9"/>
        <v>0</v>
      </c>
      <c r="K16" s="9">
        <f t="shared" ca="1" si="5"/>
        <v>0</v>
      </c>
      <c r="L16" s="9">
        <f t="shared" ca="1" si="6"/>
        <v>0</v>
      </c>
      <c r="M16" s="9">
        <f t="shared" ca="1" si="6"/>
        <v>0</v>
      </c>
      <c r="N16" s="9">
        <f t="shared" ca="1" si="6"/>
        <v>0</v>
      </c>
      <c r="O16" s="9">
        <f t="shared" ca="1" si="6"/>
        <v>0</v>
      </c>
      <c r="P16" s="9">
        <f t="shared" ca="1" si="7"/>
        <v>0</v>
      </c>
      <c r="Q16" s="9">
        <f t="shared" ca="1" si="1"/>
        <v>0</v>
      </c>
      <c r="R16" s="9">
        <f t="shared" ca="1" si="1"/>
        <v>0</v>
      </c>
      <c r="S16" s="9">
        <f t="shared" ca="1" si="1"/>
        <v>0</v>
      </c>
      <c r="T16" s="9">
        <f t="shared" ca="1" si="2"/>
        <v>1129.2799999999995</v>
      </c>
      <c r="U16" s="15">
        <f ca="1">U15+Table7[[#This Row],[Total Monthly]]</f>
        <v>23828.359999999997</v>
      </c>
    </row>
    <row r="17" spans="1:21" x14ac:dyDescent="0.25">
      <c r="A17" s="13">
        <f t="shared" si="8"/>
        <v>43862</v>
      </c>
      <c r="B17" s="12" t="str">
        <f t="shared" si="3"/>
        <v>February 2020</v>
      </c>
      <c r="C17" s="9">
        <f t="shared" ca="1" si="9"/>
        <v>3471.22</v>
      </c>
      <c r="D17" s="9">
        <f t="shared" ca="1" si="9"/>
        <v>-413.49</v>
      </c>
      <c r="E17" s="9">
        <f t="shared" ca="1" si="9"/>
        <v>-105</v>
      </c>
      <c r="F17" s="9">
        <f t="shared" ca="1" si="9"/>
        <v>-201.02</v>
      </c>
      <c r="G17" s="9">
        <f t="shared" ca="1" si="9"/>
        <v>0</v>
      </c>
      <c r="H17" s="9">
        <f t="shared" ca="1" si="9"/>
        <v>195.46</v>
      </c>
      <c r="I17" s="9">
        <f t="shared" ca="1" si="9"/>
        <v>-49.38</v>
      </c>
      <c r="J17" s="9">
        <f t="shared" ca="1" si="9"/>
        <v>-55.05</v>
      </c>
      <c r="K17" s="9">
        <f t="shared" ca="1" si="5"/>
        <v>0</v>
      </c>
      <c r="L17" s="9">
        <f t="shared" ca="1" si="6"/>
        <v>0</v>
      </c>
      <c r="M17" s="9">
        <f t="shared" ca="1" si="6"/>
        <v>0</v>
      </c>
      <c r="N17" s="9">
        <f t="shared" ca="1" si="6"/>
        <v>0</v>
      </c>
      <c r="O17" s="9">
        <f t="shared" ca="1" si="6"/>
        <v>0</v>
      </c>
      <c r="P17" s="9">
        <f t="shared" ca="1" si="7"/>
        <v>0</v>
      </c>
      <c r="Q17" s="9">
        <f t="shared" ca="1" si="1"/>
        <v>0</v>
      </c>
      <c r="R17" s="9">
        <f t="shared" ca="1" si="1"/>
        <v>0</v>
      </c>
      <c r="S17" s="9">
        <f t="shared" ca="1" si="1"/>
        <v>0</v>
      </c>
      <c r="T17" s="9">
        <f t="shared" ca="1" si="2"/>
        <v>2842.74</v>
      </c>
      <c r="U17" s="15">
        <f ca="1">U16+Table7[[#This Row],[Total Monthly]]</f>
        <v>26671.1</v>
      </c>
    </row>
    <row r="18" spans="1:21" x14ac:dyDescent="0.25">
      <c r="A18" s="13">
        <f t="shared" si="8"/>
        <v>43891</v>
      </c>
      <c r="B18" s="12" t="str">
        <f t="shared" si="3"/>
        <v>March 2020</v>
      </c>
      <c r="C18" s="9">
        <f t="shared" ca="1" si="9"/>
        <v>3471.22</v>
      </c>
      <c r="D18" s="9">
        <f t="shared" ca="1" si="9"/>
        <v>-374.51</v>
      </c>
      <c r="E18" s="9">
        <f t="shared" ca="1" si="9"/>
        <v>-2.4700000000000002</v>
      </c>
      <c r="F18" s="9">
        <f t="shared" ca="1" si="9"/>
        <v>-157.17000000000002</v>
      </c>
      <c r="G18" s="9">
        <f t="shared" ca="1" si="9"/>
        <v>-5.54</v>
      </c>
      <c r="H18" s="9">
        <f t="shared" ca="1" si="9"/>
        <v>0</v>
      </c>
      <c r="I18" s="9">
        <f t="shared" ca="1" si="9"/>
        <v>-4.42</v>
      </c>
      <c r="J18" s="9">
        <f t="shared" ca="1" si="9"/>
        <v>0</v>
      </c>
      <c r="K18" s="9">
        <f t="shared" ca="1" si="5"/>
        <v>0</v>
      </c>
      <c r="L18" s="9">
        <f t="shared" ca="1" si="6"/>
        <v>0</v>
      </c>
      <c r="M18" s="9">
        <f t="shared" ca="1" si="6"/>
        <v>0</v>
      </c>
      <c r="N18" s="9">
        <f t="shared" ca="1" si="6"/>
        <v>0</v>
      </c>
      <c r="O18" s="9">
        <f t="shared" ca="1" si="6"/>
        <v>0</v>
      </c>
      <c r="P18" s="9">
        <f t="shared" ca="1" si="7"/>
        <v>0</v>
      </c>
      <c r="Q18" s="9">
        <f t="shared" ca="1" si="1"/>
        <v>0</v>
      </c>
      <c r="R18" s="9">
        <f t="shared" ca="1" si="1"/>
        <v>0</v>
      </c>
      <c r="S18" s="9">
        <f t="shared" ca="1" si="1"/>
        <v>-65.94</v>
      </c>
      <c r="T18" s="9">
        <f t="shared" ca="1" si="2"/>
        <v>2861.1700000000005</v>
      </c>
      <c r="U18" s="15">
        <f ca="1">U17+Table7[[#This Row],[Total Monthly]]</f>
        <v>29532.27</v>
      </c>
    </row>
    <row r="19" spans="1:21" x14ac:dyDescent="0.25">
      <c r="A19" s="13">
        <f t="shared" si="8"/>
        <v>43922</v>
      </c>
      <c r="B19" s="12" t="str">
        <f t="shared" si="3"/>
        <v>April 2020</v>
      </c>
      <c r="C19" s="9">
        <f t="shared" ca="1" si="9"/>
        <v>9539.2899999999991</v>
      </c>
      <c r="D19" s="9">
        <f t="shared" ca="1" si="9"/>
        <v>-296.35000000000002</v>
      </c>
      <c r="E19" s="9">
        <f t="shared" ca="1" si="9"/>
        <v>0</v>
      </c>
      <c r="F19" s="9">
        <f t="shared" ca="1" si="9"/>
        <v>-29.86</v>
      </c>
      <c r="G19" s="9">
        <f t="shared" ca="1" si="9"/>
        <v>0</v>
      </c>
      <c r="H19" s="9">
        <f t="shared" ca="1" si="9"/>
        <v>516.01</v>
      </c>
      <c r="I19" s="9">
        <f t="shared" ca="1" si="9"/>
        <v>0</v>
      </c>
      <c r="J19" s="9">
        <f t="shared" ca="1" si="9"/>
        <v>0</v>
      </c>
      <c r="K19" s="9">
        <f t="shared" ca="1" si="5"/>
        <v>0</v>
      </c>
      <c r="L19" s="9">
        <f t="shared" ca="1" si="6"/>
        <v>0</v>
      </c>
      <c r="M19" s="9">
        <f t="shared" ca="1" si="6"/>
        <v>0</v>
      </c>
      <c r="N19" s="9">
        <f t="shared" ca="1" si="6"/>
        <v>0</v>
      </c>
      <c r="O19" s="9">
        <f t="shared" ca="1" si="6"/>
        <v>0</v>
      </c>
      <c r="P19" s="9">
        <f t="shared" ca="1" si="7"/>
        <v>0</v>
      </c>
      <c r="Q19" s="9">
        <f t="shared" ca="1" si="1"/>
        <v>0</v>
      </c>
      <c r="R19" s="9">
        <f t="shared" ca="1" si="1"/>
        <v>0</v>
      </c>
      <c r="S19" s="9">
        <f t="shared" ca="1" si="1"/>
        <v>-56.78</v>
      </c>
      <c r="T19" s="9">
        <f t="shared" ca="1" si="2"/>
        <v>9672.3100000000013</v>
      </c>
      <c r="U19" s="15">
        <f ca="1">U18+Table7[[#This Row],[Total Monthly]]</f>
        <v>39204.58</v>
      </c>
    </row>
    <row r="20" spans="1:21" x14ac:dyDescent="0.25">
      <c r="A20" s="13">
        <f t="shared" si="8"/>
        <v>43952</v>
      </c>
      <c r="B20" s="12" t="str">
        <f t="shared" si="3"/>
        <v>May 2020</v>
      </c>
      <c r="C20" s="9">
        <f t="shared" ca="1" si="9"/>
        <v>3527.64</v>
      </c>
      <c r="D20" s="9">
        <f t="shared" ca="1" si="9"/>
        <v>-671.73</v>
      </c>
      <c r="E20" s="9">
        <f t="shared" ca="1" si="9"/>
        <v>0</v>
      </c>
      <c r="F20" s="9">
        <f t="shared" ca="1" si="9"/>
        <v>-104.07</v>
      </c>
      <c r="G20" s="9">
        <f t="shared" ca="1" si="9"/>
        <v>0</v>
      </c>
      <c r="H20" s="9">
        <f t="shared" ca="1" si="9"/>
        <v>0</v>
      </c>
      <c r="I20" s="9">
        <f t="shared" ca="1" si="9"/>
        <v>-44.1</v>
      </c>
      <c r="J20" s="9">
        <f t="shared" ca="1" si="9"/>
        <v>0</v>
      </c>
      <c r="K20" s="9">
        <f t="shared" ca="1" si="5"/>
        <v>0</v>
      </c>
      <c r="L20" s="9">
        <f t="shared" ca="1" si="6"/>
        <v>0</v>
      </c>
      <c r="M20" s="9">
        <f t="shared" ca="1" si="6"/>
        <v>0</v>
      </c>
      <c r="N20" s="9">
        <f t="shared" ca="1" si="6"/>
        <v>0</v>
      </c>
      <c r="O20" s="9">
        <f t="shared" ca="1" si="6"/>
        <v>0</v>
      </c>
      <c r="P20" s="9">
        <f t="shared" ca="1" si="7"/>
        <v>0</v>
      </c>
      <c r="Q20" s="9">
        <f t="shared" ca="1" si="7"/>
        <v>0</v>
      </c>
      <c r="R20" s="9">
        <f t="shared" ca="1" si="7"/>
        <v>0</v>
      </c>
      <c r="S20" s="9">
        <f t="shared" ca="1" si="7"/>
        <v>-56.78</v>
      </c>
      <c r="T20" s="9">
        <f t="shared" ca="1" si="2"/>
        <v>2650.9599999999991</v>
      </c>
      <c r="U20" s="15">
        <f ca="1">U19+Table7[[#This Row],[Total Monthly]]</f>
        <v>41855.54</v>
      </c>
    </row>
    <row r="21" spans="1:21" x14ac:dyDescent="0.25">
      <c r="A21" s="13">
        <f t="shared" si="8"/>
        <v>43983</v>
      </c>
      <c r="B21" s="12" t="str">
        <f t="shared" si="3"/>
        <v>June 2020</v>
      </c>
      <c r="C21" s="9">
        <f t="shared" ca="1" si="9"/>
        <v>3527.64</v>
      </c>
      <c r="D21" s="9">
        <f t="shared" ca="1" si="9"/>
        <v>-855.1099999999999</v>
      </c>
      <c r="E21" s="9">
        <f t="shared" ca="1" si="9"/>
        <v>0</v>
      </c>
      <c r="F21" s="9">
        <f t="shared" ca="1" si="9"/>
        <v>-285.43</v>
      </c>
      <c r="G21" s="9">
        <f t="shared" ca="1" si="9"/>
        <v>0</v>
      </c>
      <c r="H21" s="9">
        <f t="shared" ca="1" si="9"/>
        <v>0</v>
      </c>
      <c r="I21" s="9">
        <f t="shared" ca="1" si="9"/>
        <v>-9.1</v>
      </c>
      <c r="J21" s="9">
        <f t="shared" ca="1" si="9"/>
        <v>-208.93</v>
      </c>
      <c r="K21" s="9">
        <f t="shared" ca="1" si="5"/>
        <v>0</v>
      </c>
      <c r="L21" s="9">
        <f t="shared" ca="1" si="6"/>
        <v>0</v>
      </c>
      <c r="M21" s="9">
        <f t="shared" ca="1" si="6"/>
        <v>0</v>
      </c>
      <c r="N21" s="9">
        <f t="shared" ca="1" si="6"/>
        <v>0</v>
      </c>
      <c r="O21" s="9">
        <f t="shared" ca="1" si="6"/>
        <v>0</v>
      </c>
      <c r="P21" s="9">
        <f t="shared" ca="1" si="7"/>
        <v>0</v>
      </c>
      <c r="Q21" s="9">
        <f t="shared" ca="1" si="7"/>
        <v>0</v>
      </c>
      <c r="R21" s="9">
        <f t="shared" ca="1" si="7"/>
        <v>0</v>
      </c>
      <c r="S21" s="9">
        <f t="shared" ca="1" si="7"/>
        <v>-56.78</v>
      </c>
      <c r="T21" s="9">
        <f t="shared" ca="1" si="2"/>
        <v>2112.29</v>
      </c>
      <c r="U21" s="15">
        <f ca="1">U20+Table7[[#This Row],[Total Monthly]]</f>
        <v>43967.83</v>
      </c>
    </row>
    <row r="22" spans="1:21" x14ac:dyDescent="0.25">
      <c r="A22" s="13">
        <f t="shared" si="8"/>
        <v>44013</v>
      </c>
      <c r="B22" s="12" t="str">
        <f t="shared" si="3"/>
        <v>July 2020</v>
      </c>
      <c r="C22" s="9">
        <f t="shared" ca="1" si="9"/>
        <v>4087.5199999999995</v>
      </c>
      <c r="D22" s="9">
        <f t="shared" ca="1" si="9"/>
        <v>-1296.9500000000003</v>
      </c>
      <c r="E22" s="9">
        <f t="shared" ca="1" si="9"/>
        <v>-105</v>
      </c>
      <c r="F22" s="9">
        <f t="shared" ca="1" si="9"/>
        <v>-51.620000000000005</v>
      </c>
      <c r="G22" s="9">
        <f t="shared" ca="1" si="9"/>
        <v>-201.95</v>
      </c>
      <c r="H22" s="9">
        <f t="shared" ca="1" si="9"/>
        <v>-291.47999999999996</v>
      </c>
      <c r="I22" s="9">
        <f t="shared" ca="1" si="9"/>
        <v>-461.56000000000006</v>
      </c>
      <c r="J22" s="9">
        <f t="shared" ca="1" si="9"/>
        <v>0</v>
      </c>
      <c r="K22" s="9">
        <f t="shared" ca="1" si="5"/>
        <v>0</v>
      </c>
      <c r="L22" s="9">
        <f t="shared" ca="1" si="6"/>
        <v>0</v>
      </c>
      <c r="M22" s="9">
        <f t="shared" ca="1" si="6"/>
        <v>0</v>
      </c>
      <c r="N22" s="9">
        <f t="shared" ca="1" si="6"/>
        <v>0</v>
      </c>
      <c r="O22" s="9">
        <f t="shared" ca="1" si="6"/>
        <v>0</v>
      </c>
      <c r="P22" s="9">
        <f t="shared" ca="1" si="7"/>
        <v>0</v>
      </c>
      <c r="Q22" s="9">
        <f t="shared" ca="1" si="7"/>
        <v>0</v>
      </c>
      <c r="R22" s="9">
        <f t="shared" ca="1" si="7"/>
        <v>0</v>
      </c>
      <c r="S22" s="9">
        <f t="shared" ca="1" si="7"/>
        <v>-56.78</v>
      </c>
      <c r="T22" s="9">
        <f t="shared" ca="1" si="2"/>
        <v>1622.1799999999996</v>
      </c>
      <c r="U22" s="15">
        <f ca="1">U21+Table7[[#This Row],[Total Monthly]]</f>
        <v>45590.01</v>
      </c>
    </row>
    <row r="23" spans="1:21" x14ac:dyDescent="0.25">
      <c r="A23" s="13">
        <f t="shared" si="8"/>
        <v>44044</v>
      </c>
      <c r="B23" s="12" t="str">
        <f t="shared" si="3"/>
        <v>August 2020</v>
      </c>
      <c r="C23" s="9">
        <f t="shared" ca="1" si="9"/>
        <v>5288.41</v>
      </c>
      <c r="D23" s="9">
        <f t="shared" ca="1" si="9"/>
        <v>-1159.8500000000001</v>
      </c>
      <c r="E23" s="9">
        <f t="shared" ca="1" si="9"/>
        <v>0</v>
      </c>
      <c r="F23" s="9">
        <f t="shared" ca="1" si="9"/>
        <v>-129.08000000000001</v>
      </c>
      <c r="G23" s="9">
        <f t="shared" ca="1" si="9"/>
        <v>-2503.88</v>
      </c>
      <c r="H23" s="9">
        <f t="shared" ca="1" si="9"/>
        <v>-154.48999999999998</v>
      </c>
      <c r="I23" s="9">
        <f t="shared" ca="1" si="9"/>
        <v>-19.63</v>
      </c>
      <c r="J23" s="9">
        <f t="shared" ca="1" si="9"/>
        <v>-925.68000000000006</v>
      </c>
      <c r="K23" s="9">
        <f t="shared" ca="1" si="5"/>
        <v>0</v>
      </c>
      <c r="L23" s="9">
        <f t="shared" ca="1" si="6"/>
        <v>0</v>
      </c>
      <c r="M23" s="9">
        <f t="shared" ca="1" si="6"/>
        <v>0</v>
      </c>
      <c r="N23" s="9">
        <f t="shared" ca="1" si="6"/>
        <v>0</v>
      </c>
      <c r="O23" s="9">
        <f t="shared" ca="1" si="6"/>
        <v>0</v>
      </c>
      <c r="P23" s="9">
        <f t="shared" ca="1" si="7"/>
        <v>0</v>
      </c>
      <c r="Q23" s="9">
        <f t="shared" ca="1" si="7"/>
        <v>0</v>
      </c>
      <c r="R23" s="9">
        <f t="shared" ca="1" si="7"/>
        <v>0</v>
      </c>
      <c r="S23" s="9">
        <f t="shared" ca="1" si="7"/>
        <v>-106.73</v>
      </c>
      <c r="T23" s="9">
        <f t="shared" ca="1" si="2"/>
        <v>289.06999999999977</v>
      </c>
      <c r="U23" s="15">
        <f ca="1">U22+Table7[[#This Row],[Total Monthly]]</f>
        <v>45879.08</v>
      </c>
    </row>
    <row r="24" spans="1:21" x14ac:dyDescent="0.25">
      <c r="A24" s="13">
        <f t="shared" si="8"/>
        <v>44075</v>
      </c>
      <c r="B24" s="12" t="str">
        <f t="shared" si="3"/>
        <v>September 2020</v>
      </c>
      <c r="C24" s="9">
        <f t="shared" ca="1" si="9"/>
        <v>4184.96</v>
      </c>
      <c r="D24" s="9">
        <f t="shared" ca="1" si="9"/>
        <v>-398.75999999999993</v>
      </c>
      <c r="E24" s="9">
        <f t="shared" ca="1" si="9"/>
        <v>0</v>
      </c>
      <c r="F24" s="9">
        <f t="shared" ca="1" si="9"/>
        <v>-181.8</v>
      </c>
      <c r="G24" s="9">
        <f t="shared" ca="1" si="9"/>
        <v>0</v>
      </c>
      <c r="H24" s="9">
        <f t="shared" ca="1" si="9"/>
        <v>1810.86</v>
      </c>
      <c r="I24" s="9">
        <f t="shared" ca="1" si="9"/>
        <v>-35.31</v>
      </c>
      <c r="J24" s="9">
        <f t="shared" ca="1" si="9"/>
        <v>-33.840000000000003</v>
      </c>
      <c r="K24" s="9">
        <f t="shared" ca="1" si="5"/>
        <v>0</v>
      </c>
      <c r="L24" s="9">
        <f t="shared" ca="1" si="6"/>
        <v>0</v>
      </c>
      <c r="M24" s="9">
        <f t="shared" ca="1" si="6"/>
        <v>0</v>
      </c>
      <c r="N24" s="9">
        <f t="shared" ca="1" si="6"/>
        <v>0</v>
      </c>
      <c r="O24" s="9">
        <f t="shared" ca="1" si="6"/>
        <v>0</v>
      </c>
      <c r="P24" s="9">
        <f t="shared" ca="1" si="7"/>
        <v>0</v>
      </c>
      <c r="Q24" s="9">
        <f t="shared" ca="1" si="7"/>
        <v>-117.26</v>
      </c>
      <c r="R24" s="9">
        <f t="shared" ca="1" si="7"/>
        <v>-1200</v>
      </c>
      <c r="S24" s="9">
        <f t="shared" ca="1" si="7"/>
        <v>-56.78</v>
      </c>
      <c r="T24" s="9">
        <f t="shared" ca="1" si="2"/>
        <v>3973.4199999999992</v>
      </c>
      <c r="U24" s="15">
        <f ca="1">U23+Table7[[#This Row],[Total Monthly]]</f>
        <v>49852.5</v>
      </c>
    </row>
    <row r="25" spans="1:21" x14ac:dyDescent="0.25">
      <c r="A25" s="13">
        <f t="shared" si="8"/>
        <v>44105</v>
      </c>
      <c r="B25" s="12" t="str">
        <f t="shared" si="3"/>
        <v>October 2020</v>
      </c>
      <c r="C25" s="9">
        <f t="shared" ref="C25:O40" ca="1" si="10">SUMIF(INDIRECT("'"&amp;$B25&amp;"'!$F$1:$F$999"), C$2, INDIRECT("'"&amp;$B25&amp;"'!$B$1:$B$999"))</f>
        <v>4184.96</v>
      </c>
      <c r="D25" s="9">
        <f t="shared" ca="1" si="10"/>
        <v>-608.26</v>
      </c>
      <c r="E25" s="9">
        <f t="shared" ca="1" si="10"/>
        <v>-30</v>
      </c>
      <c r="F25" s="9">
        <f t="shared" ca="1" si="10"/>
        <v>-63.61</v>
      </c>
      <c r="G25" s="9">
        <f t="shared" ca="1" si="10"/>
        <v>-110.97</v>
      </c>
      <c r="H25" s="9">
        <f t="shared" ca="1" si="10"/>
        <v>80.790000000000006</v>
      </c>
      <c r="I25" s="9">
        <f t="shared" ca="1" si="10"/>
        <v>-142.68</v>
      </c>
      <c r="J25" s="9">
        <f t="shared" ca="1" si="10"/>
        <v>-250.56</v>
      </c>
      <c r="K25" s="9">
        <f t="shared" ca="1" si="5"/>
        <v>0</v>
      </c>
      <c r="L25" s="9">
        <f t="shared" ca="1" si="6"/>
        <v>0</v>
      </c>
      <c r="M25" s="9">
        <f t="shared" ca="1" si="6"/>
        <v>0</v>
      </c>
      <c r="N25" s="9">
        <f t="shared" ca="1" si="6"/>
        <v>0</v>
      </c>
      <c r="O25" s="9">
        <f t="shared" ca="1" si="6"/>
        <v>0</v>
      </c>
      <c r="P25" s="9">
        <f t="shared" ca="1" si="7"/>
        <v>0</v>
      </c>
      <c r="Q25" s="9">
        <f t="shared" ca="1" si="7"/>
        <v>-118.13</v>
      </c>
      <c r="R25" s="9">
        <f t="shared" ca="1" si="7"/>
        <v>-1200</v>
      </c>
      <c r="S25" s="9">
        <f t="shared" ca="1" si="7"/>
        <v>-154.49</v>
      </c>
      <c r="T25" s="9">
        <f t="shared" ca="1" si="2"/>
        <v>1587.0499999999997</v>
      </c>
      <c r="U25" s="15">
        <f ca="1">U24+Table7[[#This Row],[Total Monthly]]</f>
        <v>51439.55</v>
      </c>
    </row>
    <row r="26" spans="1:21" x14ac:dyDescent="0.25">
      <c r="A26" s="13">
        <f t="shared" si="8"/>
        <v>44136</v>
      </c>
      <c r="B26" s="12" t="str">
        <f t="shared" si="3"/>
        <v>November 2020</v>
      </c>
      <c r="C26" s="9">
        <f t="shared" ca="1" si="10"/>
        <v>4184.96</v>
      </c>
      <c r="D26" s="9">
        <f t="shared" ca="1" si="10"/>
        <v>-399.38999999999993</v>
      </c>
      <c r="E26" s="9">
        <f t="shared" ca="1" si="10"/>
        <v>0</v>
      </c>
      <c r="F26" s="9">
        <f t="shared" ca="1" si="10"/>
        <v>-107.75</v>
      </c>
      <c r="G26" s="9">
        <f t="shared" ca="1" si="10"/>
        <v>-103.18</v>
      </c>
      <c r="H26" s="9">
        <f t="shared" ca="1" si="10"/>
        <v>-859.78</v>
      </c>
      <c r="I26" s="9">
        <f t="shared" ca="1" si="10"/>
        <v>-116.25999999999999</v>
      </c>
      <c r="J26" s="9">
        <f t="shared" ca="1" si="10"/>
        <v>-320.66000000000003</v>
      </c>
      <c r="K26" s="9">
        <f t="shared" ca="1" si="5"/>
        <v>0</v>
      </c>
      <c r="L26" s="9">
        <f t="shared" ca="1" si="6"/>
        <v>0</v>
      </c>
      <c r="M26" s="9">
        <f t="shared" ca="1" si="6"/>
        <v>0</v>
      </c>
      <c r="N26" s="9">
        <f t="shared" ca="1" si="6"/>
        <v>0</v>
      </c>
      <c r="O26" s="9">
        <f t="shared" ca="1" si="6"/>
        <v>0</v>
      </c>
      <c r="P26" s="9">
        <f t="shared" ca="1" si="7"/>
        <v>0</v>
      </c>
      <c r="Q26" s="9">
        <f t="shared" ca="1" si="7"/>
        <v>-40</v>
      </c>
      <c r="R26" s="9">
        <f t="shared" ca="1" si="7"/>
        <v>-1200</v>
      </c>
      <c r="S26" s="9">
        <f t="shared" ca="1" si="7"/>
        <v>-117.78</v>
      </c>
      <c r="T26" s="9">
        <f t="shared" ca="1" si="2"/>
        <v>920.16</v>
      </c>
      <c r="U26" s="15">
        <f ca="1">U25+Table7[[#This Row],[Total Monthly]]</f>
        <v>52359.710000000006</v>
      </c>
    </row>
    <row r="27" spans="1:21" x14ac:dyDescent="0.25">
      <c r="A27" s="13">
        <f t="shared" si="8"/>
        <v>44166</v>
      </c>
      <c r="B27" s="12" t="str">
        <f t="shared" si="3"/>
        <v>December 2020</v>
      </c>
      <c r="C27" s="9">
        <f t="shared" ca="1" si="10"/>
        <v>4184.96</v>
      </c>
      <c r="D27" s="9">
        <f t="shared" ca="1" si="10"/>
        <v>-592.25999999999988</v>
      </c>
      <c r="E27" s="9">
        <f t="shared" ca="1" si="10"/>
        <v>-223.22</v>
      </c>
      <c r="F27" s="9">
        <f t="shared" ca="1" si="10"/>
        <v>-47.870000000000005</v>
      </c>
      <c r="G27" s="9">
        <f t="shared" ca="1" si="10"/>
        <v>0</v>
      </c>
      <c r="H27" s="9">
        <f t="shared" ca="1" si="10"/>
        <v>0</v>
      </c>
      <c r="I27" s="9">
        <f t="shared" ca="1" si="10"/>
        <v>-532.88</v>
      </c>
      <c r="J27" s="9">
        <f t="shared" ca="1" si="10"/>
        <v>-194.42</v>
      </c>
      <c r="K27" s="9">
        <f t="shared" ca="1" si="5"/>
        <v>0</v>
      </c>
      <c r="L27" s="9">
        <f t="shared" ca="1" si="6"/>
        <v>0</v>
      </c>
      <c r="M27" s="9">
        <f t="shared" ca="1" si="6"/>
        <v>0</v>
      </c>
      <c r="N27" s="9">
        <f t="shared" ca="1" si="6"/>
        <v>0</v>
      </c>
      <c r="O27" s="9">
        <f t="shared" ca="1" si="6"/>
        <v>-13.189999999999998</v>
      </c>
      <c r="P27" s="9">
        <f t="shared" ca="1" si="7"/>
        <v>0</v>
      </c>
      <c r="Q27" s="9">
        <f t="shared" ca="1" si="7"/>
        <v>-135.34</v>
      </c>
      <c r="R27" s="9">
        <f t="shared" ca="1" si="7"/>
        <v>-1200</v>
      </c>
      <c r="S27" s="9">
        <f t="shared" ca="1" si="7"/>
        <v>-162.18</v>
      </c>
      <c r="T27" s="9">
        <f t="shared" ca="1" si="2"/>
        <v>1083.5999999999995</v>
      </c>
      <c r="U27" s="15">
        <f ca="1">U26+Table7[[#This Row],[Total Monthly]]</f>
        <v>53443.310000000005</v>
      </c>
    </row>
    <row r="28" spans="1:21" x14ac:dyDescent="0.25">
      <c r="A28" s="13">
        <f t="shared" si="8"/>
        <v>44197</v>
      </c>
      <c r="B28" s="12" t="str">
        <f t="shared" si="3"/>
        <v>January 2021</v>
      </c>
      <c r="C28" s="9">
        <f t="shared" ca="1" si="10"/>
        <v>4191.7699999999995</v>
      </c>
      <c r="D28" s="9">
        <f t="shared" ca="1" si="10"/>
        <v>-983.58000000000015</v>
      </c>
      <c r="E28" s="9">
        <f t="shared" ca="1" si="10"/>
        <v>-20</v>
      </c>
      <c r="F28" s="9">
        <f t="shared" ca="1" si="10"/>
        <v>-61.81</v>
      </c>
      <c r="G28" s="9">
        <f t="shared" ca="1" si="10"/>
        <v>0</v>
      </c>
      <c r="H28" s="9">
        <f t="shared" ca="1" si="10"/>
        <v>0</v>
      </c>
      <c r="I28" s="9">
        <f t="shared" ca="1" si="10"/>
        <v>-898.61000000000013</v>
      </c>
      <c r="J28" s="9">
        <f t="shared" ca="1" si="10"/>
        <v>-512.49</v>
      </c>
      <c r="K28" s="9">
        <f t="shared" ca="1" si="5"/>
        <v>0</v>
      </c>
      <c r="L28" s="9">
        <f t="shared" ca="1" si="6"/>
        <v>-200</v>
      </c>
      <c r="M28" s="9">
        <f t="shared" ca="1" si="6"/>
        <v>0</v>
      </c>
      <c r="N28" s="9">
        <f t="shared" ca="1" si="6"/>
        <v>0</v>
      </c>
      <c r="O28" s="9">
        <f t="shared" ca="1" si="6"/>
        <v>0</v>
      </c>
      <c r="P28" s="9">
        <f t="shared" ca="1" si="7"/>
        <v>0</v>
      </c>
      <c r="Q28" s="9">
        <f t="shared" ca="1" si="7"/>
        <v>-192.89999999999998</v>
      </c>
      <c r="R28" s="9">
        <f t="shared" ca="1" si="7"/>
        <v>-1255</v>
      </c>
      <c r="S28" s="9">
        <f t="shared" ca="1" si="7"/>
        <v>-117.78</v>
      </c>
      <c r="T28" s="9">
        <f t="shared" ca="1" si="2"/>
        <v>-50.400000000000553</v>
      </c>
      <c r="U28" s="15">
        <f ca="1">U27+Table7[[#This Row],[Total Monthly]]</f>
        <v>53392.91</v>
      </c>
    </row>
    <row r="29" spans="1:21" x14ac:dyDescent="0.25">
      <c r="A29" s="13">
        <f t="shared" si="8"/>
        <v>44228</v>
      </c>
      <c r="B29" s="12" t="str">
        <f t="shared" si="3"/>
        <v>February 2021</v>
      </c>
      <c r="C29" s="9">
        <f t="shared" ca="1" si="10"/>
        <v>4191.7699999999995</v>
      </c>
      <c r="D29" s="9">
        <f t="shared" ca="1" si="10"/>
        <v>-494.28000000000003</v>
      </c>
      <c r="E29" s="9">
        <f t="shared" ca="1" si="10"/>
        <v>-32</v>
      </c>
      <c r="F29" s="9">
        <f t="shared" ca="1" si="10"/>
        <v>-239.85999999999999</v>
      </c>
      <c r="G29" s="9">
        <f t="shared" ca="1" si="10"/>
        <v>0</v>
      </c>
      <c r="H29" s="9">
        <f t="shared" ca="1" si="10"/>
        <v>104.79</v>
      </c>
      <c r="I29" s="9">
        <f t="shared" ca="1" si="10"/>
        <v>-44.91</v>
      </c>
      <c r="J29" s="9">
        <f t="shared" ca="1" si="10"/>
        <v>-751.4</v>
      </c>
      <c r="K29" s="9">
        <f t="shared" ca="1" si="5"/>
        <v>0</v>
      </c>
      <c r="L29" s="9">
        <f t="shared" ca="1" si="6"/>
        <v>-47.430000000000007</v>
      </c>
      <c r="M29" s="9">
        <f t="shared" ca="1" si="6"/>
        <v>0</v>
      </c>
      <c r="N29" s="9">
        <f t="shared" ca="1" si="6"/>
        <v>0</v>
      </c>
      <c r="O29" s="9">
        <f t="shared" ca="1" si="6"/>
        <v>0</v>
      </c>
      <c r="P29" s="9">
        <f t="shared" ca="1" si="7"/>
        <v>0</v>
      </c>
      <c r="Q29" s="9">
        <f t="shared" ca="1" si="7"/>
        <v>-124.41</v>
      </c>
      <c r="R29" s="9">
        <f t="shared" ca="1" si="7"/>
        <v>-1200</v>
      </c>
      <c r="S29" s="9">
        <f t="shared" ca="1" si="7"/>
        <v>-117.78</v>
      </c>
      <c r="T29" s="9">
        <f t="shared" ca="1" si="2"/>
        <v>1244.49</v>
      </c>
      <c r="U29" s="15">
        <f ca="1">U28+Table7[[#This Row],[Total Monthly]]</f>
        <v>54637.4</v>
      </c>
    </row>
    <row r="30" spans="1:21" x14ac:dyDescent="0.25">
      <c r="A30" s="13">
        <f t="shared" si="8"/>
        <v>44256</v>
      </c>
      <c r="B30" s="12" t="str">
        <f t="shared" si="3"/>
        <v>March 2021</v>
      </c>
      <c r="C30" s="9">
        <f t="shared" ca="1" si="10"/>
        <v>4191.7699999999995</v>
      </c>
      <c r="D30" s="9">
        <f t="shared" ca="1" si="10"/>
        <v>-559.31999999999982</v>
      </c>
      <c r="E30" s="9">
        <f t="shared" ca="1" si="10"/>
        <v>0</v>
      </c>
      <c r="F30" s="9">
        <f t="shared" ca="1" si="10"/>
        <v>-104.55999999999999</v>
      </c>
      <c r="G30" s="9">
        <f t="shared" ca="1" si="10"/>
        <v>-194.23</v>
      </c>
      <c r="H30" s="9">
        <f t="shared" ca="1" si="10"/>
        <v>55</v>
      </c>
      <c r="I30" s="9">
        <f t="shared" ca="1" si="10"/>
        <v>-88.27</v>
      </c>
      <c r="J30" s="9">
        <f t="shared" ca="1" si="10"/>
        <v>-86.87</v>
      </c>
      <c r="K30" s="9">
        <f t="shared" ca="1" si="5"/>
        <v>0</v>
      </c>
      <c r="L30" s="9">
        <f t="shared" ca="1" si="6"/>
        <v>0</v>
      </c>
      <c r="M30" s="9">
        <f t="shared" ca="1" si="6"/>
        <v>0</v>
      </c>
      <c r="N30" s="9">
        <f t="shared" ca="1" si="6"/>
        <v>0</v>
      </c>
      <c r="O30" s="9">
        <f t="shared" ca="1" si="6"/>
        <v>0</v>
      </c>
      <c r="P30" s="9">
        <f t="shared" ca="1" si="7"/>
        <v>0</v>
      </c>
      <c r="Q30" s="9">
        <f t="shared" ca="1" si="7"/>
        <v>-131.15</v>
      </c>
      <c r="R30" s="9">
        <f t="shared" ca="1" si="7"/>
        <v>-1200</v>
      </c>
      <c r="S30" s="9">
        <f t="shared" ca="1" si="7"/>
        <v>-117.78</v>
      </c>
      <c r="T30" s="9">
        <f t="shared" ca="1" si="2"/>
        <v>1764.5899999999997</v>
      </c>
      <c r="U30" s="15">
        <f ca="1">U29+Table7[[#This Row],[Total Monthly]]</f>
        <v>56401.99</v>
      </c>
    </row>
    <row r="31" spans="1:21" x14ac:dyDescent="0.25">
      <c r="A31" s="13">
        <f t="shared" si="8"/>
        <v>44287</v>
      </c>
      <c r="B31" s="12" t="str">
        <f t="shared" si="3"/>
        <v>April 2021</v>
      </c>
      <c r="C31" s="9">
        <f t="shared" ca="1" si="10"/>
        <v>4708.01</v>
      </c>
      <c r="D31" s="9">
        <f t="shared" ca="1" si="10"/>
        <v>-666.47000000000014</v>
      </c>
      <c r="E31" s="9">
        <f t="shared" ca="1" si="10"/>
        <v>-336.24</v>
      </c>
      <c r="F31" s="9">
        <f t="shared" ca="1" si="10"/>
        <v>-268.33</v>
      </c>
      <c r="G31" s="9">
        <f t="shared" ca="1" si="10"/>
        <v>-511.65999999999997</v>
      </c>
      <c r="H31" s="9">
        <f t="shared" ca="1" si="10"/>
        <v>-475.31</v>
      </c>
      <c r="I31" s="9">
        <f t="shared" ca="1" si="10"/>
        <v>-86.64</v>
      </c>
      <c r="J31" s="9">
        <f t="shared" ca="1" si="10"/>
        <v>-39.869999999999997</v>
      </c>
      <c r="K31" s="9">
        <f t="shared" ca="1" si="5"/>
        <v>0</v>
      </c>
      <c r="L31" s="9">
        <f t="shared" ca="1" si="6"/>
        <v>-250</v>
      </c>
      <c r="M31" s="9">
        <f t="shared" ca="1" si="6"/>
        <v>0</v>
      </c>
      <c r="N31" s="9">
        <f t="shared" ca="1" si="6"/>
        <v>0</v>
      </c>
      <c r="O31" s="9">
        <f t="shared" ca="1" si="6"/>
        <v>0</v>
      </c>
      <c r="P31" s="9">
        <f t="shared" ca="1" si="7"/>
        <v>0</v>
      </c>
      <c r="Q31" s="9">
        <f t="shared" ca="1" si="7"/>
        <v>0</v>
      </c>
      <c r="R31" s="9">
        <f t="shared" ca="1" si="7"/>
        <v>-1200</v>
      </c>
      <c r="S31" s="9">
        <f t="shared" ca="1" si="7"/>
        <v>-117.78</v>
      </c>
      <c r="T31" s="9">
        <f t="shared" ca="1" si="2"/>
        <v>755.70999999999913</v>
      </c>
      <c r="U31" s="15">
        <f ca="1">U30+Table7[[#This Row],[Total Monthly]]</f>
        <v>57157.7</v>
      </c>
    </row>
    <row r="32" spans="1:21" x14ac:dyDescent="0.25">
      <c r="A32" s="13">
        <f t="shared" si="8"/>
        <v>44317</v>
      </c>
      <c r="B32" s="12" t="str">
        <f t="shared" si="3"/>
        <v>May 2021</v>
      </c>
      <c r="C32" s="9">
        <f t="shared" ca="1" si="10"/>
        <v>4191.7699999999995</v>
      </c>
      <c r="D32" s="9">
        <f t="shared" ca="1" si="10"/>
        <v>-1054.1099999999999</v>
      </c>
      <c r="E32" s="9">
        <f t="shared" ca="1" si="10"/>
        <v>3660.72</v>
      </c>
      <c r="F32" s="9">
        <f t="shared" ca="1" si="10"/>
        <v>-45.03</v>
      </c>
      <c r="G32" s="9">
        <f t="shared" ca="1" si="10"/>
        <v>0</v>
      </c>
      <c r="H32" s="9">
        <f t="shared" ca="1" si="10"/>
        <v>0</v>
      </c>
      <c r="I32" s="9">
        <f t="shared" ca="1" si="10"/>
        <v>-111.89</v>
      </c>
      <c r="J32" s="9">
        <f t="shared" ca="1" si="10"/>
        <v>-296.69</v>
      </c>
      <c r="K32" s="9">
        <f t="shared" ca="1" si="5"/>
        <v>0</v>
      </c>
      <c r="L32" s="9">
        <f t="shared" ca="1" si="6"/>
        <v>0</v>
      </c>
      <c r="M32" s="9">
        <f t="shared" ca="1" si="6"/>
        <v>0</v>
      </c>
      <c r="N32" s="9">
        <f t="shared" ca="1" si="6"/>
        <v>0</v>
      </c>
      <c r="O32" s="9">
        <f t="shared" ca="1" si="6"/>
        <v>0</v>
      </c>
      <c r="P32" s="9">
        <f t="shared" ca="1" si="7"/>
        <v>0</v>
      </c>
      <c r="Q32" s="9">
        <f t="shared" ca="1" si="7"/>
        <v>0</v>
      </c>
      <c r="R32" s="9">
        <f t="shared" ca="1" si="7"/>
        <v>-1200</v>
      </c>
      <c r="S32" s="9">
        <f t="shared" ca="1" si="7"/>
        <v>-117.78</v>
      </c>
      <c r="T32" s="9">
        <f t="shared" ca="1" si="2"/>
        <v>5026.9900000000007</v>
      </c>
      <c r="U32" s="15">
        <f ca="1">U31+Table7[[#This Row],[Total Monthly]]</f>
        <v>62184.689999999995</v>
      </c>
    </row>
    <row r="33" spans="1:24" x14ac:dyDescent="0.25">
      <c r="A33" s="13">
        <f t="shared" si="8"/>
        <v>44348</v>
      </c>
      <c r="B33" s="12" t="str">
        <f t="shared" si="3"/>
        <v>June 2021</v>
      </c>
      <c r="C33" s="9">
        <f t="shared" ca="1" si="10"/>
        <v>4261.32</v>
      </c>
      <c r="D33" s="9">
        <f t="shared" ca="1" si="10"/>
        <v>-833.3</v>
      </c>
      <c r="E33" s="9">
        <f t="shared" ca="1" si="10"/>
        <v>-195</v>
      </c>
      <c r="F33" s="9">
        <f t="shared" ca="1" si="10"/>
        <v>-82.700000000000017</v>
      </c>
      <c r="G33" s="9">
        <f t="shared" ca="1" si="10"/>
        <v>0</v>
      </c>
      <c r="H33" s="9">
        <f t="shared" ca="1" si="10"/>
        <v>0</v>
      </c>
      <c r="I33" s="9">
        <f t="shared" ca="1" si="10"/>
        <v>-169.6</v>
      </c>
      <c r="J33" s="9">
        <f t="shared" ca="1" si="10"/>
        <v>-108.50999999999999</v>
      </c>
      <c r="K33" s="9">
        <f t="shared" ca="1" si="5"/>
        <v>0</v>
      </c>
      <c r="L33" s="9">
        <f t="shared" ca="1" si="6"/>
        <v>-250</v>
      </c>
      <c r="M33" s="9">
        <f t="shared" ca="1" si="6"/>
        <v>0</v>
      </c>
      <c r="N33" s="9">
        <f t="shared" ca="1" si="6"/>
        <v>0</v>
      </c>
      <c r="O33" s="9">
        <f t="shared" ca="1" si="6"/>
        <v>0</v>
      </c>
      <c r="P33" s="9">
        <f t="shared" ca="1" si="7"/>
        <v>0</v>
      </c>
      <c r="Q33" s="9">
        <f t="shared" ca="1" si="7"/>
        <v>-137.88999999999999</v>
      </c>
      <c r="R33" s="9">
        <f t="shared" ca="1" si="7"/>
        <v>-1200</v>
      </c>
      <c r="S33" s="9">
        <f t="shared" ca="1" si="7"/>
        <v>-118.81</v>
      </c>
      <c r="T33" s="9">
        <f t="shared" ca="1" si="2"/>
        <v>1165.5100000000004</v>
      </c>
      <c r="U33" s="15">
        <f ca="1">U32+Table7[[#This Row],[Total Monthly]]</f>
        <v>63350.2</v>
      </c>
    </row>
    <row r="34" spans="1:24" x14ac:dyDescent="0.25">
      <c r="A34" s="13">
        <f t="shared" si="8"/>
        <v>44378</v>
      </c>
      <c r="B34" s="12" t="str">
        <f t="shared" si="3"/>
        <v>July 2021</v>
      </c>
      <c r="C34" s="9">
        <f t="shared" ca="1" si="10"/>
        <v>4366.29</v>
      </c>
      <c r="D34" s="9">
        <f t="shared" ca="1" si="10"/>
        <v>-744.39999999999986</v>
      </c>
      <c r="E34" s="9">
        <f t="shared" ca="1" si="10"/>
        <v>117.3</v>
      </c>
      <c r="F34" s="9">
        <f t="shared" ca="1" si="10"/>
        <v>-335.72</v>
      </c>
      <c r="G34" s="9">
        <f t="shared" ca="1" si="10"/>
        <v>0</v>
      </c>
      <c r="H34" s="9">
        <f t="shared" ca="1" si="10"/>
        <v>-481.81</v>
      </c>
      <c r="I34" s="9">
        <f t="shared" ca="1" si="10"/>
        <v>-59.71</v>
      </c>
      <c r="J34" s="9">
        <f t="shared" ca="1" si="10"/>
        <v>1829.9099999999999</v>
      </c>
      <c r="K34" s="9">
        <f t="shared" ca="1" si="5"/>
        <v>0</v>
      </c>
      <c r="L34" s="9">
        <f t="shared" ca="1" si="6"/>
        <v>0</v>
      </c>
      <c r="M34" s="9">
        <f t="shared" ca="1" si="6"/>
        <v>-148.80000000000001</v>
      </c>
      <c r="N34" s="9">
        <f t="shared" ca="1" si="6"/>
        <v>-1547.6399999999999</v>
      </c>
      <c r="O34" s="9">
        <f t="shared" ca="1" si="6"/>
        <v>0</v>
      </c>
      <c r="P34" s="9">
        <f t="shared" ca="1" si="7"/>
        <v>0</v>
      </c>
      <c r="Q34" s="9">
        <f t="shared" ca="1" si="7"/>
        <v>0</v>
      </c>
      <c r="R34" s="9">
        <f t="shared" ca="1" si="7"/>
        <v>-1200</v>
      </c>
      <c r="S34" s="9">
        <f t="shared" ca="1" si="7"/>
        <v>-118.81</v>
      </c>
      <c r="T34" s="9">
        <f t="shared" ca="1" si="2"/>
        <v>1676.6099999999997</v>
      </c>
      <c r="U34" s="15">
        <f ca="1">U33+Table7[[#This Row],[Total Monthly]]</f>
        <v>65026.81</v>
      </c>
    </row>
    <row r="35" spans="1:24" x14ac:dyDescent="0.25">
      <c r="A35" s="13">
        <f t="shared" si="8"/>
        <v>44409</v>
      </c>
      <c r="B35" s="12" t="str">
        <f t="shared" ref="B35:B98" si="11">CONCATENATE(TEXT(A35, "mmmm"), " ", TEXT(A35, "yyyy"))</f>
        <v>August 2021</v>
      </c>
      <c r="C35" s="9">
        <f t="shared" ca="1" si="10"/>
        <v>4366.29</v>
      </c>
      <c r="D35" s="9">
        <f t="shared" ca="1" si="10"/>
        <v>-1224.3999999999999</v>
      </c>
      <c r="E35" s="9">
        <f t="shared" ca="1" si="10"/>
        <v>266.19</v>
      </c>
      <c r="F35" s="9">
        <f t="shared" ca="1" si="10"/>
        <v>-140.91</v>
      </c>
      <c r="G35" s="9">
        <f t="shared" ca="1" si="10"/>
        <v>0</v>
      </c>
      <c r="H35" s="9">
        <f t="shared" ca="1" si="10"/>
        <v>0</v>
      </c>
      <c r="I35" s="9">
        <f t="shared" ca="1" si="10"/>
        <v>-68.5</v>
      </c>
      <c r="J35" s="9">
        <f t="shared" ca="1" si="10"/>
        <v>-81.02</v>
      </c>
      <c r="K35" s="9">
        <f t="shared" ca="1" si="5"/>
        <v>0</v>
      </c>
      <c r="L35" s="9">
        <f t="shared" ca="1" si="6"/>
        <v>0</v>
      </c>
      <c r="M35" s="9">
        <f t="shared" ca="1" si="6"/>
        <v>0</v>
      </c>
      <c r="N35" s="9">
        <f t="shared" ca="1" si="6"/>
        <v>0</v>
      </c>
      <c r="O35" s="9">
        <f t="shared" ca="1" si="6"/>
        <v>0</v>
      </c>
      <c r="P35" s="9">
        <f t="shared" ca="1" si="7"/>
        <v>0</v>
      </c>
      <c r="Q35" s="9">
        <f t="shared" ca="1" si="7"/>
        <v>0</v>
      </c>
      <c r="R35" s="9">
        <f t="shared" ca="1" si="7"/>
        <v>-1200</v>
      </c>
      <c r="S35" s="9">
        <f t="shared" ca="1" si="7"/>
        <v>-118.81</v>
      </c>
      <c r="T35" s="9">
        <f t="shared" ca="1" si="2"/>
        <v>1798.8399999999988</v>
      </c>
      <c r="U35" s="15">
        <f ca="1">U34+Table7[[#This Row],[Total Monthly]]</f>
        <v>66825.649999999994</v>
      </c>
    </row>
    <row r="36" spans="1:24" x14ac:dyDescent="0.25">
      <c r="A36" s="13">
        <f t="shared" si="8"/>
        <v>44440</v>
      </c>
      <c r="B36" s="12" t="str">
        <f t="shared" si="11"/>
        <v>September 2021</v>
      </c>
      <c r="C36" s="9">
        <f t="shared" ca="1" si="10"/>
        <v>4367.21</v>
      </c>
      <c r="D36" s="9">
        <f t="shared" ca="1" si="10"/>
        <v>-1017.3900000000001</v>
      </c>
      <c r="E36" s="9">
        <f t="shared" ca="1" si="10"/>
        <v>-14.06</v>
      </c>
      <c r="F36" s="9">
        <f t="shared" ca="1" si="10"/>
        <v>-70.77000000000001</v>
      </c>
      <c r="G36" s="9">
        <f t="shared" ca="1" si="10"/>
        <v>-7.76</v>
      </c>
      <c r="H36" s="9">
        <f t="shared" ca="1" si="10"/>
        <v>0</v>
      </c>
      <c r="I36" s="9">
        <f t="shared" ca="1" si="10"/>
        <v>-71.77</v>
      </c>
      <c r="J36" s="9">
        <f t="shared" ca="1" si="10"/>
        <v>-1325.69</v>
      </c>
      <c r="K36" s="9">
        <f t="shared" ca="1" si="5"/>
        <v>0</v>
      </c>
      <c r="L36" s="9">
        <f t="shared" ca="1" si="5"/>
        <v>-250</v>
      </c>
      <c r="M36" s="9">
        <f t="shared" ca="1" si="5"/>
        <v>0</v>
      </c>
      <c r="N36" s="9">
        <f t="shared" ca="1" si="5"/>
        <v>0</v>
      </c>
      <c r="O36" s="9">
        <f t="shared" ca="1" si="5"/>
        <v>-36.75</v>
      </c>
      <c r="P36" s="9">
        <f t="shared" ca="1" si="7"/>
        <v>0</v>
      </c>
      <c r="Q36" s="9">
        <f t="shared" ca="1" si="7"/>
        <v>-22.74</v>
      </c>
      <c r="R36" s="9">
        <f t="shared" ca="1" si="7"/>
        <v>-1235</v>
      </c>
      <c r="S36" s="9">
        <f t="shared" ca="1" si="7"/>
        <v>-124.36</v>
      </c>
      <c r="T36" s="9">
        <f t="shared" ref="T36:T67" ca="1" si="12">SUM(INDIRECT("'"&amp;B36&amp;"'!B1:B999"))</f>
        <v>190.92000000000147</v>
      </c>
      <c r="U36" s="15">
        <f ca="1">U35+Table7[[#This Row],[Total Monthly]]</f>
        <v>67016.569999999992</v>
      </c>
    </row>
    <row r="37" spans="1:24" x14ac:dyDescent="0.25">
      <c r="A37" s="13">
        <f t="shared" si="8"/>
        <v>44470</v>
      </c>
      <c r="B37" s="12" t="str">
        <f t="shared" si="11"/>
        <v>October 2021</v>
      </c>
      <c r="C37" s="9">
        <f t="shared" ca="1" si="10"/>
        <v>4477.26</v>
      </c>
      <c r="D37" s="9">
        <f t="shared" ca="1" si="10"/>
        <v>-819.47</v>
      </c>
      <c r="E37" s="9">
        <f t="shared" ca="1" si="10"/>
        <v>-21.610000000000014</v>
      </c>
      <c r="F37" s="9">
        <f t="shared" ca="1" si="10"/>
        <v>-53.250000000000021</v>
      </c>
      <c r="G37" s="9">
        <f t="shared" ca="1" si="10"/>
        <v>0</v>
      </c>
      <c r="H37" s="9">
        <f t="shared" ca="1" si="10"/>
        <v>-199.77</v>
      </c>
      <c r="I37" s="9">
        <f t="shared" ca="1" si="10"/>
        <v>-125.47999999999999</v>
      </c>
      <c r="J37" s="9">
        <f t="shared" ca="1" si="10"/>
        <v>-170.92000000000002</v>
      </c>
      <c r="K37" s="9">
        <f t="shared" ca="1" si="10"/>
        <v>0</v>
      </c>
      <c r="L37" s="9">
        <f t="shared" ca="1" si="10"/>
        <v>0</v>
      </c>
      <c r="M37" s="9">
        <f t="shared" ca="1" si="10"/>
        <v>-162</v>
      </c>
      <c r="N37" s="9">
        <f t="shared" ca="1" si="10"/>
        <v>0</v>
      </c>
      <c r="O37" s="9">
        <f t="shared" ca="1" si="10"/>
        <v>0</v>
      </c>
      <c r="P37" s="9">
        <f t="shared" ca="1" si="7"/>
        <v>0</v>
      </c>
      <c r="Q37" s="9">
        <f t="shared" ca="1" si="7"/>
        <v>-11.55</v>
      </c>
      <c r="R37" s="9">
        <f t="shared" ca="1" si="7"/>
        <v>-1235</v>
      </c>
      <c r="S37" s="9">
        <f t="shared" ca="1" si="7"/>
        <v>-126.39</v>
      </c>
      <c r="T37" s="9">
        <f t="shared" ca="1" si="12"/>
        <v>1551.8200000000011</v>
      </c>
      <c r="U37" s="15">
        <f ca="1">U36+Table7[[#This Row],[Total Monthly]]</f>
        <v>68568.39</v>
      </c>
    </row>
    <row r="38" spans="1:24" x14ac:dyDescent="0.25">
      <c r="A38" s="13">
        <f t="shared" si="8"/>
        <v>44501</v>
      </c>
      <c r="B38" s="12" t="str">
        <f t="shared" si="11"/>
        <v>November 2021</v>
      </c>
      <c r="C38" s="9">
        <f t="shared" ca="1" si="10"/>
        <v>4685.58</v>
      </c>
      <c r="D38" s="9">
        <f t="shared" ca="1" si="10"/>
        <v>-979.48000000000013</v>
      </c>
      <c r="E38" s="9">
        <f t="shared" ca="1" si="10"/>
        <v>-211.82</v>
      </c>
      <c r="F38" s="9">
        <f t="shared" ca="1" si="10"/>
        <v>-181.05</v>
      </c>
      <c r="G38" s="9">
        <f t="shared" ca="1" si="10"/>
        <v>0</v>
      </c>
      <c r="H38" s="9">
        <f t="shared" ca="1" si="10"/>
        <v>-202.03</v>
      </c>
      <c r="I38" s="9">
        <f t="shared" ca="1" si="10"/>
        <v>-158.33999999999997</v>
      </c>
      <c r="J38" s="9">
        <f t="shared" ca="1" si="10"/>
        <v>-39.06</v>
      </c>
      <c r="K38" s="9">
        <f t="shared" ca="1" si="10"/>
        <v>0</v>
      </c>
      <c r="L38" s="9">
        <f t="shared" ca="1" si="10"/>
        <v>0</v>
      </c>
      <c r="M38" s="9">
        <f t="shared" ca="1" si="10"/>
        <v>0</v>
      </c>
      <c r="N38" s="9">
        <f t="shared" ca="1" si="10"/>
        <v>-192.31</v>
      </c>
      <c r="O38" s="9">
        <f t="shared" ca="1" si="10"/>
        <v>-31.5</v>
      </c>
      <c r="P38" s="9">
        <f t="shared" ca="1" si="7"/>
        <v>0</v>
      </c>
      <c r="Q38" s="9">
        <f t="shared" ca="1" si="7"/>
        <v>0</v>
      </c>
      <c r="R38" s="9">
        <f t="shared" ca="1" si="7"/>
        <v>-1235</v>
      </c>
      <c r="S38" s="9">
        <f t="shared" ca="1" si="7"/>
        <v>-124.36</v>
      </c>
      <c r="T38" s="9">
        <f t="shared" ca="1" si="12"/>
        <v>1330.6299999999987</v>
      </c>
      <c r="U38" s="15">
        <f ca="1">U37+Table7[[#This Row],[Total Monthly]]</f>
        <v>69899.02</v>
      </c>
    </row>
    <row r="39" spans="1:24" x14ac:dyDescent="0.25">
      <c r="A39" s="13">
        <f t="shared" si="8"/>
        <v>44531</v>
      </c>
      <c r="B39" s="12" t="str">
        <f t="shared" si="11"/>
        <v>December 2021</v>
      </c>
      <c r="C39" s="9">
        <f t="shared" ca="1" si="10"/>
        <v>4743.5499999999993</v>
      </c>
      <c r="D39" s="9">
        <f t="shared" ca="1" si="10"/>
        <v>-1184.2899999999991</v>
      </c>
      <c r="E39" s="9">
        <f t="shared" ca="1" si="10"/>
        <v>-13.87</v>
      </c>
      <c r="F39" s="9">
        <f t="shared" ca="1" si="10"/>
        <v>-86.690000000000012</v>
      </c>
      <c r="G39" s="9">
        <f t="shared" ca="1" si="10"/>
        <v>-22.19</v>
      </c>
      <c r="H39" s="9">
        <f t="shared" ca="1" si="10"/>
        <v>-538.16999999999996</v>
      </c>
      <c r="I39" s="9">
        <f t="shared" ca="1" si="10"/>
        <v>-115.77000000000001</v>
      </c>
      <c r="J39" s="9">
        <f t="shared" ca="1" si="10"/>
        <v>-78.55</v>
      </c>
      <c r="K39" s="9">
        <f t="shared" ca="1" si="10"/>
        <v>0</v>
      </c>
      <c r="L39" s="9">
        <f t="shared" ca="1" si="10"/>
        <v>0</v>
      </c>
      <c r="M39" s="9">
        <f t="shared" ca="1" si="10"/>
        <v>0</v>
      </c>
      <c r="N39" s="9">
        <f t="shared" ca="1" si="10"/>
        <v>0</v>
      </c>
      <c r="O39" s="9">
        <f t="shared" ca="1" si="10"/>
        <v>-74.529999999999987</v>
      </c>
      <c r="P39" s="9">
        <f t="shared" ca="1" si="7"/>
        <v>0</v>
      </c>
      <c r="Q39" s="9">
        <f t="shared" ca="1" si="7"/>
        <v>-112.49</v>
      </c>
      <c r="R39" s="9">
        <f t="shared" ca="1" si="7"/>
        <v>-1235</v>
      </c>
      <c r="S39" s="9">
        <f t="shared" ca="1" si="7"/>
        <v>-124.36</v>
      </c>
      <c r="T39" s="9">
        <f t="shared" ca="1" si="12"/>
        <v>1157.6399999999987</v>
      </c>
      <c r="U39" s="15">
        <f ca="1">U38+Table7[[#This Row],[Total Monthly]]</f>
        <v>71056.66</v>
      </c>
    </row>
    <row r="40" spans="1:24" x14ac:dyDescent="0.25">
      <c r="A40" s="13">
        <f t="shared" si="8"/>
        <v>44562</v>
      </c>
      <c r="B40" s="12" t="str">
        <f t="shared" si="11"/>
        <v>January 2022</v>
      </c>
      <c r="C40" s="9">
        <f t="shared" ca="1" si="10"/>
        <v>7357.02</v>
      </c>
      <c r="D40" s="9">
        <f t="shared" ca="1" si="10"/>
        <v>-1267.0099999999998</v>
      </c>
      <c r="E40" s="9">
        <f t="shared" ca="1" si="10"/>
        <v>-14.19</v>
      </c>
      <c r="F40" s="9">
        <f t="shared" ca="1" si="10"/>
        <v>-181.58</v>
      </c>
      <c r="G40" s="9">
        <f t="shared" ca="1" si="10"/>
        <v>0</v>
      </c>
      <c r="H40" s="9">
        <f t="shared" ca="1" si="10"/>
        <v>-4126.3599999999997</v>
      </c>
      <c r="I40" s="9">
        <f t="shared" ca="1" si="10"/>
        <v>-115.52</v>
      </c>
      <c r="J40" s="9">
        <f t="shared" ca="1" si="10"/>
        <v>-169.84</v>
      </c>
      <c r="K40" s="9">
        <f t="shared" ca="1" si="10"/>
        <v>0</v>
      </c>
      <c r="L40" s="9">
        <f t="shared" ca="1" si="10"/>
        <v>0</v>
      </c>
      <c r="M40" s="9">
        <f t="shared" ca="1" si="10"/>
        <v>0</v>
      </c>
      <c r="N40" s="9">
        <f t="shared" ca="1" si="10"/>
        <v>0</v>
      </c>
      <c r="O40" s="9">
        <f t="shared" ca="1" si="10"/>
        <v>0</v>
      </c>
      <c r="P40" s="9">
        <f t="shared" ca="1" si="7"/>
        <v>0</v>
      </c>
      <c r="Q40" s="9">
        <f t="shared" ca="1" si="7"/>
        <v>0</v>
      </c>
      <c r="R40" s="9">
        <f t="shared" ca="1" si="7"/>
        <v>-1235</v>
      </c>
      <c r="S40" s="9">
        <f t="shared" ca="1" si="7"/>
        <v>-124.36</v>
      </c>
      <c r="T40" s="9">
        <f t="shared" ca="1" si="12"/>
        <v>123.1599999999999</v>
      </c>
      <c r="U40" s="15">
        <f ca="1">U39+Table7[[#This Row],[Total Monthly]]</f>
        <v>71179.820000000007</v>
      </c>
    </row>
    <row r="41" spans="1:24" x14ac:dyDescent="0.25">
      <c r="A41" s="13">
        <f t="shared" si="8"/>
        <v>44593</v>
      </c>
      <c r="B41" s="12" t="str">
        <f t="shared" si="11"/>
        <v>February 2022</v>
      </c>
      <c r="C41" s="9">
        <f t="shared" ref="C41:O64" ca="1" si="13">SUMIF(INDIRECT("'"&amp;$B41&amp;"'!$F$1:$F$999"), C$2, INDIRECT("'"&amp;$B41&amp;"'!$B$1:$B$999"))</f>
        <v>4576.25</v>
      </c>
      <c r="D41" s="9">
        <f t="shared" ca="1" si="13"/>
        <v>-1113.01</v>
      </c>
      <c r="E41" s="9">
        <f t="shared" ca="1" si="13"/>
        <v>148.34</v>
      </c>
      <c r="F41" s="9">
        <f t="shared" ca="1" si="13"/>
        <v>-146.42999999999998</v>
      </c>
      <c r="G41" s="9">
        <f t="shared" ca="1" si="13"/>
        <v>0</v>
      </c>
      <c r="H41" s="9">
        <f t="shared" ca="1" si="13"/>
        <v>0</v>
      </c>
      <c r="I41" s="9">
        <f t="shared" ca="1" si="13"/>
        <v>-127.77000000000001</v>
      </c>
      <c r="J41" s="9">
        <f t="shared" ca="1" si="13"/>
        <v>-52.629999999999995</v>
      </c>
      <c r="K41" s="9">
        <f t="shared" ca="1" si="13"/>
        <v>0</v>
      </c>
      <c r="L41" s="9">
        <f t="shared" ca="1" si="13"/>
        <v>0</v>
      </c>
      <c r="M41" s="9">
        <f t="shared" ref="M41:N104" ca="1" si="14">SUMIF(INDIRECT("'"&amp;$B41&amp;"'!$F$1:$F$999"), M$2, INDIRECT("'"&amp;$B41&amp;"'!$B$1:$B$999"))</f>
        <v>0</v>
      </c>
      <c r="N41" s="9">
        <f t="shared" ca="1" si="14"/>
        <v>0</v>
      </c>
      <c r="O41" s="9">
        <f t="shared" ca="1" si="13"/>
        <v>0</v>
      </c>
      <c r="P41" s="9">
        <f t="shared" ca="1" si="7"/>
        <v>0</v>
      </c>
      <c r="Q41" s="9">
        <f t="shared" ca="1" si="7"/>
        <v>-8.34</v>
      </c>
      <c r="R41" s="9">
        <f t="shared" ca="1" si="7"/>
        <v>-1235</v>
      </c>
      <c r="S41" s="9">
        <f t="shared" ca="1" si="7"/>
        <v>-119.15</v>
      </c>
      <c r="T41" s="9">
        <f t="shared" ca="1" si="12"/>
        <v>1922.2599999999995</v>
      </c>
      <c r="U41" s="15">
        <f ca="1">U40+Table7[[#This Row],[Total Monthly]]</f>
        <v>73102.080000000002</v>
      </c>
    </row>
    <row r="42" spans="1:24" x14ac:dyDescent="0.25">
      <c r="A42" s="13">
        <f t="shared" si="8"/>
        <v>44621</v>
      </c>
      <c r="B42" s="12" t="str">
        <f t="shared" si="11"/>
        <v>March 2022</v>
      </c>
      <c r="C42" s="9">
        <f ca="1">SUMIF(INDIRECT("'"&amp;$B42&amp;"'!$F$1:$F$999"), C$2, INDIRECT("'"&amp;$B42&amp;"'!$B$1:$B$999"))</f>
        <v>3803.31</v>
      </c>
      <c r="D42" s="9">
        <f t="shared" ca="1" si="13"/>
        <v>-704.78</v>
      </c>
      <c r="E42" s="9">
        <f t="shared" ca="1" si="13"/>
        <v>-2079.8000000000002</v>
      </c>
      <c r="F42" s="9">
        <f t="shared" ca="1" si="13"/>
        <v>-128.18</v>
      </c>
      <c r="G42" s="9">
        <f t="shared" ca="1" si="13"/>
        <v>0</v>
      </c>
      <c r="H42" s="9">
        <f t="shared" ca="1" si="13"/>
        <v>199.77</v>
      </c>
      <c r="I42" s="9">
        <f t="shared" ca="1" si="13"/>
        <v>0</v>
      </c>
      <c r="J42" s="9">
        <f t="shared" ca="1" si="13"/>
        <v>0</v>
      </c>
      <c r="K42" s="9">
        <f t="shared" ca="1" si="13"/>
        <v>0</v>
      </c>
      <c r="L42" s="9">
        <f t="shared" ca="1" si="13"/>
        <v>0</v>
      </c>
      <c r="M42" s="9">
        <f t="shared" ca="1" si="14"/>
        <v>-84</v>
      </c>
      <c r="N42" s="9">
        <f t="shared" ca="1" si="14"/>
        <v>0</v>
      </c>
      <c r="O42" s="9">
        <f t="shared" ca="1" si="13"/>
        <v>0</v>
      </c>
      <c r="P42" s="9">
        <f t="shared" ca="1" si="7"/>
        <v>0</v>
      </c>
      <c r="Q42" s="9">
        <f t="shared" ca="1" si="7"/>
        <v>0</v>
      </c>
      <c r="R42" s="9">
        <f t="shared" ca="1" si="7"/>
        <v>-1235</v>
      </c>
      <c r="S42" s="9">
        <f t="shared" ca="1" si="7"/>
        <v>0</v>
      </c>
      <c r="T42" s="9">
        <f t="shared" ca="1" si="12"/>
        <v>-228.67999999999984</v>
      </c>
      <c r="U42" s="15">
        <f ca="1">U41+Table7[[#This Row],[Total Monthly]]</f>
        <v>72873.400000000009</v>
      </c>
      <c r="X42" s="18"/>
    </row>
    <row r="43" spans="1:24" x14ac:dyDescent="0.25">
      <c r="A43" s="13">
        <f t="shared" si="8"/>
        <v>44652</v>
      </c>
      <c r="B43" s="12" t="str">
        <f t="shared" si="11"/>
        <v>April 2022</v>
      </c>
      <c r="C43" s="9">
        <f t="shared" ca="1" si="13"/>
        <v>3972.2299999999996</v>
      </c>
      <c r="D43" s="9">
        <f t="shared" ca="1" si="13"/>
        <v>-652.78</v>
      </c>
      <c r="E43" s="9">
        <f t="shared" ca="1" si="13"/>
        <v>-100</v>
      </c>
      <c r="F43" s="9">
        <f t="shared" ca="1" si="13"/>
        <v>-345.59</v>
      </c>
      <c r="G43" s="9">
        <f t="shared" ca="1" si="13"/>
        <v>0</v>
      </c>
      <c r="H43" s="9">
        <f t="shared" ca="1" si="13"/>
        <v>0</v>
      </c>
      <c r="I43" s="9">
        <f t="shared" ca="1" si="13"/>
        <v>-210.48000000000002</v>
      </c>
      <c r="J43" s="9">
        <f t="shared" ca="1" si="13"/>
        <v>-388.63</v>
      </c>
      <c r="K43" s="9">
        <f t="shared" ca="1" si="13"/>
        <v>0</v>
      </c>
      <c r="L43" s="9">
        <f t="shared" ca="1" si="13"/>
        <v>0</v>
      </c>
      <c r="M43" s="9">
        <f t="shared" ca="1" si="14"/>
        <v>-138.75</v>
      </c>
      <c r="N43" s="9">
        <f t="shared" ca="1" si="14"/>
        <v>0</v>
      </c>
      <c r="O43" s="9">
        <f t="shared" ca="1" si="13"/>
        <v>0</v>
      </c>
      <c r="P43" s="9">
        <f t="shared" ca="1" si="7"/>
        <v>0</v>
      </c>
      <c r="Q43" s="9">
        <f t="shared" ca="1" si="7"/>
        <v>-80.569999999999993</v>
      </c>
      <c r="R43" s="9">
        <f t="shared" ca="1" si="7"/>
        <v>-1235</v>
      </c>
      <c r="S43" s="9">
        <f t="shared" ca="1" si="7"/>
        <v>-244.63</v>
      </c>
      <c r="T43" s="9">
        <f t="shared" ca="1" si="12"/>
        <v>3161.5299999999979</v>
      </c>
      <c r="U43" s="15">
        <f ca="1">U42+Table7[[#This Row],[Total Monthly]]</f>
        <v>76034.930000000008</v>
      </c>
      <c r="X43" s="18"/>
    </row>
    <row r="44" spans="1:24" x14ac:dyDescent="0.25">
      <c r="A44" s="13">
        <f t="shared" si="8"/>
        <v>44682</v>
      </c>
      <c r="B44" s="12" t="str">
        <f t="shared" si="11"/>
        <v>May 2022</v>
      </c>
      <c r="C44" s="9">
        <f t="shared" ca="1" si="13"/>
        <v>3977.4399999999996</v>
      </c>
      <c r="D44" s="9">
        <f t="shared" ca="1" si="13"/>
        <v>-796.75</v>
      </c>
      <c r="E44" s="9">
        <f t="shared" ca="1" si="13"/>
        <v>0</v>
      </c>
      <c r="F44" s="9">
        <f t="shared" ca="1" si="13"/>
        <v>-371.31999999999994</v>
      </c>
      <c r="G44" s="9">
        <f t="shared" ca="1" si="13"/>
        <v>-11.09</v>
      </c>
      <c r="H44" s="9">
        <f t="shared" ca="1" si="13"/>
        <v>100</v>
      </c>
      <c r="I44" s="9">
        <f t="shared" ca="1" si="13"/>
        <v>-152.55000000000001</v>
      </c>
      <c r="J44" s="9">
        <f t="shared" ca="1" si="13"/>
        <v>-125.73</v>
      </c>
      <c r="K44" s="9">
        <f t="shared" ca="1" si="13"/>
        <v>0</v>
      </c>
      <c r="L44" s="9">
        <f t="shared" ca="1" si="13"/>
        <v>0</v>
      </c>
      <c r="M44" s="9">
        <f t="shared" ca="1" si="14"/>
        <v>-210.88</v>
      </c>
      <c r="N44" s="9">
        <f t="shared" ca="1" si="14"/>
        <v>0</v>
      </c>
      <c r="O44" s="9">
        <f t="shared" ca="1" si="13"/>
        <v>0</v>
      </c>
      <c r="P44" s="9">
        <f t="shared" ca="1" si="7"/>
        <v>0</v>
      </c>
      <c r="Q44" s="9">
        <f t="shared" ca="1" si="7"/>
        <v>-54.48</v>
      </c>
      <c r="R44" s="9">
        <f t="shared" ca="1" si="7"/>
        <v>-1235</v>
      </c>
      <c r="S44" s="9">
        <f t="shared" ca="1" si="7"/>
        <v>-123.08</v>
      </c>
      <c r="T44" s="9">
        <f t="shared" ca="1" si="12"/>
        <v>996.55999999999972</v>
      </c>
      <c r="U44" s="15">
        <f ca="1">U43+Table7[[#This Row],[Total Monthly]]</f>
        <v>77031.490000000005</v>
      </c>
    </row>
    <row r="45" spans="1:24" x14ac:dyDescent="0.25">
      <c r="A45" s="13">
        <f t="shared" si="8"/>
        <v>44713</v>
      </c>
      <c r="B45" s="12" t="str">
        <f t="shared" si="11"/>
        <v>June 2022</v>
      </c>
      <c r="C45" s="9">
        <f t="shared" ca="1" si="13"/>
        <v>5973.98</v>
      </c>
      <c r="D45" s="9">
        <f t="shared" ca="1" si="13"/>
        <v>-984.36</v>
      </c>
      <c r="E45" s="9">
        <f t="shared" ca="1" si="13"/>
        <v>44.5</v>
      </c>
      <c r="F45" s="9">
        <f t="shared" ca="1" si="13"/>
        <v>-288.56</v>
      </c>
      <c r="G45" s="9">
        <f t="shared" ca="1" si="13"/>
        <v>0</v>
      </c>
      <c r="H45" s="9">
        <f t="shared" ca="1" si="13"/>
        <v>-2.74</v>
      </c>
      <c r="I45" s="9">
        <f t="shared" ca="1" si="13"/>
        <v>-149.49</v>
      </c>
      <c r="J45" s="9">
        <f t="shared" ca="1" si="13"/>
        <v>-68.8</v>
      </c>
      <c r="K45" s="9">
        <f t="shared" ca="1" si="13"/>
        <v>0</v>
      </c>
      <c r="L45" s="9">
        <f t="shared" ca="1" si="13"/>
        <v>0</v>
      </c>
      <c r="M45" s="9">
        <f t="shared" ca="1" si="14"/>
        <v>0</v>
      </c>
      <c r="N45" s="9">
        <f t="shared" ca="1" si="14"/>
        <v>0</v>
      </c>
      <c r="O45" s="9">
        <f t="shared" ca="1" si="13"/>
        <v>0</v>
      </c>
      <c r="P45" s="9">
        <f t="shared" ca="1" si="7"/>
        <v>0</v>
      </c>
      <c r="Q45" s="9">
        <f t="shared" ca="1" si="7"/>
        <v>-62.97</v>
      </c>
      <c r="R45" s="9">
        <f t="shared" ca="1" si="7"/>
        <v>-1235</v>
      </c>
      <c r="S45" s="9">
        <f t="shared" ca="1" si="7"/>
        <v>-138.09</v>
      </c>
      <c r="T45" s="9">
        <f t="shared" ca="1" si="12"/>
        <v>3088.4699999999993</v>
      </c>
      <c r="U45" s="15">
        <f ca="1">U44+Table7[[#This Row],[Total Monthly]]</f>
        <v>80119.960000000006</v>
      </c>
      <c r="X45" s="18"/>
    </row>
    <row r="46" spans="1:24" x14ac:dyDescent="0.25">
      <c r="A46" s="13">
        <f t="shared" si="8"/>
        <v>44743</v>
      </c>
      <c r="B46" s="12" t="str">
        <f t="shared" si="11"/>
        <v>July 2022</v>
      </c>
      <c r="C46" s="9">
        <f t="shared" ca="1" si="13"/>
        <v>4029.0699999999997</v>
      </c>
      <c r="D46" s="9">
        <f t="shared" ca="1" si="13"/>
        <v>-1085.7899999999995</v>
      </c>
      <c r="E46" s="9">
        <f t="shared" ca="1" si="13"/>
        <v>0</v>
      </c>
      <c r="F46" s="9">
        <f t="shared" ca="1" si="13"/>
        <v>-132.13999999999999</v>
      </c>
      <c r="G46" s="9">
        <f t="shared" ca="1" si="13"/>
        <v>0</v>
      </c>
      <c r="H46" s="9">
        <f t="shared" ca="1" si="13"/>
        <v>0</v>
      </c>
      <c r="I46" s="9">
        <f t="shared" ca="1" si="13"/>
        <v>-153.70000000000002</v>
      </c>
      <c r="J46" s="9">
        <f t="shared" ca="1" si="13"/>
        <v>-342.06000000000006</v>
      </c>
      <c r="K46" s="9">
        <f t="shared" ca="1" si="13"/>
        <v>0</v>
      </c>
      <c r="L46" s="9">
        <f t="shared" ca="1" si="13"/>
        <v>0</v>
      </c>
      <c r="M46" s="9">
        <f t="shared" ca="1" si="14"/>
        <v>0</v>
      </c>
      <c r="N46" s="9">
        <f t="shared" ca="1" si="14"/>
        <v>-3.16</v>
      </c>
      <c r="O46" s="9">
        <f t="shared" ca="1" si="13"/>
        <v>0</v>
      </c>
      <c r="P46" s="9">
        <f t="shared" ca="1" si="7"/>
        <v>0</v>
      </c>
      <c r="Q46" s="9">
        <f t="shared" ca="1" si="7"/>
        <v>-36.47</v>
      </c>
      <c r="R46" s="9">
        <f t="shared" ca="1" si="7"/>
        <v>-1235</v>
      </c>
      <c r="S46" s="9">
        <f t="shared" ca="1" si="7"/>
        <v>-121.53</v>
      </c>
      <c r="T46" s="9">
        <f t="shared" ca="1" si="12"/>
        <v>5422.5000000000009</v>
      </c>
      <c r="U46" s="15">
        <f ca="1">U45+Table7[[#This Row],[Total Monthly]]</f>
        <v>85542.46</v>
      </c>
      <c r="V46">
        <v>45</v>
      </c>
    </row>
    <row r="47" spans="1:24" x14ac:dyDescent="0.25">
      <c r="A47" s="13">
        <f t="shared" si="8"/>
        <v>44774</v>
      </c>
      <c r="B47" s="12" t="str">
        <f t="shared" si="11"/>
        <v>August 2022</v>
      </c>
      <c r="C47" s="9">
        <f t="shared" ca="1" si="13"/>
        <v>3982.6499999999996</v>
      </c>
      <c r="D47" s="9">
        <f t="shared" ca="1" si="13"/>
        <v>-979.52000000000032</v>
      </c>
      <c r="E47" s="9">
        <f t="shared" ca="1" si="13"/>
        <v>18.920000000000002</v>
      </c>
      <c r="F47" s="9">
        <f t="shared" ca="1" si="13"/>
        <v>-168.77</v>
      </c>
      <c r="G47" s="9">
        <f t="shared" ca="1" si="13"/>
        <v>-113.73</v>
      </c>
      <c r="H47" s="9">
        <f t="shared" ca="1" si="13"/>
        <v>-445.38</v>
      </c>
      <c r="I47" s="9">
        <f t="shared" ca="1" si="13"/>
        <v>-105.36</v>
      </c>
      <c r="J47" s="9">
        <f t="shared" ca="1" si="13"/>
        <v>-213.21999999999997</v>
      </c>
      <c r="K47" s="9">
        <f t="shared" ca="1" si="13"/>
        <v>0</v>
      </c>
      <c r="L47" s="9">
        <f t="shared" ca="1" si="13"/>
        <v>0</v>
      </c>
      <c r="M47" s="9">
        <f t="shared" ca="1" si="14"/>
        <v>0</v>
      </c>
      <c r="N47" s="9">
        <f t="shared" ca="1" si="14"/>
        <v>0</v>
      </c>
      <c r="O47" s="9">
        <f t="shared" ca="1" si="13"/>
        <v>0</v>
      </c>
      <c r="P47" s="9">
        <f t="shared" ca="1" si="7"/>
        <v>0</v>
      </c>
      <c r="Q47" s="9">
        <f t="shared" ca="1" si="7"/>
        <v>-68.27</v>
      </c>
      <c r="R47" s="9">
        <f t="shared" ca="1" si="7"/>
        <v>-1235</v>
      </c>
      <c r="S47" s="9">
        <f t="shared" ca="1" si="7"/>
        <v>-165.93</v>
      </c>
      <c r="T47" s="9">
        <f t="shared" ca="1" si="12"/>
        <v>506.38999999999874</v>
      </c>
      <c r="U47" s="15">
        <f ca="1">U46+Table7[[#This Row],[Total Monthly]]</f>
        <v>86048.85</v>
      </c>
    </row>
    <row r="48" spans="1:24" x14ac:dyDescent="0.25">
      <c r="A48" s="13">
        <f t="shared" si="8"/>
        <v>44805</v>
      </c>
      <c r="B48" s="12" t="str">
        <f t="shared" si="11"/>
        <v>September 2022</v>
      </c>
      <c r="C48" s="9">
        <f t="shared" ca="1" si="13"/>
        <v>3993.33</v>
      </c>
      <c r="D48" s="9">
        <f t="shared" ca="1" si="13"/>
        <v>-995.21999999999991</v>
      </c>
      <c r="E48" s="9">
        <f t="shared" ca="1" si="13"/>
        <v>-25</v>
      </c>
      <c r="F48" s="9">
        <f t="shared" ca="1" si="13"/>
        <v>-86.65</v>
      </c>
      <c r="G48" s="9">
        <f t="shared" ca="1" si="13"/>
        <v>0</v>
      </c>
      <c r="H48" s="9">
        <f t="shared" ca="1" si="13"/>
        <v>-284.72000000000003</v>
      </c>
      <c r="I48" s="9">
        <f t="shared" ca="1" si="13"/>
        <v>-280.15000000000003</v>
      </c>
      <c r="J48" s="9">
        <f t="shared" ca="1" si="13"/>
        <v>-1032.28</v>
      </c>
      <c r="K48" s="9">
        <f t="shared" ca="1" si="13"/>
        <v>0</v>
      </c>
      <c r="L48" s="9">
        <f t="shared" ca="1" si="13"/>
        <v>0</v>
      </c>
      <c r="M48" s="9">
        <f t="shared" ca="1" si="14"/>
        <v>0</v>
      </c>
      <c r="N48" s="9">
        <f t="shared" ca="1" si="14"/>
        <v>0</v>
      </c>
      <c r="O48" s="9">
        <f t="shared" ca="1" si="13"/>
        <v>0</v>
      </c>
      <c r="P48" s="9">
        <f t="shared" ca="1" si="7"/>
        <v>0</v>
      </c>
      <c r="Q48" s="9">
        <f t="shared" ca="1" si="7"/>
        <v>-61.94</v>
      </c>
      <c r="R48" s="9">
        <f t="shared" ca="1" si="7"/>
        <v>-1325</v>
      </c>
      <c r="S48" s="9">
        <f t="shared" ca="1" si="7"/>
        <v>-127.08</v>
      </c>
      <c r="T48" s="9">
        <f t="shared" ca="1" si="12"/>
        <v>-224.71000000000012</v>
      </c>
      <c r="U48" s="15">
        <f ca="1">U47+Table7[[#This Row],[Total Monthly]]</f>
        <v>85824.14</v>
      </c>
    </row>
    <row r="49" spans="1:24" x14ac:dyDescent="0.25">
      <c r="A49" s="13">
        <f t="shared" si="8"/>
        <v>44835</v>
      </c>
      <c r="B49" s="12" t="str">
        <f t="shared" si="11"/>
        <v>October 2022</v>
      </c>
      <c r="C49" s="9">
        <f t="shared" ca="1" si="13"/>
        <v>3993.3</v>
      </c>
      <c r="D49" s="9">
        <f t="shared" ca="1" si="13"/>
        <v>-944.42999999999984</v>
      </c>
      <c r="E49" s="9">
        <f t="shared" ca="1" si="13"/>
        <v>-95</v>
      </c>
      <c r="F49" s="9">
        <f t="shared" ca="1" si="13"/>
        <v>-174.67000000000002</v>
      </c>
      <c r="G49" s="9">
        <f t="shared" ca="1" si="13"/>
        <v>-62.92</v>
      </c>
      <c r="H49" s="9">
        <f t="shared" ca="1" si="13"/>
        <v>0</v>
      </c>
      <c r="I49" s="9">
        <f t="shared" ca="1" si="13"/>
        <v>-151.67000000000002</v>
      </c>
      <c r="J49" s="9">
        <f t="shared" ca="1" si="13"/>
        <v>-200</v>
      </c>
      <c r="K49" s="9">
        <f t="shared" ca="1" si="13"/>
        <v>0</v>
      </c>
      <c r="L49" s="9">
        <f t="shared" ca="1" si="13"/>
        <v>0</v>
      </c>
      <c r="M49" s="9">
        <f t="shared" ca="1" si="14"/>
        <v>-168.85</v>
      </c>
      <c r="N49" s="9">
        <f t="shared" ca="1" si="14"/>
        <v>0</v>
      </c>
      <c r="O49" s="9">
        <f t="shared" ca="1" si="13"/>
        <v>0</v>
      </c>
      <c r="P49" s="9">
        <f t="shared" ca="1" si="7"/>
        <v>0</v>
      </c>
      <c r="Q49" s="9">
        <f t="shared" ca="1" si="7"/>
        <v>-64.069999999999993</v>
      </c>
      <c r="R49" s="9">
        <f t="shared" ca="1" si="7"/>
        <v>-1325</v>
      </c>
      <c r="S49" s="9">
        <f t="shared" ca="1" si="7"/>
        <v>-177.03</v>
      </c>
      <c r="T49" s="9">
        <f t="shared" ca="1" si="12"/>
        <v>634.76000000000056</v>
      </c>
      <c r="U49" s="15">
        <f ca="1">U48+Table7[[#This Row],[Total Monthly]]</f>
        <v>86458.9</v>
      </c>
    </row>
    <row r="50" spans="1:24" x14ac:dyDescent="0.25">
      <c r="A50" s="13">
        <f t="shared" si="8"/>
        <v>44866</v>
      </c>
      <c r="B50" s="12" t="str">
        <f t="shared" si="11"/>
        <v>November 2022</v>
      </c>
      <c r="C50" s="9">
        <f t="shared" ca="1" si="13"/>
        <v>4069.1800000000003</v>
      </c>
      <c r="D50" s="9">
        <f t="shared" ca="1" si="13"/>
        <v>-780.34</v>
      </c>
      <c r="E50" s="9">
        <f t="shared" ca="1" si="13"/>
        <v>-204</v>
      </c>
      <c r="F50" s="9">
        <f t="shared" ca="1" si="13"/>
        <v>-742.09</v>
      </c>
      <c r="G50" s="9">
        <f t="shared" ca="1" si="13"/>
        <v>0</v>
      </c>
      <c r="H50" s="9">
        <f t="shared" ca="1" si="13"/>
        <v>-47.16</v>
      </c>
      <c r="I50" s="9">
        <f t="shared" ca="1" si="13"/>
        <v>-227.15</v>
      </c>
      <c r="J50" s="9">
        <f t="shared" ca="1" si="13"/>
        <v>-90.48</v>
      </c>
      <c r="K50" s="9">
        <f t="shared" ca="1" si="13"/>
        <v>0</v>
      </c>
      <c r="L50" s="9">
        <f t="shared" ca="1" si="13"/>
        <v>0</v>
      </c>
      <c r="M50" s="9">
        <f t="shared" ca="1" si="14"/>
        <v>0</v>
      </c>
      <c r="N50" s="9">
        <f t="shared" ca="1" si="14"/>
        <v>0</v>
      </c>
      <c r="O50" s="9">
        <f t="shared" ca="1" si="13"/>
        <v>-109.15</v>
      </c>
      <c r="P50" s="9">
        <f t="shared" ca="1" si="7"/>
        <v>0</v>
      </c>
      <c r="Q50" s="9">
        <f t="shared" ca="1" si="7"/>
        <v>-62.14</v>
      </c>
      <c r="R50" s="9">
        <f t="shared" ca="1" si="7"/>
        <v>-1325</v>
      </c>
      <c r="S50" s="9">
        <f t="shared" ca="1" si="7"/>
        <v>-121.53</v>
      </c>
      <c r="T50" s="9">
        <f t="shared" ca="1" si="12"/>
        <v>360.14000000000033</v>
      </c>
      <c r="U50" s="15">
        <f ca="1">U49+Table7[[#This Row],[Total Monthly]]</f>
        <v>86819.04</v>
      </c>
      <c r="W50" s="18"/>
    </row>
    <row r="51" spans="1:24" x14ac:dyDescent="0.25">
      <c r="A51" s="13">
        <f t="shared" si="8"/>
        <v>44896</v>
      </c>
      <c r="B51" s="12" t="str">
        <f t="shared" si="11"/>
        <v>December 2022</v>
      </c>
      <c r="C51" s="9">
        <f t="shared" ca="1" si="13"/>
        <v>6544.26</v>
      </c>
      <c r="D51" s="9">
        <f t="shared" ca="1" si="13"/>
        <v>-682.61000000000024</v>
      </c>
      <c r="E51" s="9">
        <f t="shared" ca="1" si="13"/>
        <v>-130</v>
      </c>
      <c r="F51" s="9">
        <f t="shared" ca="1" si="13"/>
        <v>-147.6</v>
      </c>
      <c r="G51" s="9">
        <f t="shared" ca="1" si="13"/>
        <v>0</v>
      </c>
      <c r="H51" s="9">
        <f t="shared" ca="1" si="13"/>
        <v>476.59</v>
      </c>
      <c r="I51" s="9">
        <f t="shared" ca="1" si="13"/>
        <v>-715.42</v>
      </c>
      <c r="J51" s="9">
        <f t="shared" ca="1" si="13"/>
        <v>-160.84</v>
      </c>
      <c r="K51" s="9">
        <f t="shared" ca="1" si="13"/>
        <v>0</v>
      </c>
      <c r="L51" s="9">
        <f t="shared" ca="1" si="13"/>
        <v>0</v>
      </c>
      <c r="M51" s="9">
        <f t="shared" ca="1" si="14"/>
        <v>0</v>
      </c>
      <c r="N51" s="9">
        <f t="shared" ca="1" si="14"/>
        <v>0</v>
      </c>
      <c r="O51" s="9">
        <f t="shared" ca="1" si="13"/>
        <v>-34.96</v>
      </c>
      <c r="P51" s="9">
        <f t="shared" ca="1" si="7"/>
        <v>0</v>
      </c>
      <c r="Q51" s="9">
        <f t="shared" ca="1" si="7"/>
        <v>-57.56</v>
      </c>
      <c r="R51" s="9">
        <f t="shared" ca="1" si="7"/>
        <v>-1325</v>
      </c>
      <c r="S51" s="9">
        <f t="shared" ca="1" si="7"/>
        <v>-121.53</v>
      </c>
      <c r="T51" s="9">
        <f t="shared" ca="1" si="12"/>
        <v>3645.3300000000017</v>
      </c>
      <c r="U51" s="15">
        <f ca="1">U50+Table7[[#This Row],[Total Monthly]]</f>
        <v>90464.37</v>
      </c>
    </row>
    <row r="52" spans="1:24" x14ac:dyDescent="0.25">
      <c r="A52" s="13">
        <f t="shared" si="8"/>
        <v>44927</v>
      </c>
      <c r="B52" s="12" t="str">
        <f t="shared" si="11"/>
        <v>January 2023</v>
      </c>
      <c r="C52" s="9">
        <f t="shared" ca="1" si="13"/>
        <v>4296.93</v>
      </c>
      <c r="D52" s="9">
        <f t="shared" ca="1" si="13"/>
        <v>-571.81999999999994</v>
      </c>
      <c r="E52" s="9">
        <f t="shared" ca="1" si="13"/>
        <v>48.45</v>
      </c>
      <c r="F52" s="9">
        <f t="shared" ca="1" si="13"/>
        <v>-15.58</v>
      </c>
      <c r="G52" s="9">
        <f t="shared" ca="1" si="13"/>
        <v>0</v>
      </c>
      <c r="H52" s="9">
        <f t="shared" ca="1" si="13"/>
        <v>-1525.25</v>
      </c>
      <c r="I52" s="9">
        <f t="shared" ca="1" si="13"/>
        <v>-207.02</v>
      </c>
      <c r="J52" s="9">
        <f t="shared" ca="1" si="13"/>
        <v>-382.01000000000005</v>
      </c>
      <c r="K52" s="9">
        <f t="shared" ca="1" si="13"/>
        <v>0</v>
      </c>
      <c r="L52" s="9">
        <f t="shared" ca="1" si="13"/>
        <v>0</v>
      </c>
      <c r="M52" s="9">
        <f t="shared" ca="1" si="14"/>
        <v>0</v>
      </c>
      <c r="N52" s="9">
        <f t="shared" ca="1" si="14"/>
        <v>-44.14</v>
      </c>
      <c r="O52" s="9">
        <f t="shared" ca="1" si="13"/>
        <v>0</v>
      </c>
      <c r="P52" s="9">
        <f t="shared" ca="1" si="7"/>
        <v>0</v>
      </c>
      <c r="Q52" s="9">
        <f t="shared" ca="1" si="7"/>
        <v>-49.91</v>
      </c>
      <c r="R52" s="9">
        <f t="shared" ca="1" si="7"/>
        <v>-1325</v>
      </c>
      <c r="S52" s="9">
        <f t="shared" ca="1" si="7"/>
        <v>-121.53</v>
      </c>
      <c r="T52" s="9">
        <f t="shared" ca="1" si="12"/>
        <v>240.61999999999989</v>
      </c>
      <c r="U52" s="15">
        <f ca="1">U51+Table7[[#This Row],[Total Monthly]]</f>
        <v>90704.989999999991</v>
      </c>
    </row>
    <row r="53" spans="1:24" x14ac:dyDescent="0.25">
      <c r="A53" s="13">
        <f t="shared" si="8"/>
        <v>44958</v>
      </c>
      <c r="B53" s="12" t="str">
        <f t="shared" si="11"/>
        <v>February 2023</v>
      </c>
      <c r="C53" s="9">
        <f t="shared" ca="1" si="13"/>
        <v>4296.95</v>
      </c>
      <c r="D53" s="9">
        <f t="shared" ca="1" si="13"/>
        <v>-1410.7199999999993</v>
      </c>
      <c r="E53" s="9">
        <f t="shared" ca="1" si="13"/>
        <v>-35.5</v>
      </c>
      <c r="F53" s="9">
        <f t="shared" ca="1" si="13"/>
        <v>-268.89</v>
      </c>
      <c r="G53" s="9">
        <f t="shared" ca="1" si="13"/>
        <v>0</v>
      </c>
      <c r="H53" s="9">
        <f t="shared" ca="1" si="13"/>
        <v>-71.78</v>
      </c>
      <c r="I53" s="9">
        <f t="shared" ca="1" si="13"/>
        <v>-127.23</v>
      </c>
      <c r="J53" s="9">
        <f t="shared" ca="1" si="13"/>
        <v>-223.33</v>
      </c>
      <c r="K53" s="9">
        <f t="shared" ca="1" si="13"/>
        <v>0</v>
      </c>
      <c r="L53" s="9">
        <f t="shared" ca="1" si="13"/>
        <v>-500</v>
      </c>
      <c r="M53" s="9">
        <f t="shared" ca="1" si="14"/>
        <v>-90.6</v>
      </c>
      <c r="N53" s="9">
        <f t="shared" ca="1" si="14"/>
        <v>0</v>
      </c>
      <c r="O53" s="9">
        <f t="shared" ca="1" si="13"/>
        <v>0</v>
      </c>
      <c r="P53" s="9">
        <f t="shared" ca="1" si="7"/>
        <v>0</v>
      </c>
      <c r="Q53" s="9">
        <f t="shared" ca="1" si="7"/>
        <v>-56.06</v>
      </c>
      <c r="R53" s="9">
        <f t="shared" ca="1" si="7"/>
        <v>-1325</v>
      </c>
      <c r="S53" s="9">
        <f t="shared" ca="1" si="7"/>
        <v>-177.03</v>
      </c>
      <c r="T53" s="9">
        <f t="shared" ca="1" si="12"/>
        <v>10.809999999999739</v>
      </c>
      <c r="U53" s="15">
        <f ca="1">U52+Table7[[#This Row],[Total Monthly]]</f>
        <v>90715.799999999988</v>
      </c>
      <c r="W53" s="18"/>
    </row>
    <row r="54" spans="1:24" x14ac:dyDescent="0.25">
      <c r="A54" s="13">
        <f t="shared" si="8"/>
        <v>44986</v>
      </c>
      <c r="B54" s="12" t="str">
        <f t="shared" si="11"/>
        <v>March 2023</v>
      </c>
      <c r="C54" s="9">
        <f t="shared" ca="1" si="13"/>
        <v>3972.52</v>
      </c>
      <c r="D54" s="9">
        <f t="shared" ca="1" si="13"/>
        <v>-1829.7000000000005</v>
      </c>
      <c r="E54" s="9">
        <f t="shared" ca="1" si="13"/>
        <v>10.260000000000005</v>
      </c>
      <c r="F54" s="9">
        <f t="shared" ca="1" si="13"/>
        <v>-1054.94</v>
      </c>
      <c r="G54" s="9">
        <f t="shared" ca="1" si="13"/>
        <v>-22.19</v>
      </c>
      <c r="H54" s="9">
        <f t="shared" ca="1" si="13"/>
        <v>0</v>
      </c>
      <c r="I54" s="9">
        <f t="shared" ca="1" si="13"/>
        <v>-212.23000000000002</v>
      </c>
      <c r="J54" s="9">
        <f t="shared" ca="1" si="13"/>
        <v>-36.89</v>
      </c>
      <c r="K54" s="9">
        <f t="shared" ca="1" si="13"/>
        <v>0</v>
      </c>
      <c r="L54" s="9">
        <f t="shared" ca="1" si="13"/>
        <v>0</v>
      </c>
      <c r="M54" s="9">
        <f t="shared" ca="1" si="14"/>
        <v>0</v>
      </c>
      <c r="N54" s="9">
        <f t="shared" ca="1" si="14"/>
        <v>0</v>
      </c>
      <c r="O54" s="9">
        <f t="shared" ca="1" si="13"/>
        <v>0</v>
      </c>
      <c r="P54" s="9">
        <f t="shared" ca="1" si="7"/>
        <v>0</v>
      </c>
      <c r="Q54" s="9">
        <f t="shared" ca="1" si="7"/>
        <v>-57.88</v>
      </c>
      <c r="R54" s="9">
        <f t="shared" ca="1" si="7"/>
        <v>-1325</v>
      </c>
      <c r="S54" s="9">
        <f t="shared" ca="1" si="7"/>
        <v>-121.53</v>
      </c>
      <c r="T54" s="9">
        <f t="shared" ca="1" si="12"/>
        <v>-677.58</v>
      </c>
      <c r="U54" s="15">
        <f ca="1">U53+Table7[[#This Row],[Total Monthly]]</f>
        <v>90038.219999999987</v>
      </c>
    </row>
    <row r="55" spans="1:24" x14ac:dyDescent="0.25">
      <c r="A55" s="13">
        <f t="shared" si="8"/>
        <v>45017</v>
      </c>
      <c r="B55" s="12" t="str">
        <f t="shared" si="11"/>
        <v>April 2023</v>
      </c>
      <c r="C55" s="9">
        <f t="shared" ca="1" si="13"/>
        <v>4039.21</v>
      </c>
      <c r="D55" s="9">
        <f t="shared" ca="1" si="13"/>
        <v>-1249.4799999999993</v>
      </c>
      <c r="E55" s="9">
        <f t="shared" ca="1" si="13"/>
        <v>0</v>
      </c>
      <c r="F55" s="9">
        <f t="shared" ca="1" si="13"/>
        <v>-77.819999999999993</v>
      </c>
      <c r="G55" s="9">
        <f t="shared" ca="1" si="13"/>
        <v>0</v>
      </c>
      <c r="H55" s="9">
        <f t="shared" ca="1" si="13"/>
        <v>-1120.6799999999998</v>
      </c>
      <c r="I55" s="9">
        <f t="shared" ca="1" si="13"/>
        <v>-317.80999999999995</v>
      </c>
      <c r="J55" s="9">
        <f t="shared" ca="1" si="13"/>
        <v>-289.87</v>
      </c>
      <c r="K55" s="9">
        <f t="shared" ca="1" si="13"/>
        <v>0</v>
      </c>
      <c r="L55" s="9">
        <f t="shared" ca="1" si="13"/>
        <v>0</v>
      </c>
      <c r="M55" s="9">
        <f t="shared" ca="1" si="14"/>
        <v>-233.26</v>
      </c>
      <c r="N55" s="9">
        <f t="shared" ca="1" si="14"/>
        <v>0</v>
      </c>
      <c r="O55" s="9">
        <f t="shared" ca="1" si="13"/>
        <v>0</v>
      </c>
      <c r="P55" s="9">
        <f t="shared" ca="1" si="7"/>
        <v>0</v>
      </c>
      <c r="Q55" s="9">
        <f t="shared" ca="1" si="7"/>
        <v>-72.3</v>
      </c>
      <c r="R55" s="9">
        <f t="shared" ca="1" si="7"/>
        <v>-1325</v>
      </c>
      <c r="S55" s="9">
        <f t="shared" ca="1" si="7"/>
        <v>-143.73000000000002</v>
      </c>
      <c r="T55" s="9">
        <f t="shared" ca="1" si="12"/>
        <v>-790.74000000000024</v>
      </c>
      <c r="U55" s="15">
        <f ca="1">U54+Table7[[#This Row],[Total Monthly]]</f>
        <v>89247.479999999981</v>
      </c>
      <c r="W55" s="18"/>
      <c r="X55" s="18"/>
    </row>
    <row r="56" spans="1:24" x14ac:dyDescent="0.25">
      <c r="A56" s="13">
        <f t="shared" si="8"/>
        <v>45047</v>
      </c>
      <c r="B56" s="12" t="str">
        <f t="shared" si="11"/>
        <v>May 2023</v>
      </c>
      <c r="C56" s="9">
        <f t="shared" ca="1" si="13"/>
        <v>3932.85</v>
      </c>
      <c r="D56" s="9">
        <f t="shared" ca="1" si="13"/>
        <v>-1854.7299999999989</v>
      </c>
      <c r="E56" s="9">
        <f t="shared" ca="1" si="13"/>
        <v>-135</v>
      </c>
      <c r="F56" s="9">
        <f t="shared" ca="1" si="13"/>
        <v>-278.35000000000002</v>
      </c>
      <c r="G56" s="9">
        <f t="shared" ca="1" si="13"/>
        <v>-100.94</v>
      </c>
      <c r="H56" s="9">
        <f t="shared" ca="1" si="13"/>
        <v>-24</v>
      </c>
      <c r="I56" s="9">
        <f t="shared" ca="1" si="13"/>
        <v>-267.02</v>
      </c>
      <c r="J56" s="9">
        <f t="shared" ca="1" si="13"/>
        <v>-533.30999999999995</v>
      </c>
      <c r="K56" s="9">
        <f t="shared" ca="1" si="13"/>
        <v>0</v>
      </c>
      <c r="L56" s="9">
        <f t="shared" ca="1" si="13"/>
        <v>0</v>
      </c>
      <c r="M56" s="9">
        <f t="shared" ca="1" si="14"/>
        <v>-199.27</v>
      </c>
      <c r="N56" s="9">
        <f t="shared" ca="1" si="14"/>
        <v>0</v>
      </c>
      <c r="O56" s="9">
        <f t="shared" ca="1" si="13"/>
        <v>-32.589999999999996</v>
      </c>
      <c r="P56" s="9">
        <f t="shared" ca="1" si="7"/>
        <v>0</v>
      </c>
      <c r="Q56" s="9">
        <f t="shared" ca="1" si="7"/>
        <v>-64.31</v>
      </c>
      <c r="R56" s="9">
        <f t="shared" ca="1" si="7"/>
        <v>-1325</v>
      </c>
      <c r="S56" s="9">
        <f t="shared" ca="1" si="7"/>
        <v>-121.88</v>
      </c>
      <c r="T56" s="9">
        <f t="shared" ca="1" si="12"/>
        <v>4501.2</v>
      </c>
      <c r="U56" s="15">
        <f ca="1">U55+Table7[[#This Row],[Total Monthly]]</f>
        <v>93748.679999999978</v>
      </c>
      <c r="W56" s="18"/>
    </row>
    <row r="57" spans="1:24" x14ac:dyDescent="0.25">
      <c r="A57" s="13">
        <f t="shared" si="8"/>
        <v>45078</v>
      </c>
      <c r="B57" s="12" t="str">
        <f t="shared" si="11"/>
        <v>June 2023</v>
      </c>
      <c r="C57" s="9">
        <f t="shared" ca="1" si="13"/>
        <v>6075.07</v>
      </c>
      <c r="D57" s="9">
        <f t="shared" ca="1" si="13"/>
        <v>-1518.6</v>
      </c>
      <c r="E57" s="9">
        <f t="shared" ca="1" si="13"/>
        <v>-992.87</v>
      </c>
      <c r="F57" s="9">
        <f t="shared" ca="1" si="13"/>
        <v>-45.4</v>
      </c>
      <c r="G57" s="9">
        <f t="shared" ca="1" si="13"/>
        <v>0</v>
      </c>
      <c r="H57" s="9">
        <f t="shared" ca="1" si="13"/>
        <v>-55.069999999999993</v>
      </c>
      <c r="I57" s="9">
        <f t="shared" ca="1" si="13"/>
        <v>-101.82000000000001</v>
      </c>
      <c r="J57" s="9">
        <f t="shared" ca="1" si="13"/>
        <v>-283.71000000000004</v>
      </c>
      <c r="K57" s="9">
        <f t="shared" ca="1" si="13"/>
        <v>0</v>
      </c>
      <c r="L57" s="9">
        <f t="shared" ca="1" si="13"/>
        <v>0</v>
      </c>
      <c r="M57" s="9">
        <f t="shared" ca="1" si="14"/>
        <v>0</v>
      </c>
      <c r="N57" s="9">
        <f t="shared" ca="1" si="14"/>
        <v>0</v>
      </c>
      <c r="O57" s="9">
        <f t="shared" ca="1" si="13"/>
        <v>0</v>
      </c>
      <c r="P57" s="9">
        <f t="shared" ca="1" si="7"/>
        <v>0</v>
      </c>
      <c r="Q57" s="9">
        <f t="shared" ca="1" si="7"/>
        <v>-68.34</v>
      </c>
      <c r="R57" s="9">
        <f t="shared" ca="1" si="7"/>
        <v>-1325</v>
      </c>
      <c r="S57" s="9">
        <f t="shared" ca="1" si="7"/>
        <v>-154.95999999999998</v>
      </c>
      <c r="T57" s="9">
        <f t="shared" ca="1" si="12"/>
        <v>1699.3000000000006</v>
      </c>
      <c r="U57" s="15">
        <f ca="1">U56+Table7[[#This Row],[Total Monthly]]</f>
        <v>95447.979999999981</v>
      </c>
    </row>
    <row r="58" spans="1:24" x14ac:dyDescent="0.25">
      <c r="A58" s="13">
        <f t="shared" si="8"/>
        <v>45108</v>
      </c>
      <c r="B58" s="12" t="str">
        <f t="shared" si="11"/>
        <v>July 2023</v>
      </c>
      <c r="C58" s="9">
        <f t="shared" ca="1" si="13"/>
        <v>4053.63</v>
      </c>
      <c r="D58" s="9">
        <f t="shared" ca="1" si="13"/>
        <v>-1145.8400000000001</v>
      </c>
      <c r="E58" s="9">
        <f t="shared" ca="1" si="13"/>
        <v>500</v>
      </c>
      <c r="F58" s="9">
        <f t="shared" ca="1" si="13"/>
        <v>-198.67000000000004</v>
      </c>
      <c r="G58" s="9">
        <f t="shared" ca="1" si="13"/>
        <v>-22.19</v>
      </c>
      <c r="H58" s="9">
        <f t="shared" ca="1" si="13"/>
        <v>135.25</v>
      </c>
      <c r="I58" s="9">
        <f t="shared" ca="1" si="13"/>
        <v>-597.24</v>
      </c>
      <c r="J58" s="9">
        <f t="shared" ca="1" si="13"/>
        <v>-119.63</v>
      </c>
      <c r="K58" s="9">
        <f t="shared" ca="1" si="13"/>
        <v>0</v>
      </c>
      <c r="L58" s="9">
        <f t="shared" ca="1" si="13"/>
        <v>-1500</v>
      </c>
      <c r="M58" s="9">
        <f t="shared" ca="1" si="14"/>
        <v>-11.63</v>
      </c>
      <c r="N58" s="9">
        <f t="shared" ca="1" si="14"/>
        <v>0</v>
      </c>
      <c r="O58" s="9">
        <f t="shared" ca="1" si="13"/>
        <v>0</v>
      </c>
      <c r="P58" s="9">
        <f t="shared" ca="1" si="7"/>
        <v>0</v>
      </c>
      <c r="Q58" s="9">
        <f t="shared" ca="1" si="7"/>
        <v>-148.47</v>
      </c>
      <c r="R58" s="9">
        <f t="shared" ca="1" si="7"/>
        <v>-1325</v>
      </c>
      <c r="S58" s="9">
        <f t="shared" ca="1" si="7"/>
        <v>-66.55</v>
      </c>
      <c r="T58" s="9">
        <f t="shared" ca="1" si="12"/>
        <v>-276.340000000001</v>
      </c>
      <c r="U58" s="15">
        <f ca="1">U57+Table7[[#This Row],[Total Monthly]]</f>
        <v>95171.639999999985</v>
      </c>
    </row>
    <row r="59" spans="1:24" x14ac:dyDescent="0.25">
      <c r="A59" s="13">
        <f t="shared" si="8"/>
        <v>45139</v>
      </c>
      <c r="B59" s="12" t="str">
        <f t="shared" si="11"/>
        <v>August 2023</v>
      </c>
      <c r="C59" s="9">
        <f t="shared" ca="1" si="13"/>
        <v>4285.9799999999996</v>
      </c>
      <c r="D59" s="9">
        <f t="shared" ca="1" si="13"/>
        <v>-1941.86</v>
      </c>
      <c r="E59" s="9">
        <f t="shared" ca="1" si="13"/>
        <v>-178</v>
      </c>
      <c r="F59" s="9">
        <f t="shared" ca="1" si="13"/>
        <v>-474.78</v>
      </c>
      <c r="G59" s="9">
        <f t="shared" ca="1" si="13"/>
        <v>0</v>
      </c>
      <c r="H59" s="9">
        <f t="shared" ca="1" si="13"/>
        <v>-387.38999999999987</v>
      </c>
      <c r="I59" s="9">
        <f t="shared" ca="1" si="13"/>
        <v>-203.31</v>
      </c>
      <c r="J59" s="9">
        <f t="shared" ca="1" si="13"/>
        <v>-120.78999999999999</v>
      </c>
      <c r="K59" s="9">
        <f t="shared" ca="1" si="13"/>
        <v>0</v>
      </c>
      <c r="L59" s="9">
        <f t="shared" ca="1" si="13"/>
        <v>-65000</v>
      </c>
      <c r="M59" s="9">
        <f t="shared" ca="1" si="14"/>
        <v>-115.5</v>
      </c>
      <c r="N59" s="9">
        <f t="shared" ca="1" si="14"/>
        <v>0</v>
      </c>
      <c r="O59" s="9">
        <f t="shared" ca="1" si="13"/>
        <v>0</v>
      </c>
      <c r="P59" s="9">
        <f t="shared" ca="1" si="7"/>
        <v>0</v>
      </c>
      <c r="Q59" s="9">
        <f t="shared" ca="1" si="7"/>
        <v>-74.010000000000005</v>
      </c>
      <c r="R59" s="9">
        <f t="shared" ca="1" si="7"/>
        <v>-1325</v>
      </c>
      <c r="S59" s="9">
        <f t="shared" ca="1" si="7"/>
        <v>-276.67</v>
      </c>
      <c r="T59" s="9">
        <f t="shared" ca="1" si="12"/>
        <v>-65811.329999999987</v>
      </c>
      <c r="U59" s="15">
        <f ca="1">U58+Table7[[#This Row],[Total Monthly]]</f>
        <v>29360.309999999998</v>
      </c>
    </row>
    <row r="60" spans="1:24" x14ac:dyDescent="0.25">
      <c r="A60" s="13">
        <f t="shared" si="8"/>
        <v>45170</v>
      </c>
      <c r="B60" s="12" t="str">
        <f t="shared" si="11"/>
        <v>September 2023</v>
      </c>
      <c r="C60" s="9">
        <f t="shared" ca="1" si="13"/>
        <v>4225.3</v>
      </c>
      <c r="D60" s="9">
        <f t="shared" ca="1" si="13"/>
        <v>-1020.21</v>
      </c>
      <c r="E60" s="9">
        <f t="shared" ca="1" si="13"/>
        <v>0</v>
      </c>
      <c r="F60" s="9">
        <f t="shared" ca="1" si="13"/>
        <v>-154.67999999999998</v>
      </c>
      <c r="G60" s="9">
        <f t="shared" ca="1" si="13"/>
        <v>0</v>
      </c>
      <c r="H60" s="9">
        <f t="shared" ca="1" si="13"/>
        <v>-219.95000000000002</v>
      </c>
      <c r="I60" s="9">
        <f t="shared" ca="1" si="13"/>
        <v>-284.53999999999996</v>
      </c>
      <c r="J60" s="9">
        <f t="shared" ca="1" si="13"/>
        <v>-104.77000000000001</v>
      </c>
      <c r="K60" s="9">
        <f t="shared" ca="1" si="13"/>
        <v>0</v>
      </c>
      <c r="L60" s="9">
        <f t="shared" ca="1" si="13"/>
        <v>0</v>
      </c>
      <c r="M60" s="9">
        <f t="shared" ca="1" si="14"/>
        <v>-177.59</v>
      </c>
      <c r="N60" s="9">
        <f t="shared" ca="1" si="14"/>
        <v>0</v>
      </c>
      <c r="O60" s="9">
        <f t="shared" ca="1" si="13"/>
        <v>0</v>
      </c>
      <c r="P60" s="9">
        <f t="shared" ca="1" si="7"/>
        <v>0</v>
      </c>
      <c r="Q60" s="9">
        <f t="shared" ca="1" si="7"/>
        <v>-70.34</v>
      </c>
      <c r="R60" s="9">
        <f t="shared" ca="1" si="7"/>
        <v>-1425</v>
      </c>
      <c r="S60" s="9">
        <f t="shared" ca="1" si="7"/>
        <v>-177.16</v>
      </c>
      <c r="T60" s="9">
        <f t="shared" ca="1" si="12"/>
        <v>598.3099999999996</v>
      </c>
      <c r="U60" s="15">
        <f ca="1">U59+Table7[[#This Row],[Total Monthly]]</f>
        <v>29958.62</v>
      </c>
      <c r="W60" s="18"/>
    </row>
    <row r="61" spans="1:24" x14ac:dyDescent="0.25">
      <c r="A61" s="13">
        <f t="shared" si="8"/>
        <v>45200</v>
      </c>
      <c r="B61" s="12" t="str">
        <f t="shared" si="11"/>
        <v>October 2023</v>
      </c>
      <c r="C61" s="9">
        <f t="shared" ca="1" si="13"/>
        <v>4545.34</v>
      </c>
      <c r="D61" s="9">
        <f t="shared" ca="1" si="13"/>
        <v>-1252.03</v>
      </c>
      <c r="E61" s="9">
        <f t="shared" ca="1" si="13"/>
        <v>-378.73</v>
      </c>
      <c r="F61" s="9">
        <f t="shared" ca="1" si="13"/>
        <v>-315.44</v>
      </c>
      <c r="G61" s="9">
        <f t="shared" ca="1" si="13"/>
        <v>0</v>
      </c>
      <c r="H61" s="9">
        <f t="shared" ca="1" si="13"/>
        <v>-573.79</v>
      </c>
      <c r="I61" s="9">
        <f t="shared" ca="1" si="13"/>
        <v>-142.98000000000002</v>
      </c>
      <c r="J61" s="9">
        <f t="shared" ca="1" si="13"/>
        <v>-38.39</v>
      </c>
      <c r="K61" s="9">
        <f t="shared" ca="1" si="13"/>
        <v>0</v>
      </c>
      <c r="L61" s="9">
        <f t="shared" ca="1" si="13"/>
        <v>0</v>
      </c>
      <c r="M61" s="9">
        <f t="shared" ca="1" si="14"/>
        <v>0</v>
      </c>
      <c r="N61" s="9">
        <f t="shared" ca="1" si="14"/>
        <v>0</v>
      </c>
      <c r="O61" s="9">
        <f t="shared" ca="1" si="13"/>
        <v>0</v>
      </c>
      <c r="P61" s="9">
        <f t="shared" ca="1" si="7"/>
        <v>0</v>
      </c>
      <c r="Q61" s="9">
        <f t="shared" ca="1" si="7"/>
        <v>-139.91</v>
      </c>
      <c r="R61" s="9">
        <f t="shared" ca="1" si="7"/>
        <v>-1425</v>
      </c>
      <c r="S61" s="9">
        <f t="shared" ca="1" si="7"/>
        <v>-202.22</v>
      </c>
      <c r="T61" s="9">
        <f t="shared" ca="1" si="12"/>
        <v>246.85000000000008</v>
      </c>
      <c r="U61" s="15">
        <f ca="1">U60+Table7[[#This Row],[Total Monthly]]</f>
        <v>30205.469999999998</v>
      </c>
    </row>
    <row r="62" spans="1:24" x14ac:dyDescent="0.25">
      <c r="A62" s="13">
        <f t="shared" si="8"/>
        <v>45231</v>
      </c>
      <c r="B62" s="12" t="str">
        <f t="shared" si="11"/>
        <v>November 2023</v>
      </c>
      <c r="C62" s="9">
        <f t="shared" ca="1" si="13"/>
        <v>4612.9399999999996</v>
      </c>
      <c r="D62" s="9">
        <f t="shared" ca="1" si="13"/>
        <v>-1189.47</v>
      </c>
      <c r="E62" s="9">
        <f t="shared" ca="1" si="13"/>
        <v>0</v>
      </c>
      <c r="F62" s="9">
        <f t="shared" ca="1" si="13"/>
        <v>-41.02</v>
      </c>
      <c r="G62" s="9">
        <f t="shared" ca="1" si="13"/>
        <v>0</v>
      </c>
      <c r="H62" s="9">
        <f t="shared" ca="1" si="13"/>
        <v>-469.77</v>
      </c>
      <c r="I62" s="9">
        <f t="shared" ca="1" si="13"/>
        <v>-249.94</v>
      </c>
      <c r="J62" s="9">
        <f t="shared" ca="1" si="13"/>
        <v>-125.4</v>
      </c>
      <c r="K62" s="9">
        <f t="shared" ca="1" si="13"/>
        <v>0</v>
      </c>
      <c r="L62" s="9">
        <f t="shared" ca="1" si="13"/>
        <v>0</v>
      </c>
      <c r="M62" s="9">
        <f t="shared" ca="1" si="14"/>
        <v>0</v>
      </c>
      <c r="N62" s="9">
        <f t="shared" ca="1" si="14"/>
        <v>0</v>
      </c>
      <c r="O62" s="9">
        <f t="shared" ca="1" si="13"/>
        <v>0</v>
      </c>
      <c r="P62" s="9">
        <f t="shared" ca="1" si="7"/>
        <v>0</v>
      </c>
      <c r="Q62" s="9">
        <f t="shared" ca="1" si="7"/>
        <v>-69.17</v>
      </c>
      <c r="R62" s="9">
        <f t="shared" ca="1" si="7"/>
        <v>-1425</v>
      </c>
      <c r="S62" s="9">
        <f t="shared" ca="1" si="7"/>
        <v>-160.51</v>
      </c>
      <c r="T62" s="9">
        <f t="shared" ca="1" si="12"/>
        <v>857.66000000000008</v>
      </c>
      <c r="U62" s="15">
        <f ca="1">U61+Table7[[#This Row],[Total Monthly]]</f>
        <v>31063.129999999997</v>
      </c>
    </row>
    <row r="63" spans="1:24" x14ac:dyDescent="0.25">
      <c r="A63" s="13">
        <f t="shared" si="8"/>
        <v>45261</v>
      </c>
      <c r="B63" s="12" t="str">
        <f t="shared" si="11"/>
        <v>December 2023</v>
      </c>
      <c r="C63" s="9">
        <f t="shared" ca="1" si="13"/>
        <v>7254.72</v>
      </c>
      <c r="D63" s="9">
        <f t="shared" ca="1" si="13"/>
        <v>-1272.6600000000003</v>
      </c>
      <c r="E63" s="9">
        <f t="shared" ca="1" si="13"/>
        <v>0</v>
      </c>
      <c r="F63" s="9">
        <f t="shared" ca="1" si="13"/>
        <v>-9.15</v>
      </c>
      <c r="G63" s="9">
        <f t="shared" ca="1" si="13"/>
        <v>-207.97</v>
      </c>
      <c r="H63" s="9">
        <f t="shared" ca="1" si="13"/>
        <v>-379.25</v>
      </c>
      <c r="I63" s="9">
        <f t="shared" ca="1" si="13"/>
        <v>-392.59000000000003</v>
      </c>
      <c r="J63" s="9">
        <f t="shared" ca="1" si="13"/>
        <v>-161.19</v>
      </c>
      <c r="K63" s="9">
        <f t="shared" ca="1" si="13"/>
        <v>0</v>
      </c>
      <c r="L63" s="9">
        <f t="shared" ca="1" si="13"/>
        <v>0</v>
      </c>
      <c r="M63" s="9">
        <f t="shared" ca="1" si="14"/>
        <v>0</v>
      </c>
      <c r="N63" s="9">
        <f t="shared" ca="1" si="14"/>
        <v>0</v>
      </c>
      <c r="O63" s="9">
        <f t="shared" ca="1" si="13"/>
        <v>0</v>
      </c>
      <c r="P63" s="9">
        <f t="shared" ca="1" si="7"/>
        <v>0</v>
      </c>
      <c r="Q63" s="9">
        <f t="shared" ca="1" si="7"/>
        <v>-55.56</v>
      </c>
      <c r="R63" s="9">
        <f t="shared" ca="1" si="7"/>
        <v>-1425</v>
      </c>
      <c r="S63" s="9">
        <f t="shared" ca="1" si="7"/>
        <v>-182.70999999999998</v>
      </c>
      <c r="T63" s="9">
        <f t="shared" ca="1" si="12"/>
        <v>3184.2900000000031</v>
      </c>
      <c r="U63" s="15">
        <f ca="1">U62+Table7[[#This Row],[Total Monthly]]</f>
        <v>34247.42</v>
      </c>
    </row>
    <row r="64" spans="1:24" x14ac:dyDescent="0.25">
      <c r="A64" s="13">
        <f t="shared" si="8"/>
        <v>45292</v>
      </c>
      <c r="B64" s="12" t="str">
        <f t="shared" si="11"/>
        <v>January 2024</v>
      </c>
      <c r="C64" s="9">
        <f t="shared" ca="1" si="13"/>
        <v>4324.51</v>
      </c>
      <c r="D64" s="9">
        <f t="shared" ca="1" si="13"/>
        <v>-822.77</v>
      </c>
      <c r="E64" s="9">
        <f t="shared" ref="C64:P85" ca="1" si="15">SUMIF(INDIRECT("'"&amp;$B64&amp;"'!$F$1:$F$999"), E$2, INDIRECT("'"&amp;$B64&amp;"'!$B$1:$B$999"))</f>
        <v>-37.72</v>
      </c>
      <c r="F64" s="9">
        <f t="shared" ca="1" si="15"/>
        <v>-185.72</v>
      </c>
      <c r="G64" s="9">
        <f t="shared" ca="1" si="15"/>
        <v>0</v>
      </c>
      <c r="H64" s="9">
        <f t="shared" ca="1" si="15"/>
        <v>-2786.3099999999995</v>
      </c>
      <c r="I64" s="9">
        <f t="shared" ca="1" si="15"/>
        <v>-224.26</v>
      </c>
      <c r="J64" s="9">
        <f t="shared" ca="1" si="15"/>
        <v>-60.09</v>
      </c>
      <c r="K64" s="9">
        <f t="shared" ca="1" si="15"/>
        <v>0</v>
      </c>
      <c r="L64" s="9">
        <f t="shared" ca="1" si="15"/>
        <v>-14650</v>
      </c>
      <c r="M64" s="9">
        <f t="shared" ca="1" si="14"/>
        <v>0</v>
      </c>
      <c r="N64" s="9">
        <f t="shared" ca="1" si="14"/>
        <v>0</v>
      </c>
      <c r="O64" s="9">
        <f t="shared" ca="1" si="15"/>
        <v>0</v>
      </c>
      <c r="P64" s="9">
        <f t="shared" ca="1" si="7"/>
        <v>0</v>
      </c>
      <c r="Q64" s="9">
        <f t="shared" ca="1" si="7"/>
        <v>-161.46</v>
      </c>
      <c r="R64" s="9">
        <f t="shared" ca="1" si="7"/>
        <v>-1425</v>
      </c>
      <c r="S64" s="9">
        <f t="shared" ca="1" si="7"/>
        <v>-164.51999999999998</v>
      </c>
      <c r="T64" s="9">
        <f t="shared" ca="1" si="12"/>
        <v>-12467.349999999995</v>
      </c>
      <c r="U64" s="15">
        <f ca="1">U63+Table7[[#This Row],[Total Monthly]]</f>
        <v>21780.070000000003</v>
      </c>
    </row>
    <row r="65" spans="1:21" x14ac:dyDescent="0.25">
      <c r="A65" s="13">
        <f t="shared" si="8"/>
        <v>45323</v>
      </c>
      <c r="B65" s="12" t="str">
        <f t="shared" si="11"/>
        <v>February 2024</v>
      </c>
      <c r="C65" s="9">
        <f t="shared" ca="1" si="15"/>
        <v>4340.84</v>
      </c>
      <c r="D65" s="9">
        <f t="shared" ca="1" si="15"/>
        <v>-398.68999999999994</v>
      </c>
      <c r="E65" s="9">
        <f t="shared" ca="1" si="15"/>
        <v>0</v>
      </c>
      <c r="F65" s="9">
        <f t="shared" ca="1" si="15"/>
        <v>0</v>
      </c>
      <c r="G65" s="9">
        <f t="shared" ca="1" si="15"/>
        <v>0</v>
      </c>
      <c r="H65" s="9">
        <f t="shared" ca="1" si="15"/>
        <v>-1712.96</v>
      </c>
      <c r="I65" s="9">
        <f t="shared" ca="1" si="15"/>
        <v>-52.29</v>
      </c>
      <c r="J65" s="9">
        <f t="shared" ca="1" si="15"/>
        <v>-10.55</v>
      </c>
      <c r="K65" s="9">
        <f t="shared" ca="1" si="15"/>
        <v>0</v>
      </c>
      <c r="L65" s="9">
        <f t="shared" ca="1" si="15"/>
        <v>-800</v>
      </c>
      <c r="M65" s="9">
        <f t="shared" ca="1" si="14"/>
        <v>0</v>
      </c>
      <c r="N65" s="9">
        <f t="shared" ca="1" si="14"/>
        <v>0</v>
      </c>
      <c r="O65" s="9">
        <f t="shared" ca="1" si="15"/>
        <v>0</v>
      </c>
      <c r="P65" s="9">
        <f t="shared" ca="1" si="7"/>
        <v>0</v>
      </c>
      <c r="Q65" s="9">
        <f t="shared" ca="1" si="7"/>
        <v>-74.319999999999993</v>
      </c>
      <c r="R65" s="9">
        <f t="shared" ca="1" si="7"/>
        <v>-1425</v>
      </c>
      <c r="S65" s="9">
        <f t="shared" ca="1" si="7"/>
        <v>-160.26</v>
      </c>
      <c r="T65" s="9">
        <f t="shared" ca="1" si="12"/>
        <v>-293.22999999999979</v>
      </c>
      <c r="U65" s="15">
        <f ca="1">U64+Table7[[#This Row],[Total Monthly]]</f>
        <v>21486.840000000004</v>
      </c>
    </row>
    <row r="66" spans="1:21" x14ac:dyDescent="0.25">
      <c r="A66" s="13">
        <f t="shared" si="8"/>
        <v>45352</v>
      </c>
      <c r="B66" s="12" t="str">
        <f t="shared" si="11"/>
        <v>March 2024</v>
      </c>
      <c r="C66" s="9">
        <f t="shared" ca="1" si="15"/>
        <v>4698.8499999999995</v>
      </c>
      <c r="D66" s="9">
        <f t="shared" ca="1" si="15"/>
        <v>-1888.28</v>
      </c>
      <c r="E66" s="9">
        <f t="shared" ca="1" si="15"/>
        <v>-33.380000000000003</v>
      </c>
      <c r="F66" s="9">
        <f t="shared" ca="1" si="15"/>
        <v>-607.96</v>
      </c>
      <c r="G66" s="9">
        <f t="shared" ca="1" si="15"/>
        <v>-153.16</v>
      </c>
      <c r="H66" s="9">
        <f t="shared" ca="1" si="15"/>
        <v>-1020.2700000000001</v>
      </c>
      <c r="I66" s="9">
        <f t="shared" ca="1" si="15"/>
        <v>-366.3</v>
      </c>
      <c r="J66" s="9">
        <f t="shared" ca="1" si="15"/>
        <v>-155.10000000000002</v>
      </c>
      <c r="K66" s="9">
        <f t="shared" ca="1" si="15"/>
        <v>0</v>
      </c>
      <c r="L66" s="9">
        <f t="shared" ca="1" si="15"/>
        <v>-1200</v>
      </c>
      <c r="M66" s="9">
        <f t="shared" ca="1" si="14"/>
        <v>0</v>
      </c>
      <c r="N66" s="9">
        <f t="shared" ca="1" si="14"/>
        <v>0</v>
      </c>
      <c r="O66" s="9">
        <f t="shared" ca="1" si="15"/>
        <v>0</v>
      </c>
      <c r="P66" s="9">
        <f t="shared" ca="1" si="7"/>
        <v>0</v>
      </c>
      <c r="Q66" s="9">
        <f t="shared" ca="1" si="7"/>
        <v>-62.34</v>
      </c>
      <c r="R66" s="9">
        <f t="shared" ca="1" si="7"/>
        <v>-1425</v>
      </c>
      <c r="S66" s="9">
        <f t="shared" ca="1" si="7"/>
        <v>-195.7</v>
      </c>
      <c r="T66" s="9">
        <f t="shared" ca="1" si="12"/>
        <v>-2406.5699999999993</v>
      </c>
      <c r="U66" s="15">
        <f ca="1">U65+Table7[[#This Row],[Total Monthly]]</f>
        <v>19080.270000000004</v>
      </c>
    </row>
    <row r="67" spans="1:21" x14ac:dyDescent="0.25">
      <c r="A67" s="13">
        <f t="shared" si="8"/>
        <v>45383</v>
      </c>
      <c r="B67" s="12" t="str">
        <f t="shared" si="11"/>
        <v>April 2024</v>
      </c>
      <c r="C67" s="9" t="e">
        <f t="shared" ca="1" si="15"/>
        <v>#REF!</v>
      </c>
      <c r="D67" s="9" t="e">
        <f t="shared" ca="1" si="15"/>
        <v>#REF!</v>
      </c>
      <c r="E67" s="9" t="e">
        <f t="shared" ca="1" si="15"/>
        <v>#REF!</v>
      </c>
      <c r="F67" s="9" t="e">
        <f t="shared" ca="1" si="15"/>
        <v>#REF!</v>
      </c>
      <c r="G67" s="9" t="e">
        <f t="shared" ca="1" si="15"/>
        <v>#REF!</v>
      </c>
      <c r="H67" s="9" t="e">
        <f t="shared" ca="1" si="15"/>
        <v>#REF!</v>
      </c>
      <c r="I67" s="9" t="e">
        <f t="shared" ca="1" si="15"/>
        <v>#REF!</v>
      </c>
      <c r="J67" s="9" t="e">
        <f t="shared" ca="1" si="15"/>
        <v>#REF!</v>
      </c>
      <c r="K67" s="9" t="e">
        <f t="shared" ca="1" si="15"/>
        <v>#REF!</v>
      </c>
      <c r="L67" s="9" t="e">
        <f t="shared" ca="1" si="15"/>
        <v>#REF!</v>
      </c>
      <c r="M67" s="9" t="e">
        <f t="shared" ca="1" si="14"/>
        <v>#REF!</v>
      </c>
      <c r="N67" s="9" t="e">
        <f t="shared" ca="1" si="14"/>
        <v>#REF!</v>
      </c>
      <c r="O67" s="9" t="e">
        <f t="shared" ca="1" si="15"/>
        <v>#REF!</v>
      </c>
      <c r="P67" s="9" t="e">
        <f t="shared" ca="1" si="7"/>
        <v>#REF!</v>
      </c>
      <c r="Q67" s="9" t="e">
        <f t="shared" ca="1" si="7"/>
        <v>#REF!</v>
      </c>
      <c r="R67" s="9" t="e">
        <f t="shared" ca="1" si="7"/>
        <v>#REF!</v>
      </c>
      <c r="S67" s="9" t="e">
        <f t="shared" ca="1" si="7"/>
        <v>#REF!</v>
      </c>
      <c r="T67" s="9" t="e">
        <f t="shared" ca="1" si="12"/>
        <v>#REF!</v>
      </c>
      <c r="U67" s="15" t="e">
        <f ca="1">U66+Table7[[#This Row],[Total Monthly]]</f>
        <v>#REF!</v>
      </c>
    </row>
    <row r="68" spans="1:21" x14ac:dyDescent="0.25">
      <c r="A68" s="13">
        <f t="shared" si="8"/>
        <v>45413</v>
      </c>
      <c r="B68" s="12" t="str">
        <f t="shared" si="11"/>
        <v>May 2024</v>
      </c>
      <c r="C68" s="9" t="e">
        <f t="shared" ca="1" si="15"/>
        <v>#REF!</v>
      </c>
      <c r="D68" s="9" t="e">
        <f t="shared" ca="1" si="15"/>
        <v>#REF!</v>
      </c>
      <c r="E68" s="9" t="e">
        <f t="shared" ca="1" si="15"/>
        <v>#REF!</v>
      </c>
      <c r="F68" s="9" t="e">
        <f t="shared" ca="1" si="15"/>
        <v>#REF!</v>
      </c>
      <c r="G68" s="9" t="e">
        <f t="shared" ca="1" si="15"/>
        <v>#REF!</v>
      </c>
      <c r="H68" s="9" t="e">
        <f t="shared" ca="1" si="15"/>
        <v>#REF!</v>
      </c>
      <c r="I68" s="9" t="e">
        <f t="shared" ca="1" si="15"/>
        <v>#REF!</v>
      </c>
      <c r="J68" s="9" t="e">
        <f t="shared" ca="1" si="15"/>
        <v>#REF!</v>
      </c>
      <c r="K68" s="9" t="e">
        <f t="shared" ca="1" si="15"/>
        <v>#REF!</v>
      </c>
      <c r="L68" s="9" t="e">
        <f t="shared" ca="1" si="15"/>
        <v>#REF!</v>
      </c>
      <c r="M68" s="9" t="e">
        <f t="shared" ca="1" si="14"/>
        <v>#REF!</v>
      </c>
      <c r="N68" s="9" t="e">
        <f t="shared" ca="1" si="14"/>
        <v>#REF!</v>
      </c>
      <c r="O68" s="9" t="e">
        <f t="shared" ca="1" si="15"/>
        <v>#REF!</v>
      </c>
      <c r="P68" s="9" t="e">
        <f t="shared" ca="1" si="7"/>
        <v>#REF!</v>
      </c>
      <c r="Q68" s="9" t="e">
        <f t="shared" ca="1" si="7"/>
        <v>#REF!</v>
      </c>
      <c r="R68" s="9" t="e">
        <f t="shared" ca="1" si="7"/>
        <v>#REF!</v>
      </c>
      <c r="S68" s="9" t="e">
        <f t="shared" ca="1" si="7"/>
        <v>#REF!</v>
      </c>
      <c r="T68" s="9" t="e">
        <f t="shared" ref="T68:T98" ca="1" si="16">SUM(INDIRECT("'"&amp;B68&amp;"'!B1:B999"))</f>
        <v>#REF!</v>
      </c>
      <c r="U68" s="15" t="e">
        <f ca="1">U67+Table7[[#This Row],[Total Monthly]]</f>
        <v>#REF!</v>
      </c>
    </row>
    <row r="69" spans="1:21" x14ac:dyDescent="0.25">
      <c r="A69" s="13">
        <f t="shared" si="8"/>
        <v>45444</v>
      </c>
      <c r="B69" s="12" t="str">
        <f t="shared" si="11"/>
        <v>June 2024</v>
      </c>
      <c r="C69" s="9" t="e">
        <f t="shared" ca="1" si="15"/>
        <v>#REF!</v>
      </c>
      <c r="D69" s="9" t="e">
        <f t="shared" ca="1" si="15"/>
        <v>#REF!</v>
      </c>
      <c r="E69" s="9" t="e">
        <f t="shared" ca="1" si="15"/>
        <v>#REF!</v>
      </c>
      <c r="F69" s="9" t="e">
        <f t="shared" ca="1" si="15"/>
        <v>#REF!</v>
      </c>
      <c r="G69" s="9" t="e">
        <f t="shared" ca="1" si="15"/>
        <v>#REF!</v>
      </c>
      <c r="H69" s="9" t="e">
        <f t="shared" ca="1" si="15"/>
        <v>#REF!</v>
      </c>
      <c r="I69" s="9" t="e">
        <f t="shared" ca="1" si="15"/>
        <v>#REF!</v>
      </c>
      <c r="J69" s="9" t="e">
        <f t="shared" ca="1" si="15"/>
        <v>#REF!</v>
      </c>
      <c r="K69" s="9" t="e">
        <f t="shared" ca="1" si="15"/>
        <v>#REF!</v>
      </c>
      <c r="L69" s="9" t="e">
        <f t="shared" ca="1" si="15"/>
        <v>#REF!</v>
      </c>
      <c r="M69" s="9" t="e">
        <f t="shared" ca="1" si="14"/>
        <v>#REF!</v>
      </c>
      <c r="N69" s="9" t="e">
        <f t="shared" ca="1" si="14"/>
        <v>#REF!</v>
      </c>
      <c r="O69" s="9" t="e">
        <f t="shared" ca="1" si="15"/>
        <v>#REF!</v>
      </c>
      <c r="P69" s="9" t="e">
        <f t="shared" ca="1" si="15"/>
        <v>#REF!</v>
      </c>
      <c r="Q69" s="9" t="e">
        <f t="shared" ref="Q69:S132" ca="1" si="17">SUMIF(INDIRECT("'"&amp;$B69&amp;"'!$F$1:$F$999"), Q$2, INDIRECT("'"&amp;$B69&amp;"'!$B$1:$B$999"))</f>
        <v>#REF!</v>
      </c>
      <c r="R69" s="9" t="e">
        <f t="shared" ca="1" si="17"/>
        <v>#REF!</v>
      </c>
      <c r="S69" s="9" t="e">
        <f t="shared" ca="1" si="17"/>
        <v>#REF!</v>
      </c>
      <c r="T69" s="9" t="e">
        <f t="shared" ca="1" si="16"/>
        <v>#REF!</v>
      </c>
      <c r="U69" s="15" t="e">
        <f ca="1">U68+Table7[[#This Row],[Total Monthly]]</f>
        <v>#REF!</v>
      </c>
    </row>
    <row r="70" spans="1:21" x14ac:dyDescent="0.25">
      <c r="A70" s="13">
        <f t="shared" ref="A70:A133" si="18">DATE(YEAR(A69), MONTH(A69) + 1, 1)</f>
        <v>45474</v>
      </c>
      <c r="B70" s="12" t="str">
        <f t="shared" si="11"/>
        <v>July 2024</v>
      </c>
      <c r="C70" s="9" t="e">
        <f t="shared" ca="1" si="15"/>
        <v>#REF!</v>
      </c>
      <c r="D70" s="9" t="e">
        <f t="shared" ca="1" si="15"/>
        <v>#REF!</v>
      </c>
      <c r="E70" s="9" t="e">
        <f t="shared" ca="1" si="15"/>
        <v>#REF!</v>
      </c>
      <c r="F70" s="9" t="e">
        <f t="shared" ca="1" si="15"/>
        <v>#REF!</v>
      </c>
      <c r="G70" s="9" t="e">
        <f t="shared" ca="1" si="15"/>
        <v>#REF!</v>
      </c>
      <c r="H70" s="9" t="e">
        <f t="shared" ca="1" si="15"/>
        <v>#REF!</v>
      </c>
      <c r="I70" s="9" t="e">
        <f t="shared" ca="1" si="15"/>
        <v>#REF!</v>
      </c>
      <c r="J70" s="9" t="e">
        <f t="shared" ca="1" si="15"/>
        <v>#REF!</v>
      </c>
      <c r="K70" s="9" t="e">
        <f t="shared" ca="1" si="15"/>
        <v>#REF!</v>
      </c>
      <c r="L70" s="9" t="e">
        <f t="shared" ca="1" si="15"/>
        <v>#REF!</v>
      </c>
      <c r="M70" s="9" t="e">
        <f t="shared" ca="1" si="14"/>
        <v>#REF!</v>
      </c>
      <c r="N70" s="9" t="e">
        <f t="shared" ca="1" si="14"/>
        <v>#REF!</v>
      </c>
      <c r="O70" s="9" t="e">
        <f t="shared" ca="1" si="15"/>
        <v>#REF!</v>
      </c>
      <c r="P70" s="9" t="e">
        <f t="shared" ca="1" si="15"/>
        <v>#REF!</v>
      </c>
      <c r="Q70" s="9" t="e">
        <f t="shared" ca="1" si="17"/>
        <v>#REF!</v>
      </c>
      <c r="R70" s="9" t="e">
        <f t="shared" ca="1" si="17"/>
        <v>#REF!</v>
      </c>
      <c r="S70" s="9" t="e">
        <f t="shared" ca="1" si="17"/>
        <v>#REF!</v>
      </c>
      <c r="T70" s="9" t="e">
        <f t="shared" ca="1" si="16"/>
        <v>#REF!</v>
      </c>
      <c r="U70" s="15" t="e">
        <f ca="1">U69+Table7[[#This Row],[Total Monthly]]</f>
        <v>#REF!</v>
      </c>
    </row>
    <row r="71" spans="1:21" x14ac:dyDescent="0.25">
      <c r="A71" s="13">
        <f t="shared" si="18"/>
        <v>45505</v>
      </c>
      <c r="B71" s="12" t="str">
        <f t="shared" si="11"/>
        <v>August 2024</v>
      </c>
      <c r="C71" s="9" t="e">
        <f t="shared" ca="1" si="15"/>
        <v>#REF!</v>
      </c>
      <c r="D71" s="9" t="e">
        <f t="shared" ca="1" si="15"/>
        <v>#REF!</v>
      </c>
      <c r="E71" s="9" t="e">
        <f t="shared" ca="1" si="15"/>
        <v>#REF!</v>
      </c>
      <c r="F71" s="9" t="e">
        <f t="shared" ca="1" si="15"/>
        <v>#REF!</v>
      </c>
      <c r="G71" s="9" t="e">
        <f t="shared" ca="1" si="15"/>
        <v>#REF!</v>
      </c>
      <c r="H71" s="9" t="e">
        <f t="shared" ca="1" si="15"/>
        <v>#REF!</v>
      </c>
      <c r="I71" s="9" t="e">
        <f t="shared" ca="1" si="15"/>
        <v>#REF!</v>
      </c>
      <c r="J71" s="9" t="e">
        <f t="shared" ca="1" si="15"/>
        <v>#REF!</v>
      </c>
      <c r="K71" s="9" t="e">
        <f t="shared" ca="1" si="15"/>
        <v>#REF!</v>
      </c>
      <c r="L71" s="9" t="e">
        <f t="shared" ca="1" si="15"/>
        <v>#REF!</v>
      </c>
      <c r="M71" s="9" t="e">
        <f t="shared" ca="1" si="14"/>
        <v>#REF!</v>
      </c>
      <c r="N71" s="9" t="e">
        <f t="shared" ca="1" si="14"/>
        <v>#REF!</v>
      </c>
      <c r="O71" s="9" t="e">
        <f t="shared" ca="1" si="15"/>
        <v>#REF!</v>
      </c>
      <c r="P71" s="9" t="e">
        <f t="shared" ca="1" si="15"/>
        <v>#REF!</v>
      </c>
      <c r="Q71" s="9" t="e">
        <f t="shared" ca="1" si="17"/>
        <v>#REF!</v>
      </c>
      <c r="R71" s="9" t="e">
        <f t="shared" ca="1" si="17"/>
        <v>#REF!</v>
      </c>
      <c r="S71" s="9" t="e">
        <f t="shared" ca="1" si="17"/>
        <v>#REF!</v>
      </c>
      <c r="T71" s="9" t="e">
        <f t="shared" ca="1" si="16"/>
        <v>#REF!</v>
      </c>
      <c r="U71" s="15" t="e">
        <f ca="1">U70+Table7[[#This Row],[Total Monthly]]</f>
        <v>#REF!</v>
      </c>
    </row>
    <row r="72" spans="1:21" x14ac:dyDescent="0.25">
      <c r="A72" s="13">
        <f t="shared" si="18"/>
        <v>45536</v>
      </c>
      <c r="B72" s="12" t="str">
        <f t="shared" si="11"/>
        <v>September 2024</v>
      </c>
      <c r="C72" s="9" t="e">
        <f t="shared" ca="1" si="15"/>
        <v>#REF!</v>
      </c>
      <c r="D72" s="9" t="e">
        <f t="shared" ca="1" si="15"/>
        <v>#REF!</v>
      </c>
      <c r="E72" s="9" t="e">
        <f t="shared" ca="1" si="15"/>
        <v>#REF!</v>
      </c>
      <c r="F72" s="9" t="e">
        <f t="shared" ca="1" si="15"/>
        <v>#REF!</v>
      </c>
      <c r="G72" s="9" t="e">
        <f t="shared" ca="1" si="15"/>
        <v>#REF!</v>
      </c>
      <c r="H72" s="9" t="e">
        <f t="shared" ca="1" si="15"/>
        <v>#REF!</v>
      </c>
      <c r="I72" s="9" t="e">
        <f t="shared" ca="1" si="15"/>
        <v>#REF!</v>
      </c>
      <c r="J72" s="9" t="e">
        <f t="shared" ca="1" si="15"/>
        <v>#REF!</v>
      </c>
      <c r="K72" s="9" t="e">
        <f t="shared" ca="1" si="15"/>
        <v>#REF!</v>
      </c>
      <c r="L72" s="9" t="e">
        <f t="shared" ca="1" si="15"/>
        <v>#REF!</v>
      </c>
      <c r="M72" s="9" t="e">
        <f t="shared" ca="1" si="14"/>
        <v>#REF!</v>
      </c>
      <c r="N72" s="9" t="e">
        <f t="shared" ca="1" si="14"/>
        <v>#REF!</v>
      </c>
      <c r="O72" s="9" t="e">
        <f t="shared" ca="1" si="15"/>
        <v>#REF!</v>
      </c>
      <c r="P72" s="9" t="e">
        <f t="shared" ca="1" si="15"/>
        <v>#REF!</v>
      </c>
      <c r="Q72" s="9" t="e">
        <f t="shared" ca="1" si="17"/>
        <v>#REF!</v>
      </c>
      <c r="R72" s="9" t="e">
        <f t="shared" ca="1" si="17"/>
        <v>#REF!</v>
      </c>
      <c r="S72" s="9" t="e">
        <f t="shared" ca="1" si="17"/>
        <v>#REF!</v>
      </c>
      <c r="T72" s="9" t="e">
        <f t="shared" ca="1" si="16"/>
        <v>#REF!</v>
      </c>
      <c r="U72" s="15" t="e">
        <f ca="1">U71+Table7[[#This Row],[Total Monthly]]</f>
        <v>#REF!</v>
      </c>
    </row>
    <row r="73" spans="1:21" x14ac:dyDescent="0.25">
      <c r="A73" s="13">
        <f t="shared" si="18"/>
        <v>45566</v>
      </c>
      <c r="B73" s="12" t="str">
        <f t="shared" si="11"/>
        <v>October 2024</v>
      </c>
      <c r="C73" s="9" t="e">
        <f t="shared" ca="1" si="15"/>
        <v>#REF!</v>
      </c>
      <c r="D73" s="9" t="e">
        <f t="shared" ca="1" si="15"/>
        <v>#REF!</v>
      </c>
      <c r="E73" s="9" t="e">
        <f t="shared" ca="1" si="15"/>
        <v>#REF!</v>
      </c>
      <c r="F73" s="9" t="e">
        <f t="shared" ca="1" si="15"/>
        <v>#REF!</v>
      </c>
      <c r="G73" s="9" t="e">
        <f t="shared" ca="1" si="15"/>
        <v>#REF!</v>
      </c>
      <c r="H73" s="9" t="e">
        <f t="shared" ca="1" si="15"/>
        <v>#REF!</v>
      </c>
      <c r="I73" s="9" t="e">
        <f t="shared" ca="1" si="15"/>
        <v>#REF!</v>
      </c>
      <c r="J73" s="9" t="e">
        <f t="shared" ca="1" si="15"/>
        <v>#REF!</v>
      </c>
      <c r="K73" s="9" t="e">
        <f t="shared" ca="1" si="15"/>
        <v>#REF!</v>
      </c>
      <c r="L73" s="9" t="e">
        <f t="shared" ca="1" si="15"/>
        <v>#REF!</v>
      </c>
      <c r="M73" s="9" t="e">
        <f t="shared" ca="1" si="14"/>
        <v>#REF!</v>
      </c>
      <c r="N73" s="9" t="e">
        <f t="shared" ca="1" si="14"/>
        <v>#REF!</v>
      </c>
      <c r="O73" s="9" t="e">
        <f t="shared" ca="1" si="15"/>
        <v>#REF!</v>
      </c>
      <c r="P73" s="9" t="e">
        <f t="shared" ca="1" si="15"/>
        <v>#REF!</v>
      </c>
      <c r="Q73" s="9" t="e">
        <f t="shared" ca="1" si="17"/>
        <v>#REF!</v>
      </c>
      <c r="R73" s="9" t="e">
        <f t="shared" ca="1" si="17"/>
        <v>#REF!</v>
      </c>
      <c r="S73" s="9" t="e">
        <f t="shared" ca="1" si="17"/>
        <v>#REF!</v>
      </c>
      <c r="T73" s="9" t="e">
        <f t="shared" ca="1" si="16"/>
        <v>#REF!</v>
      </c>
      <c r="U73" s="15" t="e">
        <f ca="1">U72+Table7[[#This Row],[Total Monthly]]</f>
        <v>#REF!</v>
      </c>
    </row>
    <row r="74" spans="1:21" x14ac:dyDescent="0.25">
      <c r="A74" s="13">
        <f t="shared" si="18"/>
        <v>45597</v>
      </c>
      <c r="B74" s="12" t="str">
        <f t="shared" si="11"/>
        <v>November 2024</v>
      </c>
      <c r="C74" s="9" t="e">
        <f t="shared" ca="1" si="15"/>
        <v>#REF!</v>
      </c>
      <c r="D74" s="9" t="e">
        <f t="shared" ca="1" si="15"/>
        <v>#REF!</v>
      </c>
      <c r="E74" s="9" t="e">
        <f t="shared" ca="1" si="15"/>
        <v>#REF!</v>
      </c>
      <c r="F74" s="9" t="e">
        <f t="shared" ca="1" si="15"/>
        <v>#REF!</v>
      </c>
      <c r="G74" s="9" t="e">
        <f t="shared" ca="1" si="15"/>
        <v>#REF!</v>
      </c>
      <c r="H74" s="9" t="e">
        <f t="shared" ca="1" si="15"/>
        <v>#REF!</v>
      </c>
      <c r="I74" s="9" t="e">
        <f t="shared" ca="1" si="15"/>
        <v>#REF!</v>
      </c>
      <c r="J74" s="9" t="e">
        <f t="shared" ca="1" si="15"/>
        <v>#REF!</v>
      </c>
      <c r="K74" s="9" t="e">
        <f t="shared" ca="1" si="15"/>
        <v>#REF!</v>
      </c>
      <c r="L74" s="9" t="e">
        <f t="shared" ca="1" si="15"/>
        <v>#REF!</v>
      </c>
      <c r="M74" s="9" t="e">
        <f t="shared" ca="1" si="14"/>
        <v>#REF!</v>
      </c>
      <c r="N74" s="9" t="e">
        <f t="shared" ca="1" si="14"/>
        <v>#REF!</v>
      </c>
      <c r="O74" s="9" t="e">
        <f t="shared" ca="1" si="15"/>
        <v>#REF!</v>
      </c>
      <c r="P74" s="9" t="e">
        <f t="shared" ca="1" si="15"/>
        <v>#REF!</v>
      </c>
      <c r="Q74" s="9" t="e">
        <f t="shared" ca="1" si="17"/>
        <v>#REF!</v>
      </c>
      <c r="R74" s="9" t="e">
        <f t="shared" ca="1" si="17"/>
        <v>#REF!</v>
      </c>
      <c r="S74" s="9" t="e">
        <f t="shared" ca="1" si="17"/>
        <v>#REF!</v>
      </c>
      <c r="T74" s="9" t="e">
        <f t="shared" ca="1" si="16"/>
        <v>#REF!</v>
      </c>
      <c r="U74" s="15" t="e">
        <f ca="1">U73+Table7[[#This Row],[Total Monthly]]</f>
        <v>#REF!</v>
      </c>
    </row>
    <row r="75" spans="1:21" x14ac:dyDescent="0.25">
      <c r="A75" s="13">
        <f t="shared" si="18"/>
        <v>45627</v>
      </c>
      <c r="B75" s="12" t="str">
        <f t="shared" si="11"/>
        <v>December 2024</v>
      </c>
      <c r="C75" s="9" t="e">
        <f t="shared" ca="1" si="15"/>
        <v>#REF!</v>
      </c>
      <c r="D75" s="9" t="e">
        <f t="shared" ca="1" si="15"/>
        <v>#REF!</v>
      </c>
      <c r="E75" s="9" t="e">
        <f t="shared" ca="1" si="15"/>
        <v>#REF!</v>
      </c>
      <c r="F75" s="9" t="e">
        <f t="shared" ca="1" si="15"/>
        <v>#REF!</v>
      </c>
      <c r="G75" s="9" t="e">
        <f t="shared" ca="1" si="15"/>
        <v>#REF!</v>
      </c>
      <c r="H75" s="9" t="e">
        <f t="shared" ca="1" si="15"/>
        <v>#REF!</v>
      </c>
      <c r="I75" s="9" t="e">
        <f t="shared" ca="1" si="15"/>
        <v>#REF!</v>
      </c>
      <c r="J75" s="9" t="e">
        <f t="shared" ca="1" si="15"/>
        <v>#REF!</v>
      </c>
      <c r="K75" s="9" t="e">
        <f t="shared" ca="1" si="15"/>
        <v>#REF!</v>
      </c>
      <c r="L75" s="9" t="e">
        <f t="shared" ca="1" si="15"/>
        <v>#REF!</v>
      </c>
      <c r="M75" s="9" t="e">
        <f t="shared" ca="1" si="14"/>
        <v>#REF!</v>
      </c>
      <c r="N75" s="9" t="e">
        <f t="shared" ca="1" si="14"/>
        <v>#REF!</v>
      </c>
      <c r="O75" s="9" t="e">
        <f t="shared" ca="1" si="15"/>
        <v>#REF!</v>
      </c>
      <c r="P75" s="9" t="e">
        <f t="shared" ca="1" si="15"/>
        <v>#REF!</v>
      </c>
      <c r="Q75" s="9" t="e">
        <f t="shared" ca="1" si="17"/>
        <v>#REF!</v>
      </c>
      <c r="R75" s="9" t="e">
        <f t="shared" ca="1" si="17"/>
        <v>#REF!</v>
      </c>
      <c r="S75" s="9" t="e">
        <f t="shared" ca="1" si="17"/>
        <v>#REF!</v>
      </c>
      <c r="T75" s="9" t="e">
        <f t="shared" ca="1" si="16"/>
        <v>#REF!</v>
      </c>
      <c r="U75" s="15" t="e">
        <f ca="1">U74+Table7[[#This Row],[Total Monthly]]</f>
        <v>#REF!</v>
      </c>
    </row>
    <row r="76" spans="1:21" x14ac:dyDescent="0.25">
      <c r="A76" s="13">
        <f t="shared" si="18"/>
        <v>45658</v>
      </c>
      <c r="B76" s="12" t="str">
        <f t="shared" si="11"/>
        <v>January 2025</v>
      </c>
      <c r="C76" s="9" t="e">
        <f t="shared" ca="1" si="15"/>
        <v>#REF!</v>
      </c>
      <c r="D76" s="9" t="e">
        <f t="shared" ca="1" si="15"/>
        <v>#REF!</v>
      </c>
      <c r="E76" s="9" t="e">
        <f t="shared" ca="1" si="15"/>
        <v>#REF!</v>
      </c>
      <c r="F76" s="9" t="e">
        <f t="shared" ca="1" si="15"/>
        <v>#REF!</v>
      </c>
      <c r="G76" s="9" t="e">
        <f t="shared" ca="1" si="15"/>
        <v>#REF!</v>
      </c>
      <c r="H76" s="9" t="e">
        <f t="shared" ca="1" si="15"/>
        <v>#REF!</v>
      </c>
      <c r="I76" s="9" t="e">
        <f t="shared" ca="1" si="15"/>
        <v>#REF!</v>
      </c>
      <c r="J76" s="9" t="e">
        <f t="shared" ca="1" si="15"/>
        <v>#REF!</v>
      </c>
      <c r="K76" s="9" t="e">
        <f t="shared" ca="1" si="15"/>
        <v>#REF!</v>
      </c>
      <c r="L76" s="9" t="e">
        <f t="shared" ca="1" si="15"/>
        <v>#REF!</v>
      </c>
      <c r="M76" s="9" t="e">
        <f t="shared" ca="1" si="14"/>
        <v>#REF!</v>
      </c>
      <c r="N76" s="9" t="e">
        <f t="shared" ca="1" si="14"/>
        <v>#REF!</v>
      </c>
      <c r="O76" s="9" t="e">
        <f t="shared" ca="1" si="15"/>
        <v>#REF!</v>
      </c>
      <c r="P76" s="9" t="e">
        <f t="shared" ca="1" si="15"/>
        <v>#REF!</v>
      </c>
      <c r="Q76" s="9" t="e">
        <f t="shared" ca="1" si="17"/>
        <v>#REF!</v>
      </c>
      <c r="R76" s="9" t="e">
        <f t="shared" ca="1" si="17"/>
        <v>#REF!</v>
      </c>
      <c r="S76" s="9" t="e">
        <f t="shared" ca="1" si="17"/>
        <v>#REF!</v>
      </c>
      <c r="T76" s="9" t="e">
        <f t="shared" ca="1" si="16"/>
        <v>#REF!</v>
      </c>
      <c r="U76" s="15" t="e">
        <f ca="1">U75+Table7[[#This Row],[Total Monthly]]</f>
        <v>#REF!</v>
      </c>
    </row>
    <row r="77" spans="1:21" x14ac:dyDescent="0.25">
      <c r="A77" s="13">
        <f t="shared" si="18"/>
        <v>45689</v>
      </c>
      <c r="B77" s="12" t="str">
        <f t="shared" si="11"/>
        <v>February 2025</v>
      </c>
      <c r="C77" s="9" t="e">
        <f t="shared" ca="1" si="15"/>
        <v>#REF!</v>
      </c>
      <c r="D77" s="9" t="e">
        <f t="shared" ca="1" si="15"/>
        <v>#REF!</v>
      </c>
      <c r="E77" s="9" t="e">
        <f t="shared" ca="1" si="15"/>
        <v>#REF!</v>
      </c>
      <c r="F77" s="9" t="e">
        <f t="shared" ca="1" si="15"/>
        <v>#REF!</v>
      </c>
      <c r="G77" s="9" t="e">
        <f t="shared" ca="1" si="15"/>
        <v>#REF!</v>
      </c>
      <c r="H77" s="9" t="e">
        <f t="shared" ca="1" si="15"/>
        <v>#REF!</v>
      </c>
      <c r="I77" s="9" t="e">
        <f t="shared" ca="1" si="15"/>
        <v>#REF!</v>
      </c>
      <c r="J77" s="9" t="e">
        <f t="shared" ca="1" si="15"/>
        <v>#REF!</v>
      </c>
      <c r="K77" s="9" t="e">
        <f t="shared" ca="1" si="15"/>
        <v>#REF!</v>
      </c>
      <c r="L77" s="9" t="e">
        <f t="shared" ca="1" si="15"/>
        <v>#REF!</v>
      </c>
      <c r="M77" s="9" t="e">
        <f t="shared" ca="1" si="14"/>
        <v>#REF!</v>
      </c>
      <c r="N77" s="9" t="e">
        <f t="shared" ca="1" si="14"/>
        <v>#REF!</v>
      </c>
      <c r="O77" s="9" t="e">
        <f t="shared" ca="1" si="15"/>
        <v>#REF!</v>
      </c>
      <c r="P77" s="9" t="e">
        <f t="shared" ca="1" si="15"/>
        <v>#REF!</v>
      </c>
      <c r="Q77" s="9" t="e">
        <f t="shared" ca="1" si="17"/>
        <v>#REF!</v>
      </c>
      <c r="R77" s="9" t="e">
        <f t="shared" ca="1" si="17"/>
        <v>#REF!</v>
      </c>
      <c r="S77" s="9" t="e">
        <f t="shared" ca="1" si="17"/>
        <v>#REF!</v>
      </c>
      <c r="T77" s="9" t="e">
        <f t="shared" ca="1" si="16"/>
        <v>#REF!</v>
      </c>
      <c r="U77" s="15" t="e">
        <f ca="1">U76+Table7[[#This Row],[Total Monthly]]</f>
        <v>#REF!</v>
      </c>
    </row>
    <row r="78" spans="1:21" x14ac:dyDescent="0.25">
      <c r="A78" s="13">
        <f t="shared" si="18"/>
        <v>45717</v>
      </c>
      <c r="B78" s="12" t="str">
        <f t="shared" si="11"/>
        <v>March 2025</v>
      </c>
      <c r="C78" s="9" t="e">
        <f t="shared" ca="1" si="15"/>
        <v>#REF!</v>
      </c>
      <c r="D78" s="9" t="e">
        <f t="shared" ca="1" si="15"/>
        <v>#REF!</v>
      </c>
      <c r="E78" s="9" t="e">
        <f t="shared" ca="1" si="15"/>
        <v>#REF!</v>
      </c>
      <c r="F78" s="9" t="e">
        <f t="shared" ca="1" si="15"/>
        <v>#REF!</v>
      </c>
      <c r="G78" s="9" t="e">
        <f t="shared" ca="1" si="15"/>
        <v>#REF!</v>
      </c>
      <c r="H78" s="9" t="e">
        <f t="shared" ca="1" si="15"/>
        <v>#REF!</v>
      </c>
      <c r="I78" s="9" t="e">
        <f t="shared" ca="1" si="15"/>
        <v>#REF!</v>
      </c>
      <c r="J78" s="9" t="e">
        <f t="shared" ca="1" si="15"/>
        <v>#REF!</v>
      </c>
      <c r="K78" s="9" t="e">
        <f t="shared" ca="1" si="15"/>
        <v>#REF!</v>
      </c>
      <c r="L78" s="9" t="e">
        <f t="shared" ca="1" si="15"/>
        <v>#REF!</v>
      </c>
      <c r="M78" s="9" t="e">
        <f t="shared" ca="1" si="14"/>
        <v>#REF!</v>
      </c>
      <c r="N78" s="9" t="e">
        <f t="shared" ca="1" si="14"/>
        <v>#REF!</v>
      </c>
      <c r="O78" s="9" t="e">
        <f t="shared" ca="1" si="15"/>
        <v>#REF!</v>
      </c>
      <c r="P78" s="9" t="e">
        <f t="shared" ca="1" si="15"/>
        <v>#REF!</v>
      </c>
      <c r="Q78" s="9" t="e">
        <f t="shared" ca="1" si="17"/>
        <v>#REF!</v>
      </c>
      <c r="R78" s="9" t="e">
        <f t="shared" ca="1" si="17"/>
        <v>#REF!</v>
      </c>
      <c r="S78" s="9" t="e">
        <f t="shared" ca="1" si="17"/>
        <v>#REF!</v>
      </c>
      <c r="T78" s="9" t="e">
        <f t="shared" ca="1" si="16"/>
        <v>#REF!</v>
      </c>
      <c r="U78" s="15" t="e">
        <f ca="1">U77+Table7[[#This Row],[Total Monthly]]</f>
        <v>#REF!</v>
      </c>
    </row>
    <row r="79" spans="1:21" x14ac:dyDescent="0.25">
      <c r="A79" s="13">
        <f t="shared" si="18"/>
        <v>45748</v>
      </c>
      <c r="B79" s="12" t="str">
        <f t="shared" si="11"/>
        <v>April 2025</v>
      </c>
      <c r="C79" s="9" t="e">
        <f t="shared" ca="1" si="15"/>
        <v>#REF!</v>
      </c>
      <c r="D79" s="9" t="e">
        <f t="shared" ca="1" si="15"/>
        <v>#REF!</v>
      </c>
      <c r="E79" s="9" t="e">
        <f t="shared" ca="1" si="15"/>
        <v>#REF!</v>
      </c>
      <c r="F79" s="9" t="e">
        <f t="shared" ca="1" si="15"/>
        <v>#REF!</v>
      </c>
      <c r="G79" s="9" t="e">
        <f t="shared" ca="1" si="15"/>
        <v>#REF!</v>
      </c>
      <c r="H79" s="9" t="e">
        <f t="shared" ca="1" si="15"/>
        <v>#REF!</v>
      </c>
      <c r="I79" s="9" t="e">
        <f t="shared" ca="1" si="15"/>
        <v>#REF!</v>
      </c>
      <c r="J79" s="9" t="e">
        <f t="shared" ca="1" si="15"/>
        <v>#REF!</v>
      </c>
      <c r="K79" s="9" t="e">
        <f t="shared" ca="1" si="15"/>
        <v>#REF!</v>
      </c>
      <c r="L79" s="9" t="e">
        <f t="shared" ca="1" si="15"/>
        <v>#REF!</v>
      </c>
      <c r="M79" s="9" t="e">
        <f t="shared" ca="1" si="14"/>
        <v>#REF!</v>
      </c>
      <c r="N79" s="9" t="e">
        <f t="shared" ca="1" si="14"/>
        <v>#REF!</v>
      </c>
      <c r="O79" s="9" t="e">
        <f t="shared" ca="1" si="15"/>
        <v>#REF!</v>
      </c>
      <c r="P79" s="9" t="e">
        <f t="shared" ca="1" si="15"/>
        <v>#REF!</v>
      </c>
      <c r="Q79" s="9" t="e">
        <f t="shared" ca="1" si="17"/>
        <v>#REF!</v>
      </c>
      <c r="R79" s="9" t="e">
        <f t="shared" ca="1" si="17"/>
        <v>#REF!</v>
      </c>
      <c r="S79" s="9" t="e">
        <f t="shared" ca="1" si="17"/>
        <v>#REF!</v>
      </c>
      <c r="T79" s="9" t="e">
        <f t="shared" ca="1" si="16"/>
        <v>#REF!</v>
      </c>
      <c r="U79" s="15" t="e">
        <f ca="1">U78+Table7[[#This Row],[Total Monthly]]</f>
        <v>#REF!</v>
      </c>
    </row>
    <row r="80" spans="1:21" x14ac:dyDescent="0.25">
      <c r="A80" s="13">
        <f t="shared" si="18"/>
        <v>45778</v>
      </c>
      <c r="B80" s="12" t="str">
        <f t="shared" si="11"/>
        <v>May 2025</v>
      </c>
      <c r="C80" s="9" t="e">
        <f t="shared" ca="1" si="15"/>
        <v>#REF!</v>
      </c>
      <c r="D80" s="9" t="e">
        <f t="shared" ca="1" si="15"/>
        <v>#REF!</v>
      </c>
      <c r="E80" s="9" t="e">
        <f t="shared" ca="1" si="15"/>
        <v>#REF!</v>
      </c>
      <c r="F80" s="9" t="e">
        <f t="shared" ca="1" si="15"/>
        <v>#REF!</v>
      </c>
      <c r="G80" s="9" t="e">
        <f t="shared" ca="1" si="15"/>
        <v>#REF!</v>
      </c>
      <c r="H80" s="9" t="e">
        <f t="shared" ca="1" si="15"/>
        <v>#REF!</v>
      </c>
      <c r="I80" s="9" t="e">
        <f t="shared" ca="1" si="15"/>
        <v>#REF!</v>
      </c>
      <c r="J80" s="9" t="e">
        <f t="shared" ca="1" si="15"/>
        <v>#REF!</v>
      </c>
      <c r="K80" s="9" t="e">
        <f t="shared" ca="1" si="15"/>
        <v>#REF!</v>
      </c>
      <c r="L80" s="9" t="e">
        <f t="shared" ca="1" si="15"/>
        <v>#REF!</v>
      </c>
      <c r="M80" s="9" t="e">
        <f t="shared" ca="1" si="14"/>
        <v>#REF!</v>
      </c>
      <c r="N80" s="9" t="e">
        <f t="shared" ca="1" si="14"/>
        <v>#REF!</v>
      </c>
      <c r="O80" s="9" t="e">
        <f t="shared" ca="1" si="15"/>
        <v>#REF!</v>
      </c>
      <c r="P80" s="9" t="e">
        <f t="shared" ca="1" si="15"/>
        <v>#REF!</v>
      </c>
      <c r="Q80" s="9" t="e">
        <f t="shared" ca="1" si="17"/>
        <v>#REF!</v>
      </c>
      <c r="R80" s="9" t="e">
        <f t="shared" ca="1" si="17"/>
        <v>#REF!</v>
      </c>
      <c r="S80" s="9" t="e">
        <f t="shared" ca="1" si="17"/>
        <v>#REF!</v>
      </c>
      <c r="T80" s="9" t="e">
        <f t="shared" ca="1" si="16"/>
        <v>#REF!</v>
      </c>
      <c r="U80" s="15" t="e">
        <f ca="1">U79+Table7[[#This Row],[Total Monthly]]</f>
        <v>#REF!</v>
      </c>
    </row>
    <row r="81" spans="1:21" x14ac:dyDescent="0.25">
      <c r="A81" s="13">
        <f t="shared" si="18"/>
        <v>45809</v>
      </c>
      <c r="B81" s="12" t="str">
        <f t="shared" si="11"/>
        <v>June 2025</v>
      </c>
      <c r="C81" s="9" t="e">
        <f t="shared" ca="1" si="15"/>
        <v>#REF!</v>
      </c>
      <c r="D81" s="9" t="e">
        <f t="shared" ca="1" si="15"/>
        <v>#REF!</v>
      </c>
      <c r="E81" s="9" t="e">
        <f t="shared" ca="1" si="15"/>
        <v>#REF!</v>
      </c>
      <c r="F81" s="9" t="e">
        <f t="shared" ca="1" si="15"/>
        <v>#REF!</v>
      </c>
      <c r="G81" s="9" t="e">
        <f t="shared" ca="1" si="15"/>
        <v>#REF!</v>
      </c>
      <c r="H81" s="9" t="e">
        <f t="shared" ca="1" si="15"/>
        <v>#REF!</v>
      </c>
      <c r="I81" s="9" t="e">
        <f t="shared" ca="1" si="15"/>
        <v>#REF!</v>
      </c>
      <c r="J81" s="9" t="e">
        <f t="shared" ca="1" si="15"/>
        <v>#REF!</v>
      </c>
      <c r="K81" s="9" t="e">
        <f t="shared" ca="1" si="15"/>
        <v>#REF!</v>
      </c>
      <c r="L81" s="9" t="e">
        <f t="shared" ca="1" si="15"/>
        <v>#REF!</v>
      </c>
      <c r="M81" s="9" t="e">
        <f t="shared" ca="1" si="14"/>
        <v>#REF!</v>
      </c>
      <c r="N81" s="9" t="e">
        <f t="shared" ca="1" si="14"/>
        <v>#REF!</v>
      </c>
      <c r="O81" s="9" t="e">
        <f t="shared" ca="1" si="15"/>
        <v>#REF!</v>
      </c>
      <c r="P81" s="9" t="e">
        <f t="shared" ca="1" si="15"/>
        <v>#REF!</v>
      </c>
      <c r="Q81" s="9" t="e">
        <f t="shared" ca="1" si="17"/>
        <v>#REF!</v>
      </c>
      <c r="R81" s="9" t="e">
        <f t="shared" ca="1" si="17"/>
        <v>#REF!</v>
      </c>
      <c r="S81" s="9" t="e">
        <f t="shared" ca="1" si="17"/>
        <v>#REF!</v>
      </c>
      <c r="T81" s="9" t="e">
        <f t="shared" ca="1" si="16"/>
        <v>#REF!</v>
      </c>
      <c r="U81" s="15" t="e">
        <f ca="1">U80+Table7[[#This Row],[Total Monthly]]</f>
        <v>#REF!</v>
      </c>
    </row>
    <row r="82" spans="1:21" x14ac:dyDescent="0.25">
      <c r="A82" s="13">
        <f t="shared" si="18"/>
        <v>45839</v>
      </c>
      <c r="B82" s="12" t="str">
        <f t="shared" si="11"/>
        <v>July 2025</v>
      </c>
      <c r="C82" s="9" t="e">
        <f t="shared" ca="1" si="15"/>
        <v>#REF!</v>
      </c>
      <c r="D82" s="9" t="e">
        <f t="shared" ca="1" si="15"/>
        <v>#REF!</v>
      </c>
      <c r="E82" s="9" t="e">
        <f t="shared" ca="1" si="15"/>
        <v>#REF!</v>
      </c>
      <c r="F82" s="9" t="e">
        <f t="shared" ca="1" si="15"/>
        <v>#REF!</v>
      </c>
      <c r="G82" s="9" t="e">
        <f t="shared" ca="1" si="15"/>
        <v>#REF!</v>
      </c>
      <c r="H82" s="9" t="e">
        <f t="shared" ca="1" si="15"/>
        <v>#REF!</v>
      </c>
      <c r="I82" s="9" t="e">
        <f t="shared" ca="1" si="15"/>
        <v>#REF!</v>
      </c>
      <c r="J82" s="9" t="e">
        <f t="shared" ca="1" si="15"/>
        <v>#REF!</v>
      </c>
      <c r="K82" s="9" t="e">
        <f t="shared" ca="1" si="15"/>
        <v>#REF!</v>
      </c>
      <c r="L82" s="9" t="e">
        <f t="shared" ca="1" si="15"/>
        <v>#REF!</v>
      </c>
      <c r="M82" s="9" t="e">
        <f t="shared" ca="1" si="14"/>
        <v>#REF!</v>
      </c>
      <c r="N82" s="9" t="e">
        <f t="shared" ca="1" si="14"/>
        <v>#REF!</v>
      </c>
      <c r="O82" s="9" t="e">
        <f t="shared" ca="1" si="15"/>
        <v>#REF!</v>
      </c>
      <c r="P82" s="9" t="e">
        <f t="shared" ca="1" si="15"/>
        <v>#REF!</v>
      </c>
      <c r="Q82" s="9" t="e">
        <f t="shared" ca="1" si="17"/>
        <v>#REF!</v>
      </c>
      <c r="R82" s="9" t="e">
        <f t="shared" ca="1" si="17"/>
        <v>#REF!</v>
      </c>
      <c r="S82" s="9" t="e">
        <f t="shared" ca="1" si="17"/>
        <v>#REF!</v>
      </c>
      <c r="T82" s="9" t="e">
        <f t="shared" ca="1" si="16"/>
        <v>#REF!</v>
      </c>
      <c r="U82" s="15" t="e">
        <f ca="1">U81+Table7[[#This Row],[Total Monthly]]</f>
        <v>#REF!</v>
      </c>
    </row>
    <row r="83" spans="1:21" x14ac:dyDescent="0.25">
      <c r="A83" s="13">
        <f t="shared" si="18"/>
        <v>45870</v>
      </c>
      <c r="B83" s="12" t="str">
        <f t="shared" si="11"/>
        <v>August 2025</v>
      </c>
      <c r="C83" s="9" t="e">
        <f t="shared" ca="1" si="15"/>
        <v>#REF!</v>
      </c>
      <c r="D83" s="9" t="e">
        <f t="shared" ca="1" si="15"/>
        <v>#REF!</v>
      </c>
      <c r="E83" s="9" t="e">
        <f t="shared" ca="1" si="15"/>
        <v>#REF!</v>
      </c>
      <c r="F83" s="9" t="e">
        <f t="shared" ca="1" si="15"/>
        <v>#REF!</v>
      </c>
      <c r="G83" s="9" t="e">
        <f t="shared" ca="1" si="15"/>
        <v>#REF!</v>
      </c>
      <c r="H83" s="9" t="e">
        <f t="shared" ca="1" si="15"/>
        <v>#REF!</v>
      </c>
      <c r="I83" s="9" t="e">
        <f t="shared" ca="1" si="15"/>
        <v>#REF!</v>
      </c>
      <c r="J83" s="9" t="e">
        <f t="shared" ca="1" si="15"/>
        <v>#REF!</v>
      </c>
      <c r="K83" s="9" t="e">
        <f t="shared" ca="1" si="15"/>
        <v>#REF!</v>
      </c>
      <c r="L83" s="9" t="e">
        <f t="shared" ca="1" si="15"/>
        <v>#REF!</v>
      </c>
      <c r="M83" s="9" t="e">
        <f t="shared" ca="1" si="14"/>
        <v>#REF!</v>
      </c>
      <c r="N83" s="9" t="e">
        <f t="shared" ca="1" si="14"/>
        <v>#REF!</v>
      </c>
      <c r="O83" s="9" t="e">
        <f t="shared" ca="1" si="15"/>
        <v>#REF!</v>
      </c>
      <c r="P83" s="9" t="e">
        <f t="shared" ca="1" si="15"/>
        <v>#REF!</v>
      </c>
      <c r="Q83" s="9" t="e">
        <f t="shared" ca="1" si="17"/>
        <v>#REF!</v>
      </c>
      <c r="R83" s="9" t="e">
        <f t="shared" ca="1" si="17"/>
        <v>#REF!</v>
      </c>
      <c r="S83" s="9" t="e">
        <f t="shared" ca="1" si="17"/>
        <v>#REF!</v>
      </c>
      <c r="T83" s="9" t="e">
        <f t="shared" ca="1" si="16"/>
        <v>#REF!</v>
      </c>
      <c r="U83" s="15" t="e">
        <f ca="1">U82+Table7[[#This Row],[Total Monthly]]</f>
        <v>#REF!</v>
      </c>
    </row>
    <row r="84" spans="1:21" x14ac:dyDescent="0.25">
      <c r="A84" s="13">
        <f t="shared" si="18"/>
        <v>45901</v>
      </c>
      <c r="B84" s="12" t="str">
        <f t="shared" si="11"/>
        <v>September 2025</v>
      </c>
      <c r="C84" s="9" t="e">
        <f t="shared" ca="1" si="15"/>
        <v>#REF!</v>
      </c>
      <c r="D84" s="9" t="e">
        <f t="shared" ca="1" si="15"/>
        <v>#REF!</v>
      </c>
      <c r="E84" s="9" t="e">
        <f t="shared" ca="1" si="15"/>
        <v>#REF!</v>
      </c>
      <c r="F84" s="9" t="e">
        <f t="shared" ca="1" si="15"/>
        <v>#REF!</v>
      </c>
      <c r="G84" s="9" t="e">
        <f t="shared" ca="1" si="15"/>
        <v>#REF!</v>
      </c>
      <c r="H84" s="9" t="e">
        <f t="shared" ca="1" si="15"/>
        <v>#REF!</v>
      </c>
      <c r="I84" s="9" t="e">
        <f t="shared" ca="1" si="15"/>
        <v>#REF!</v>
      </c>
      <c r="J84" s="9" t="e">
        <f t="shared" ca="1" si="15"/>
        <v>#REF!</v>
      </c>
      <c r="K84" s="9" t="e">
        <f t="shared" ca="1" si="15"/>
        <v>#REF!</v>
      </c>
      <c r="L84" s="9" t="e">
        <f t="shared" ca="1" si="15"/>
        <v>#REF!</v>
      </c>
      <c r="M84" s="9" t="e">
        <f t="shared" ca="1" si="14"/>
        <v>#REF!</v>
      </c>
      <c r="N84" s="9" t="e">
        <f t="shared" ca="1" si="14"/>
        <v>#REF!</v>
      </c>
      <c r="O84" s="9" t="e">
        <f t="shared" ca="1" si="15"/>
        <v>#REF!</v>
      </c>
      <c r="P84" s="9" t="e">
        <f t="shared" ca="1" si="15"/>
        <v>#REF!</v>
      </c>
      <c r="Q84" s="9" t="e">
        <f t="shared" ca="1" si="17"/>
        <v>#REF!</v>
      </c>
      <c r="R84" s="9" t="e">
        <f t="shared" ca="1" si="17"/>
        <v>#REF!</v>
      </c>
      <c r="S84" s="9" t="e">
        <f t="shared" ca="1" si="17"/>
        <v>#REF!</v>
      </c>
      <c r="T84" s="9" t="e">
        <f t="shared" ca="1" si="16"/>
        <v>#REF!</v>
      </c>
      <c r="U84" s="15" t="e">
        <f ca="1">U83+Table7[[#This Row],[Total Monthly]]</f>
        <v>#REF!</v>
      </c>
    </row>
    <row r="85" spans="1:21" x14ac:dyDescent="0.25">
      <c r="A85" s="13">
        <f t="shared" si="18"/>
        <v>45931</v>
      </c>
      <c r="B85" s="12" t="str">
        <f t="shared" si="11"/>
        <v>October 2025</v>
      </c>
      <c r="C85" s="9" t="e">
        <f t="shared" ca="1" si="15"/>
        <v>#REF!</v>
      </c>
      <c r="D85" s="9" t="e">
        <f t="shared" ca="1" si="15"/>
        <v>#REF!</v>
      </c>
      <c r="E85" s="9" t="e">
        <f t="shared" ca="1" si="15"/>
        <v>#REF!</v>
      </c>
      <c r="F85" s="9" t="e">
        <f t="shared" ca="1" si="15"/>
        <v>#REF!</v>
      </c>
      <c r="G85" s="9" t="e">
        <f t="shared" ca="1" si="15"/>
        <v>#REF!</v>
      </c>
      <c r="H85" s="9" t="e">
        <f t="shared" ca="1" si="15"/>
        <v>#REF!</v>
      </c>
      <c r="I85" s="9" t="e">
        <f t="shared" ca="1" si="15"/>
        <v>#REF!</v>
      </c>
      <c r="J85" s="9" t="e">
        <f t="shared" ca="1" si="15"/>
        <v>#REF!</v>
      </c>
      <c r="K85" s="9" t="e">
        <f t="shared" ca="1" si="15"/>
        <v>#REF!</v>
      </c>
      <c r="L85" s="9" t="e">
        <f t="shared" ca="1" si="15"/>
        <v>#REF!</v>
      </c>
      <c r="M85" s="9" t="e">
        <f t="shared" ca="1" si="14"/>
        <v>#REF!</v>
      </c>
      <c r="N85" s="9" t="e">
        <f t="shared" ca="1" si="14"/>
        <v>#REF!</v>
      </c>
      <c r="O85" s="9" t="e">
        <f t="shared" ref="L85:S147" ca="1" si="19">SUMIF(INDIRECT("'"&amp;$B85&amp;"'!$F$1:$F$999"), O$2, INDIRECT("'"&amp;$B85&amp;"'!$B$1:$B$999"))</f>
        <v>#REF!</v>
      </c>
      <c r="P85" s="9" t="e">
        <f t="shared" ca="1" si="19"/>
        <v>#REF!</v>
      </c>
      <c r="Q85" s="9" t="e">
        <f t="shared" ca="1" si="17"/>
        <v>#REF!</v>
      </c>
      <c r="R85" s="9" t="e">
        <f t="shared" ca="1" si="17"/>
        <v>#REF!</v>
      </c>
      <c r="S85" s="9" t="e">
        <f t="shared" ca="1" si="17"/>
        <v>#REF!</v>
      </c>
      <c r="T85" s="9" t="e">
        <f t="shared" ca="1" si="16"/>
        <v>#REF!</v>
      </c>
      <c r="U85" s="15" t="e">
        <f ca="1">U84+Table7[[#This Row],[Total Monthly]]</f>
        <v>#REF!</v>
      </c>
    </row>
    <row r="86" spans="1:21" x14ac:dyDescent="0.25">
      <c r="A86" s="13">
        <f t="shared" si="18"/>
        <v>45962</v>
      </c>
      <c r="B86" s="12" t="str">
        <f t="shared" si="11"/>
        <v>November 2025</v>
      </c>
      <c r="C86" s="9" t="e">
        <f t="shared" ref="C86:K114" ca="1" si="20">SUMIF(INDIRECT("'"&amp;$B86&amp;"'!$F$1:$F$999"), C$2, INDIRECT("'"&amp;$B86&amp;"'!$B$1:$B$999"))</f>
        <v>#REF!</v>
      </c>
      <c r="D86" s="9" t="e">
        <f t="shared" ca="1" si="20"/>
        <v>#REF!</v>
      </c>
      <c r="E86" s="9" t="e">
        <f t="shared" ca="1" si="20"/>
        <v>#REF!</v>
      </c>
      <c r="F86" s="9" t="e">
        <f t="shared" ca="1" si="20"/>
        <v>#REF!</v>
      </c>
      <c r="G86" s="9" t="e">
        <f t="shared" ca="1" si="20"/>
        <v>#REF!</v>
      </c>
      <c r="H86" s="9" t="e">
        <f t="shared" ca="1" si="20"/>
        <v>#REF!</v>
      </c>
      <c r="I86" s="9" t="e">
        <f t="shared" ca="1" si="20"/>
        <v>#REF!</v>
      </c>
      <c r="J86" s="9" t="e">
        <f t="shared" ca="1" si="20"/>
        <v>#REF!</v>
      </c>
      <c r="K86" s="9" t="e">
        <f t="shared" ca="1" si="20"/>
        <v>#REF!</v>
      </c>
      <c r="L86" s="9" t="e">
        <f t="shared" ca="1" si="19"/>
        <v>#REF!</v>
      </c>
      <c r="M86" s="9" t="e">
        <f t="shared" ca="1" si="14"/>
        <v>#REF!</v>
      </c>
      <c r="N86" s="9" t="e">
        <f t="shared" ca="1" si="14"/>
        <v>#REF!</v>
      </c>
      <c r="O86" s="9" t="e">
        <f t="shared" ca="1" si="19"/>
        <v>#REF!</v>
      </c>
      <c r="P86" s="9" t="e">
        <f t="shared" ca="1" si="19"/>
        <v>#REF!</v>
      </c>
      <c r="Q86" s="9" t="e">
        <f t="shared" ca="1" si="17"/>
        <v>#REF!</v>
      </c>
      <c r="R86" s="9" t="e">
        <f t="shared" ca="1" si="17"/>
        <v>#REF!</v>
      </c>
      <c r="S86" s="9" t="e">
        <f t="shared" ca="1" si="17"/>
        <v>#REF!</v>
      </c>
      <c r="T86" s="9" t="e">
        <f t="shared" ca="1" si="16"/>
        <v>#REF!</v>
      </c>
      <c r="U86" s="15" t="e">
        <f ca="1">U85+Table7[[#This Row],[Total Monthly]]</f>
        <v>#REF!</v>
      </c>
    </row>
    <row r="87" spans="1:21" x14ac:dyDescent="0.25">
      <c r="A87" s="13">
        <f t="shared" si="18"/>
        <v>45992</v>
      </c>
      <c r="B87" s="12" t="str">
        <f t="shared" si="11"/>
        <v>December 2025</v>
      </c>
      <c r="C87" s="9" t="e">
        <f t="shared" ca="1" si="20"/>
        <v>#REF!</v>
      </c>
      <c r="D87" s="9" t="e">
        <f t="shared" ca="1" si="20"/>
        <v>#REF!</v>
      </c>
      <c r="E87" s="9" t="e">
        <f t="shared" ca="1" si="20"/>
        <v>#REF!</v>
      </c>
      <c r="F87" s="9" t="e">
        <f t="shared" ca="1" si="20"/>
        <v>#REF!</v>
      </c>
      <c r="G87" s="9" t="e">
        <f t="shared" ca="1" si="20"/>
        <v>#REF!</v>
      </c>
      <c r="H87" s="9" t="e">
        <f t="shared" ca="1" si="20"/>
        <v>#REF!</v>
      </c>
      <c r="I87" s="9" t="e">
        <f t="shared" ca="1" si="20"/>
        <v>#REF!</v>
      </c>
      <c r="J87" s="9" t="e">
        <f t="shared" ca="1" si="20"/>
        <v>#REF!</v>
      </c>
      <c r="K87" s="9" t="e">
        <f t="shared" ca="1" si="20"/>
        <v>#REF!</v>
      </c>
      <c r="L87" s="9" t="e">
        <f t="shared" ca="1" si="19"/>
        <v>#REF!</v>
      </c>
      <c r="M87" s="9" t="e">
        <f t="shared" ca="1" si="14"/>
        <v>#REF!</v>
      </c>
      <c r="N87" s="9" t="e">
        <f t="shared" ca="1" si="14"/>
        <v>#REF!</v>
      </c>
      <c r="O87" s="9" t="e">
        <f t="shared" ca="1" si="19"/>
        <v>#REF!</v>
      </c>
      <c r="P87" s="9" t="e">
        <f t="shared" ca="1" si="19"/>
        <v>#REF!</v>
      </c>
      <c r="Q87" s="9" t="e">
        <f t="shared" ca="1" si="17"/>
        <v>#REF!</v>
      </c>
      <c r="R87" s="9" t="e">
        <f t="shared" ca="1" si="17"/>
        <v>#REF!</v>
      </c>
      <c r="S87" s="9" t="e">
        <f t="shared" ca="1" si="17"/>
        <v>#REF!</v>
      </c>
      <c r="T87" s="9" t="e">
        <f t="shared" ca="1" si="16"/>
        <v>#REF!</v>
      </c>
      <c r="U87" s="15" t="e">
        <f ca="1">U86+Table7[[#This Row],[Total Monthly]]</f>
        <v>#REF!</v>
      </c>
    </row>
    <row r="88" spans="1:21" x14ac:dyDescent="0.25">
      <c r="A88" s="13">
        <f t="shared" si="18"/>
        <v>46023</v>
      </c>
      <c r="B88" s="12" t="str">
        <f t="shared" si="11"/>
        <v>January 2026</v>
      </c>
      <c r="C88" s="9" t="e">
        <f t="shared" ca="1" si="20"/>
        <v>#REF!</v>
      </c>
      <c r="D88" s="9" t="e">
        <f t="shared" ca="1" si="20"/>
        <v>#REF!</v>
      </c>
      <c r="E88" s="9" t="e">
        <f t="shared" ca="1" si="20"/>
        <v>#REF!</v>
      </c>
      <c r="F88" s="9" t="e">
        <f t="shared" ca="1" si="20"/>
        <v>#REF!</v>
      </c>
      <c r="G88" s="9" t="e">
        <f t="shared" ca="1" si="20"/>
        <v>#REF!</v>
      </c>
      <c r="H88" s="9" t="e">
        <f t="shared" ca="1" si="20"/>
        <v>#REF!</v>
      </c>
      <c r="I88" s="9" t="e">
        <f t="shared" ca="1" si="20"/>
        <v>#REF!</v>
      </c>
      <c r="J88" s="9" t="e">
        <f t="shared" ca="1" si="20"/>
        <v>#REF!</v>
      </c>
      <c r="K88" s="9" t="e">
        <f t="shared" ca="1" si="20"/>
        <v>#REF!</v>
      </c>
      <c r="L88" s="9" t="e">
        <f t="shared" ca="1" si="19"/>
        <v>#REF!</v>
      </c>
      <c r="M88" s="9" t="e">
        <f t="shared" ca="1" si="14"/>
        <v>#REF!</v>
      </c>
      <c r="N88" s="9" t="e">
        <f t="shared" ca="1" si="14"/>
        <v>#REF!</v>
      </c>
      <c r="O88" s="9" t="e">
        <f t="shared" ca="1" si="19"/>
        <v>#REF!</v>
      </c>
      <c r="P88" s="9" t="e">
        <f t="shared" ca="1" si="19"/>
        <v>#REF!</v>
      </c>
      <c r="Q88" s="9" t="e">
        <f t="shared" ca="1" si="17"/>
        <v>#REF!</v>
      </c>
      <c r="R88" s="9" t="e">
        <f t="shared" ca="1" si="17"/>
        <v>#REF!</v>
      </c>
      <c r="S88" s="9" t="e">
        <f t="shared" ca="1" si="17"/>
        <v>#REF!</v>
      </c>
      <c r="T88" s="9" t="e">
        <f t="shared" ca="1" si="16"/>
        <v>#REF!</v>
      </c>
      <c r="U88" s="15" t="e">
        <f ca="1">U87+Table7[[#This Row],[Total Monthly]]</f>
        <v>#REF!</v>
      </c>
    </row>
    <row r="89" spans="1:21" x14ac:dyDescent="0.25">
      <c r="A89" s="13">
        <f t="shared" si="18"/>
        <v>46054</v>
      </c>
      <c r="B89" s="12" t="str">
        <f t="shared" si="11"/>
        <v>February 2026</v>
      </c>
      <c r="C89" s="9" t="e">
        <f t="shared" ca="1" si="20"/>
        <v>#REF!</v>
      </c>
      <c r="D89" s="9" t="e">
        <f t="shared" ca="1" si="20"/>
        <v>#REF!</v>
      </c>
      <c r="E89" s="9" t="e">
        <f t="shared" ca="1" si="20"/>
        <v>#REF!</v>
      </c>
      <c r="F89" s="9" t="e">
        <f t="shared" ca="1" si="20"/>
        <v>#REF!</v>
      </c>
      <c r="G89" s="9" t="e">
        <f t="shared" ca="1" si="20"/>
        <v>#REF!</v>
      </c>
      <c r="H89" s="9" t="e">
        <f t="shared" ca="1" si="20"/>
        <v>#REF!</v>
      </c>
      <c r="I89" s="9" t="e">
        <f t="shared" ca="1" si="20"/>
        <v>#REF!</v>
      </c>
      <c r="J89" s="9" t="e">
        <f t="shared" ca="1" si="20"/>
        <v>#REF!</v>
      </c>
      <c r="K89" s="9" t="e">
        <f t="shared" ca="1" si="20"/>
        <v>#REF!</v>
      </c>
      <c r="L89" s="9" t="e">
        <f t="shared" ca="1" si="19"/>
        <v>#REF!</v>
      </c>
      <c r="M89" s="9" t="e">
        <f t="shared" ca="1" si="14"/>
        <v>#REF!</v>
      </c>
      <c r="N89" s="9" t="e">
        <f t="shared" ca="1" si="14"/>
        <v>#REF!</v>
      </c>
      <c r="O89" s="9" t="e">
        <f t="shared" ca="1" si="19"/>
        <v>#REF!</v>
      </c>
      <c r="P89" s="9" t="e">
        <f t="shared" ca="1" si="19"/>
        <v>#REF!</v>
      </c>
      <c r="Q89" s="9" t="e">
        <f t="shared" ca="1" si="17"/>
        <v>#REF!</v>
      </c>
      <c r="R89" s="9" t="e">
        <f t="shared" ca="1" si="17"/>
        <v>#REF!</v>
      </c>
      <c r="S89" s="9" t="e">
        <f t="shared" ca="1" si="17"/>
        <v>#REF!</v>
      </c>
      <c r="T89" s="9" t="e">
        <f t="shared" ca="1" si="16"/>
        <v>#REF!</v>
      </c>
      <c r="U89" s="15" t="e">
        <f ca="1">U88+Table7[[#This Row],[Total Monthly]]</f>
        <v>#REF!</v>
      </c>
    </row>
    <row r="90" spans="1:21" x14ac:dyDescent="0.25">
      <c r="A90" s="13">
        <f t="shared" si="18"/>
        <v>46082</v>
      </c>
      <c r="B90" s="12" t="str">
        <f t="shared" si="11"/>
        <v>March 2026</v>
      </c>
      <c r="C90" s="9" t="e">
        <f t="shared" ca="1" si="20"/>
        <v>#REF!</v>
      </c>
      <c r="D90" s="9" t="e">
        <f t="shared" ca="1" si="20"/>
        <v>#REF!</v>
      </c>
      <c r="E90" s="9" t="e">
        <f t="shared" ca="1" si="20"/>
        <v>#REF!</v>
      </c>
      <c r="F90" s="9" t="e">
        <f t="shared" ca="1" si="20"/>
        <v>#REF!</v>
      </c>
      <c r="G90" s="9" t="e">
        <f t="shared" ca="1" si="20"/>
        <v>#REF!</v>
      </c>
      <c r="H90" s="9" t="e">
        <f t="shared" ca="1" si="20"/>
        <v>#REF!</v>
      </c>
      <c r="I90" s="9" t="e">
        <f t="shared" ca="1" si="20"/>
        <v>#REF!</v>
      </c>
      <c r="J90" s="9" t="e">
        <f t="shared" ca="1" si="20"/>
        <v>#REF!</v>
      </c>
      <c r="K90" s="9" t="e">
        <f t="shared" ca="1" si="20"/>
        <v>#REF!</v>
      </c>
      <c r="L90" s="9" t="e">
        <f t="shared" ca="1" si="19"/>
        <v>#REF!</v>
      </c>
      <c r="M90" s="9" t="e">
        <f t="shared" ca="1" si="14"/>
        <v>#REF!</v>
      </c>
      <c r="N90" s="9" t="e">
        <f t="shared" ca="1" si="14"/>
        <v>#REF!</v>
      </c>
      <c r="O90" s="9" t="e">
        <f t="shared" ca="1" si="19"/>
        <v>#REF!</v>
      </c>
      <c r="P90" s="9" t="e">
        <f t="shared" ca="1" si="19"/>
        <v>#REF!</v>
      </c>
      <c r="Q90" s="9" t="e">
        <f t="shared" ca="1" si="17"/>
        <v>#REF!</v>
      </c>
      <c r="R90" s="9" t="e">
        <f t="shared" ca="1" si="17"/>
        <v>#REF!</v>
      </c>
      <c r="S90" s="9" t="e">
        <f t="shared" ca="1" si="17"/>
        <v>#REF!</v>
      </c>
      <c r="T90" s="9" t="e">
        <f t="shared" ca="1" si="16"/>
        <v>#REF!</v>
      </c>
      <c r="U90" s="15" t="e">
        <f ca="1">U89+Table7[[#This Row],[Total Monthly]]</f>
        <v>#REF!</v>
      </c>
    </row>
    <row r="91" spans="1:21" x14ac:dyDescent="0.25">
      <c r="A91" s="13">
        <f t="shared" si="18"/>
        <v>46113</v>
      </c>
      <c r="B91" s="12" t="str">
        <f t="shared" si="11"/>
        <v>April 2026</v>
      </c>
      <c r="C91" s="9" t="e">
        <f t="shared" ca="1" si="20"/>
        <v>#REF!</v>
      </c>
      <c r="D91" s="9" t="e">
        <f t="shared" ca="1" si="20"/>
        <v>#REF!</v>
      </c>
      <c r="E91" s="9" t="e">
        <f t="shared" ca="1" si="20"/>
        <v>#REF!</v>
      </c>
      <c r="F91" s="9" t="e">
        <f t="shared" ca="1" si="20"/>
        <v>#REF!</v>
      </c>
      <c r="G91" s="9" t="e">
        <f t="shared" ca="1" si="20"/>
        <v>#REF!</v>
      </c>
      <c r="H91" s="9" t="e">
        <f t="shared" ca="1" si="20"/>
        <v>#REF!</v>
      </c>
      <c r="I91" s="9" t="e">
        <f t="shared" ca="1" si="20"/>
        <v>#REF!</v>
      </c>
      <c r="J91" s="9" t="e">
        <f t="shared" ca="1" si="20"/>
        <v>#REF!</v>
      </c>
      <c r="K91" s="9" t="e">
        <f t="shared" ca="1" si="20"/>
        <v>#REF!</v>
      </c>
      <c r="L91" s="9" t="e">
        <f t="shared" ca="1" si="19"/>
        <v>#REF!</v>
      </c>
      <c r="M91" s="9" t="e">
        <f t="shared" ca="1" si="14"/>
        <v>#REF!</v>
      </c>
      <c r="N91" s="9" t="e">
        <f t="shared" ca="1" si="14"/>
        <v>#REF!</v>
      </c>
      <c r="O91" s="9" t="e">
        <f t="shared" ca="1" si="19"/>
        <v>#REF!</v>
      </c>
      <c r="P91" s="9" t="e">
        <f t="shared" ca="1" si="19"/>
        <v>#REF!</v>
      </c>
      <c r="Q91" s="9" t="e">
        <f t="shared" ca="1" si="17"/>
        <v>#REF!</v>
      </c>
      <c r="R91" s="9" t="e">
        <f t="shared" ca="1" si="17"/>
        <v>#REF!</v>
      </c>
      <c r="S91" s="9" t="e">
        <f t="shared" ca="1" si="17"/>
        <v>#REF!</v>
      </c>
      <c r="T91" s="9" t="e">
        <f t="shared" ca="1" si="16"/>
        <v>#REF!</v>
      </c>
      <c r="U91" s="15" t="e">
        <f ca="1">U90+Table7[[#This Row],[Total Monthly]]</f>
        <v>#REF!</v>
      </c>
    </row>
    <row r="92" spans="1:21" x14ac:dyDescent="0.25">
      <c r="A92" s="13">
        <f t="shared" si="18"/>
        <v>46143</v>
      </c>
      <c r="B92" s="12" t="str">
        <f t="shared" si="11"/>
        <v>May 2026</v>
      </c>
      <c r="C92" s="9" t="e">
        <f t="shared" ca="1" si="20"/>
        <v>#REF!</v>
      </c>
      <c r="D92" s="9" t="e">
        <f t="shared" ca="1" si="20"/>
        <v>#REF!</v>
      </c>
      <c r="E92" s="9" t="e">
        <f t="shared" ca="1" si="20"/>
        <v>#REF!</v>
      </c>
      <c r="F92" s="9" t="e">
        <f t="shared" ca="1" si="20"/>
        <v>#REF!</v>
      </c>
      <c r="G92" s="9" t="e">
        <f t="shared" ca="1" si="20"/>
        <v>#REF!</v>
      </c>
      <c r="H92" s="9" t="e">
        <f t="shared" ca="1" si="20"/>
        <v>#REF!</v>
      </c>
      <c r="I92" s="9" t="e">
        <f t="shared" ca="1" si="20"/>
        <v>#REF!</v>
      </c>
      <c r="J92" s="9" t="e">
        <f t="shared" ca="1" si="20"/>
        <v>#REF!</v>
      </c>
      <c r="K92" s="9" t="e">
        <f t="shared" ca="1" si="20"/>
        <v>#REF!</v>
      </c>
      <c r="L92" s="9" t="e">
        <f t="shared" ca="1" si="19"/>
        <v>#REF!</v>
      </c>
      <c r="M92" s="9" t="e">
        <f t="shared" ca="1" si="14"/>
        <v>#REF!</v>
      </c>
      <c r="N92" s="9" t="e">
        <f t="shared" ca="1" si="14"/>
        <v>#REF!</v>
      </c>
      <c r="O92" s="9" t="e">
        <f t="shared" ca="1" si="19"/>
        <v>#REF!</v>
      </c>
      <c r="P92" s="9" t="e">
        <f t="shared" ca="1" si="19"/>
        <v>#REF!</v>
      </c>
      <c r="Q92" s="9" t="e">
        <f t="shared" ca="1" si="17"/>
        <v>#REF!</v>
      </c>
      <c r="R92" s="9" t="e">
        <f t="shared" ca="1" si="17"/>
        <v>#REF!</v>
      </c>
      <c r="S92" s="9" t="e">
        <f t="shared" ca="1" si="17"/>
        <v>#REF!</v>
      </c>
      <c r="T92" s="9" t="e">
        <f t="shared" ca="1" si="16"/>
        <v>#REF!</v>
      </c>
      <c r="U92" s="15" t="e">
        <f ca="1">U91+Table7[[#This Row],[Total Monthly]]</f>
        <v>#REF!</v>
      </c>
    </row>
    <row r="93" spans="1:21" x14ac:dyDescent="0.25">
      <c r="A93" s="13">
        <f t="shared" si="18"/>
        <v>46174</v>
      </c>
      <c r="B93" s="12" t="str">
        <f t="shared" si="11"/>
        <v>June 2026</v>
      </c>
      <c r="C93" s="9" t="e">
        <f t="shared" ca="1" si="20"/>
        <v>#REF!</v>
      </c>
      <c r="D93" s="9" t="e">
        <f t="shared" ca="1" si="20"/>
        <v>#REF!</v>
      </c>
      <c r="E93" s="9" t="e">
        <f t="shared" ca="1" si="20"/>
        <v>#REF!</v>
      </c>
      <c r="F93" s="9" t="e">
        <f t="shared" ca="1" si="20"/>
        <v>#REF!</v>
      </c>
      <c r="G93" s="9" t="e">
        <f t="shared" ca="1" si="20"/>
        <v>#REF!</v>
      </c>
      <c r="H93" s="9" t="e">
        <f t="shared" ca="1" si="20"/>
        <v>#REF!</v>
      </c>
      <c r="I93" s="9" t="e">
        <f t="shared" ca="1" si="20"/>
        <v>#REF!</v>
      </c>
      <c r="J93" s="9" t="e">
        <f t="shared" ca="1" si="20"/>
        <v>#REF!</v>
      </c>
      <c r="K93" s="9" t="e">
        <f t="shared" ca="1" si="20"/>
        <v>#REF!</v>
      </c>
      <c r="L93" s="9" t="e">
        <f t="shared" ca="1" si="19"/>
        <v>#REF!</v>
      </c>
      <c r="M93" s="9" t="e">
        <f t="shared" ca="1" si="14"/>
        <v>#REF!</v>
      </c>
      <c r="N93" s="9" t="e">
        <f t="shared" ca="1" si="14"/>
        <v>#REF!</v>
      </c>
      <c r="O93" s="9" t="e">
        <f t="shared" ca="1" si="19"/>
        <v>#REF!</v>
      </c>
      <c r="P93" s="9" t="e">
        <f t="shared" ca="1" si="19"/>
        <v>#REF!</v>
      </c>
      <c r="Q93" s="9" t="e">
        <f t="shared" ca="1" si="17"/>
        <v>#REF!</v>
      </c>
      <c r="R93" s="9" t="e">
        <f t="shared" ca="1" si="17"/>
        <v>#REF!</v>
      </c>
      <c r="S93" s="9" t="e">
        <f t="shared" ca="1" si="17"/>
        <v>#REF!</v>
      </c>
      <c r="T93" s="9" t="e">
        <f t="shared" ca="1" si="16"/>
        <v>#REF!</v>
      </c>
      <c r="U93" s="15" t="e">
        <f ca="1">U92+Table7[[#This Row],[Total Monthly]]</f>
        <v>#REF!</v>
      </c>
    </row>
    <row r="94" spans="1:21" x14ac:dyDescent="0.25">
      <c r="A94" s="13">
        <f t="shared" si="18"/>
        <v>46204</v>
      </c>
      <c r="B94" s="12" t="str">
        <f t="shared" si="11"/>
        <v>July 2026</v>
      </c>
      <c r="C94" s="9" t="e">
        <f t="shared" ca="1" si="20"/>
        <v>#REF!</v>
      </c>
      <c r="D94" s="9" t="e">
        <f t="shared" ca="1" si="20"/>
        <v>#REF!</v>
      </c>
      <c r="E94" s="9" t="e">
        <f t="shared" ca="1" si="20"/>
        <v>#REF!</v>
      </c>
      <c r="F94" s="9" t="e">
        <f t="shared" ca="1" si="20"/>
        <v>#REF!</v>
      </c>
      <c r="G94" s="9" t="e">
        <f t="shared" ca="1" si="20"/>
        <v>#REF!</v>
      </c>
      <c r="H94" s="9" t="e">
        <f t="shared" ca="1" si="20"/>
        <v>#REF!</v>
      </c>
      <c r="I94" s="9" t="e">
        <f t="shared" ca="1" si="20"/>
        <v>#REF!</v>
      </c>
      <c r="J94" s="9" t="e">
        <f t="shared" ca="1" si="20"/>
        <v>#REF!</v>
      </c>
      <c r="K94" s="9" t="e">
        <f t="shared" ca="1" si="20"/>
        <v>#REF!</v>
      </c>
      <c r="L94" s="9" t="e">
        <f t="shared" ca="1" si="19"/>
        <v>#REF!</v>
      </c>
      <c r="M94" s="9" t="e">
        <f t="shared" ca="1" si="14"/>
        <v>#REF!</v>
      </c>
      <c r="N94" s="9" t="e">
        <f t="shared" ca="1" si="14"/>
        <v>#REF!</v>
      </c>
      <c r="O94" s="9" t="e">
        <f t="shared" ca="1" si="19"/>
        <v>#REF!</v>
      </c>
      <c r="P94" s="9" t="e">
        <f t="shared" ca="1" si="19"/>
        <v>#REF!</v>
      </c>
      <c r="Q94" s="9" t="e">
        <f t="shared" ca="1" si="17"/>
        <v>#REF!</v>
      </c>
      <c r="R94" s="9" t="e">
        <f t="shared" ca="1" si="17"/>
        <v>#REF!</v>
      </c>
      <c r="S94" s="9" t="e">
        <f t="shared" ca="1" si="17"/>
        <v>#REF!</v>
      </c>
      <c r="T94" s="9" t="e">
        <f t="shared" ca="1" si="16"/>
        <v>#REF!</v>
      </c>
      <c r="U94" s="15" t="e">
        <f ca="1">U93+Table7[[#This Row],[Total Monthly]]</f>
        <v>#REF!</v>
      </c>
    </row>
    <row r="95" spans="1:21" x14ac:dyDescent="0.25">
      <c r="A95" s="13">
        <f t="shared" si="18"/>
        <v>46235</v>
      </c>
      <c r="B95" s="12" t="str">
        <f t="shared" si="11"/>
        <v>August 2026</v>
      </c>
      <c r="C95" s="9" t="e">
        <f t="shared" ca="1" si="20"/>
        <v>#REF!</v>
      </c>
      <c r="D95" s="9" t="e">
        <f t="shared" ca="1" si="20"/>
        <v>#REF!</v>
      </c>
      <c r="E95" s="9" t="e">
        <f t="shared" ca="1" si="20"/>
        <v>#REF!</v>
      </c>
      <c r="F95" s="9" t="e">
        <f t="shared" ca="1" si="20"/>
        <v>#REF!</v>
      </c>
      <c r="G95" s="9" t="e">
        <f t="shared" ca="1" si="20"/>
        <v>#REF!</v>
      </c>
      <c r="H95" s="9" t="e">
        <f t="shared" ca="1" si="20"/>
        <v>#REF!</v>
      </c>
      <c r="I95" s="9" t="e">
        <f t="shared" ca="1" si="20"/>
        <v>#REF!</v>
      </c>
      <c r="J95" s="9" t="e">
        <f t="shared" ca="1" si="20"/>
        <v>#REF!</v>
      </c>
      <c r="K95" s="9" t="e">
        <f t="shared" ca="1" si="20"/>
        <v>#REF!</v>
      </c>
      <c r="L95" s="9" t="e">
        <f t="shared" ca="1" si="19"/>
        <v>#REF!</v>
      </c>
      <c r="M95" s="9" t="e">
        <f t="shared" ca="1" si="14"/>
        <v>#REF!</v>
      </c>
      <c r="N95" s="9" t="e">
        <f t="shared" ca="1" si="14"/>
        <v>#REF!</v>
      </c>
      <c r="O95" s="9" t="e">
        <f t="shared" ca="1" si="19"/>
        <v>#REF!</v>
      </c>
      <c r="P95" s="9" t="e">
        <f t="shared" ca="1" si="19"/>
        <v>#REF!</v>
      </c>
      <c r="Q95" s="9" t="e">
        <f t="shared" ca="1" si="17"/>
        <v>#REF!</v>
      </c>
      <c r="R95" s="9" t="e">
        <f t="shared" ca="1" si="17"/>
        <v>#REF!</v>
      </c>
      <c r="S95" s="9" t="e">
        <f t="shared" ca="1" si="17"/>
        <v>#REF!</v>
      </c>
      <c r="T95" s="9" t="e">
        <f t="shared" ca="1" si="16"/>
        <v>#REF!</v>
      </c>
      <c r="U95" s="15" t="e">
        <f ca="1">U94+Table7[[#This Row],[Total Monthly]]</f>
        <v>#REF!</v>
      </c>
    </row>
    <row r="96" spans="1:21" x14ac:dyDescent="0.25">
      <c r="A96" s="13">
        <f t="shared" si="18"/>
        <v>46266</v>
      </c>
      <c r="B96" s="12" t="str">
        <f t="shared" si="11"/>
        <v>September 2026</v>
      </c>
      <c r="C96" s="9" t="e">
        <f t="shared" ca="1" si="20"/>
        <v>#REF!</v>
      </c>
      <c r="D96" s="9" t="e">
        <f t="shared" ca="1" si="20"/>
        <v>#REF!</v>
      </c>
      <c r="E96" s="9" t="e">
        <f t="shared" ca="1" si="20"/>
        <v>#REF!</v>
      </c>
      <c r="F96" s="9" t="e">
        <f t="shared" ca="1" si="20"/>
        <v>#REF!</v>
      </c>
      <c r="G96" s="9" t="e">
        <f t="shared" ca="1" si="20"/>
        <v>#REF!</v>
      </c>
      <c r="H96" s="9" t="e">
        <f t="shared" ca="1" si="20"/>
        <v>#REF!</v>
      </c>
      <c r="I96" s="9" t="e">
        <f t="shared" ca="1" si="20"/>
        <v>#REF!</v>
      </c>
      <c r="J96" s="9" t="e">
        <f t="shared" ca="1" si="20"/>
        <v>#REF!</v>
      </c>
      <c r="K96" s="9" t="e">
        <f t="shared" ca="1" si="20"/>
        <v>#REF!</v>
      </c>
      <c r="L96" s="9" t="e">
        <f t="shared" ca="1" si="19"/>
        <v>#REF!</v>
      </c>
      <c r="M96" s="9" t="e">
        <f t="shared" ca="1" si="14"/>
        <v>#REF!</v>
      </c>
      <c r="N96" s="9" t="e">
        <f t="shared" ca="1" si="14"/>
        <v>#REF!</v>
      </c>
      <c r="O96" s="9" t="e">
        <f t="shared" ca="1" si="19"/>
        <v>#REF!</v>
      </c>
      <c r="P96" s="9" t="e">
        <f t="shared" ca="1" si="19"/>
        <v>#REF!</v>
      </c>
      <c r="Q96" s="9" t="e">
        <f t="shared" ca="1" si="17"/>
        <v>#REF!</v>
      </c>
      <c r="R96" s="9" t="e">
        <f t="shared" ca="1" si="17"/>
        <v>#REF!</v>
      </c>
      <c r="S96" s="9" t="e">
        <f t="shared" ca="1" si="17"/>
        <v>#REF!</v>
      </c>
      <c r="T96" s="9" t="e">
        <f t="shared" ca="1" si="16"/>
        <v>#REF!</v>
      </c>
      <c r="U96" s="15" t="e">
        <f ca="1">U95+Table7[[#This Row],[Total Monthly]]</f>
        <v>#REF!</v>
      </c>
    </row>
    <row r="97" spans="1:21" x14ac:dyDescent="0.25">
      <c r="A97" s="13">
        <f t="shared" si="18"/>
        <v>46296</v>
      </c>
      <c r="B97" s="12" t="str">
        <f t="shared" si="11"/>
        <v>October 2026</v>
      </c>
      <c r="C97" s="9" t="e">
        <f t="shared" ca="1" si="20"/>
        <v>#REF!</v>
      </c>
      <c r="D97" s="9" t="e">
        <f t="shared" ca="1" si="20"/>
        <v>#REF!</v>
      </c>
      <c r="E97" s="9" t="e">
        <f t="shared" ca="1" si="20"/>
        <v>#REF!</v>
      </c>
      <c r="F97" s="9" t="e">
        <f t="shared" ca="1" si="20"/>
        <v>#REF!</v>
      </c>
      <c r="G97" s="9" t="e">
        <f t="shared" ca="1" si="20"/>
        <v>#REF!</v>
      </c>
      <c r="H97" s="9" t="e">
        <f t="shared" ca="1" si="20"/>
        <v>#REF!</v>
      </c>
      <c r="I97" s="9" t="e">
        <f t="shared" ca="1" si="20"/>
        <v>#REF!</v>
      </c>
      <c r="J97" s="9" t="e">
        <f t="shared" ca="1" si="20"/>
        <v>#REF!</v>
      </c>
      <c r="K97" s="9" t="e">
        <f t="shared" ca="1" si="20"/>
        <v>#REF!</v>
      </c>
      <c r="L97" s="9" t="e">
        <f t="shared" ca="1" si="19"/>
        <v>#REF!</v>
      </c>
      <c r="M97" s="9" t="e">
        <f t="shared" ca="1" si="14"/>
        <v>#REF!</v>
      </c>
      <c r="N97" s="9" t="e">
        <f t="shared" ca="1" si="14"/>
        <v>#REF!</v>
      </c>
      <c r="O97" s="9" t="e">
        <f t="shared" ca="1" si="19"/>
        <v>#REF!</v>
      </c>
      <c r="P97" s="9" t="e">
        <f t="shared" ca="1" si="19"/>
        <v>#REF!</v>
      </c>
      <c r="Q97" s="9" t="e">
        <f t="shared" ca="1" si="17"/>
        <v>#REF!</v>
      </c>
      <c r="R97" s="9" t="e">
        <f t="shared" ca="1" si="17"/>
        <v>#REF!</v>
      </c>
      <c r="S97" s="9" t="e">
        <f t="shared" ca="1" si="17"/>
        <v>#REF!</v>
      </c>
      <c r="T97" s="9" t="e">
        <f t="shared" ca="1" si="16"/>
        <v>#REF!</v>
      </c>
      <c r="U97" s="15" t="e">
        <f ca="1">U96+Table7[[#This Row],[Total Monthly]]</f>
        <v>#REF!</v>
      </c>
    </row>
    <row r="98" spans="1:21" x14ac:dyDescent="0.25">
      <c r="A98" s="13">
        <f t="shared" si="18"/>
        <v>46327</v>
      </c>
      <c r="B98" s="12" t="str">
        <f t="shared" si="11"/>
        <v>November 2026</v>
      </c>
      <c r="C98" s="9" t="e">
        <f t="shared" ca="1" si="20"/>
        <v>#REF!</v>
      </c>
      <c r="D98" s="9" t="e">
        <f t="shared" ca="1" si="20"/>
        <v>#REF!</v>
      </c>
      <c r="E98" s="9" t="e">
        <f t="shared" ca="1" si="20"/>
        <v>#REF!</v>
      </c>
      <c r="F98" s="9" t="e">
        <f t="shared" ca="1" si="20"/>
        <v>#REF!</v>
      </c>
      <c r="G98" s="9" t="e">
        <f t="shared" ca="1" si="20"/>
        <v>#REF!</v>
      </c>
      <c r="H98" s="9" t="e">
        <f t="shared" ca="1" si="20"/>
        <v>#REF!</v>
      </c>
      <c r="I98" s="9" t="e">
        <f t="shared" ca="1" si="20"/>
        <v>#REF!</v>
      </c>
      <c r="J98" s="9" t="e">
        <f t="shared" ca="1" si="20"/>
        <v>#REF!</v>
      </c>
      <c r="K98" s="9" t="e">
        <f t="shared" ca="1" si="20"/>
        <v>#REF!</v>
      </c>
      <c r="L98" s="9" t="e">
        <f t="shared" ca="1" si="19"/>
        <v>#REF!</v>
      </c>
      <c r="M98" s="9" t="e">
        <f t="shared" ca="1" si="14"/>
        <v>#REF!</v>
      </c>
      <c r="N98" s="9" t="e">
        <f t="shared" ca="1" si="14"/>
        <v>#REF!</v>
      </c>
      <c r="O98" s="9" t="e">
        <f t="shared" ca="1" si="19"/>
        <v>#REF!</v>
      </c>
      <c r="P98" s="9" t="e">
        <f t="shared" ca="1" si="19"/>
        <v>#REF!</v>
      </c>
      <c r="Q98" s="9" t="e">
        <f t="shared" ca="1" si="17"/>
        <v>#REF!</v>
      </c>
      <c r="R98" s="9" t="e">
        <f t="shared" ca="1" si="17"/>
        <v>#REF!</v>
      </c>
      <c r="S98" s="9" t="e">
        <f t="shared" ca="1" si="17"/>
        <v>#REF!</v>
      </c>
      <c r="T98" s="9" t="e">
        <f t="shared" ca="1" si="16"/>
        <v>#REF!</v>
      </c>
      <c r="U98" s="15" t="e">
        <f ca="1">U97+Table7[[#This Row],[Total Monthly]]</f>
        <v>#REF!</v>
      </c>
    </row>
    <row r="99" spans="1:21" x14ac:dyDescent="0.25">
      <c r="A99" s="13">
        <f t="shared" si="18"/>
        <v>46357</v>
      </c>
      <c r="B99" s="12" t="str">
        <f t="shared" ref="B99:B147" si="21">CONCATENATE(TEXT(A99, "mmmm"), " ", TEXT(A99, "yyyy"))</f>
        <v>December 2026</v>
      </c>
      <c r="C99" s="9" t="e">
        <f t="shared" ca="1" si="20"/>
        <v>#REF!</v>
      </c>
      <c r="D99" s="9" t="e">
        <f t="shared" ca="1" si="20"/>
        <v>#REF!</v>
      </c>
      <c r="E99" s="9" t="e">
        <f t="shared" ca="1" si="20"/>
        <v>#REF!</v>
      </c>
      <c r="F99" s="9" t="e">
        <f t="shared" ca="1" si="20"/>
        <v>#REF!</v>
      </c>
      <c r="G99" s="9" t="e">
        <f t="shared" ca="1" si="20"/>
        <v>#REF!</v>
      </c>
      <c r="H99" s="9" t="e">
        <f t="shared" ca="1" si="20"/>
        <v>#REF!</v>
      </c>
      <c r="I99" s="9" t="e">
        <f t="shared" ca="1" si="20"/>
        <v>#REF!</v>
      </c>
      <c r="J99" s="9" t="e">
        <f t="shared" ca="1" si="20"/>
        <v>#REF!</v>
      </c>
      <c r="K99" s="9" t="e">
        <f t="shared" ca="1" si="20"/>
        <v>#REF!</v>
      </c>
      <c r="L99" s="9" t="e">
        <f t="shared" ca="1" si="19"/>
        <v>#REF!</v>
      </c>
      <c r="M99" s="9" t="e">
        <f t="shared" ca="1" si="14"/>
        <v>#REF!</v>
      </c>
      <c r="N99" s="9" t="e">
        <f t="shared" ca="1" si="14"/>
        <v>#REF!</v>
      </c>
      <c r="O99" s="9" t="e">
        <f t="shared" ca="1" si="19"/>
        <v>#REF!</v>
      </c>
      <c r="P99" s="9" t="e">
        <f t="shared" ca="1" si="19"/>
        <v>#REF!</v>
      </c>
      <c r="Q99" s="9" t="e">
        <f t="shared" ca="1" si="17"/>
        <v>#REF!</v>
      </c>
      <c r="R99" s="9" t="e">
        <f t="shared" ca="1" si="17"/>
        <v>#REF!</v>
      </c>
      <c r="S99" s="9" t="e">
        <f t="shared" ca="1" si="17"/>
        <v>#REF!</v>
      </c>
      <c r="T99" s="9" t="e">
        <f t="shared" ref="T99:T147" ca="1" si="22">SUM(INDIRECT("'"&amp;B99&amp;"'!B1:B999"))</f>
        <v>#REF!</v>
      </c>
      <c r="U99" s="15" t="e">
        <f ca="1">U98+Table7[[#This Row],[Total Monthly]]</f>
        <v>#REF!</v>
      </c>
    </row>
    <row r="100" spans="1:21" x14ac:dyDescent="0.25">
      <c r="A100" s="13">
        <f t="shared" si="18"/>
        <v>46388</v>
      </c>
      <c r="B100" s="12" t="str">
        <f t="shared" si="21"/>
        <v>January 2027</v>
      </c>
      <c r="C100" s="9" t="e">
        <f t="shared" ca="1" si="20"/>
        <v>#REF!</v>
      </c>
      <c r="D100" s="9" t="e">
        <f t="shared" ca="1" si="20"/>
        <v>#REF!</v>
      </c>
      <c r="E100" s="9" t="e">
        <f t="shared" ca="1" si="20"/>
        <v>#REF!</v>
      </c>
      <c r="F100" s="9" t="e">
        <f t="shared" ca="1" si="20"/>
        <v>#REF!</v>
      </c>
      <c r="G100" s="9" t="e">
        <f t="shared" ca="1" si="20"/>
        <v>#REF!</v>
      </c>
      <c r="H100" s="9" t="e">
        <f t="shared" ca="1" si="20"/>
        <v>#REF!</v>
      </c>
      <c r="I100" s="9" t="e">
        <f t="shared" ca="1" si="20"/>
        <v>#REF!</v>
      </c>
      <c r="J100" s="9" t="e">
        <f t="shared" ca="1" si="20"/>
        <v>#REF!</v>
      </c>
      <c r="K100" s="9" t="e">
        <f t="shared" ca="1" si="20"/>
        <v>#REF!</v>
      </c>
      <c r="L100" s="9" t="e">
        <f t="shared" ca="1" si="19"/>
        <v>#REF!</v>
      </c>
      <c r="M100" s="9" t="e">
        <f t="shared" ca="1" si="14"/>
        <v>#REF!</v>
      </c>
      <c r="N100" s="9" t="e">
        <f t="shared" ca="1" si="14"/>
        <v>#REF!</v>
      </c>
      <c r="O100" s="9" t="e">
        <f t="shared" ca="1" si="19"/>
        <v>#REF!</v>
      </c>
      <c r="P100" s="9" t="e">
        <f t="shared" ca="1" si="19"/>
        <v>#REF!</v>
      </c>
      <c r="Q100" s="9" t="e">
        <f t="shared" ca="1" si="17"/>
        <v>#REF!</v>
      </c>
      <c r="R100" s="9" t="e">
        <f t="shared" ca="1" si="17"/>
        <v>#REF!</v>
      </c>
      <c r="S100" s="9" t="e">
        <f t="shared" ca="1" si="17"/>
        <v>#REF!</v>
      </c>
      <c r="T100" s="9" t="e">
        <f t="shared" ca="1" si="22"/>
        <v>#REF!</v>
      </c>
      <c r="U100" s="15" t="e">
        <f ca="1">U99+Table7[[#This Row],[Total Monthly]]</f>
        <v>#REF!</v>
      </c>
    </row>
    <row r="101" spans="1:21" x14ac:dyDescent="0.25">
      <c r="A101" s="13">
        <f t="shared" si="18"/>
        <v>46419</v>
      </c>
      <c r="B101" s="12" t="str">
        <f t="shared" si="21"/>
        <v>February 2027</v>
      </c>
      <c r="C101" s="9" t="e">
        <f t="shared" ca="1" si="20"/>
        <v>#REF!</v>
      </c>
      <c r="D101" s="9" t="e">
        <f t="shared" ca="1" si="20"/>
        <v>#REF!</v>
      </c>
      <c r="E101" s="9" t="e">
        <f t="shared" ca="1" si="20"/>
        <v>#REF!</v>
      </c>
      <c r="F101" s="9" t="e">
        <f t="shared" ca="1" si="20"/>
        <v>#REF!</v>
      </c>
      <c r="G101" s="9" t="e">
        <f t="shared" ca="1" si="20"/>
        <v>#REF!</v>
      </c>
      <c r="H101" s="9" t="e">
        <f t="shared" ca="1" si="20"/>
        <v>#REF!</v>
      </c>
      <c r="I101" s="9" t="e">
        <f t="shared" ca="1" si="20"/>
        <v>#REF!</v>
      </c>
      <c r="J101" s="9" t="e">
        <f t="shared" ca="1" si="20"/>
        <v>#REF!</v>
      </c>
      <c r="K101" s="9" t="e">
        <f t="shared" ca="1" si="20"/>
        <v>#REF!</v>
      </c>
      <c r="L101" s="9" t="e">
        <f t="shared" ca="1" si="19"/>
        <v>#REF!</v>
      </c>
      <c r="M101" s="9" t="e">
        <f t="shared" ca="1" si="14"/>
        <v>#REF!</v>
      </c>
      <c r="N101" s="9" t="e">
        <f t="shared" ca="1" si="14"/>
        <v>#REF!</v>
      </c>
      <c r="O101" s="9" t="e">
        <f t="shared" ca="1" si="19"/>
        <v>#REF!</v>
      </c>
      <c r="P101" s="9" t="e">
        <f t="shared" ca="1" si="19"/>
        <v>#REF!</v>
      </c>
      <c r="Q101" s="9" t="e">
        <f t="shared" ca="1" si="17"/>
        <v>#REF!</v>
      </c>
      <c r="R101" s="9" t="e">
        <f t="shared" ca="1" si="17"/>
        <v>#REF!</v>
      </c>
      <c r="S101" s="9" t="e">
        <f t="shared" ca="1" si="17"/>
        <v>#REF!</v>
      </c>
      <c r="T101" s="9" t="e">
        <f t="shared" ca="1" si="22"/>
        <v>#REF!</v>
      </c>
      <c r="U101" s="15" t="e">
        <f ca="1">U100+Table7[[#This Row],[Total Monthly]]</f>
        <v>#REF!</v>
      </c>
    </row>
    <row r="102" spans="1:21" x14ac:dyDescent="0.25">
      <c r="A102" s="13">
        <f t="shared" si="18"/>
        <v>46447</v>
      </c>
      <c r="B102" s="12" t="str">
        <f t="shared" si="21"/>
        <v>March 2027</v>
      </c>
      <c r="C102" s="9" t="e">
        <f t="shared" ca="1" si="20"/>
        <v>#REF!</v>
      </c>
      <c r="D102" s="9" t="e">
        <f t="shared" ca="1" si="20"/>
        <v>#REF!</v>
      </c>
      <c r="E102" s="9" t="e">
        <f t="shared" ca="1" si="20"/>
        <v>#REF!</v>
      </c>
      <c r="F102" s="9" t="e">
        <f t="shared" ca="1" si="20"/>
        <v>#REF!</v>
      </c>
      <c r="G102" s="9" t="e">
        <f t="shared" ca="1" si="20"/>
        <v>#REF!</v>
      </c>
      <c r="H102" s="9" t="e">
        <f t="shared" ca="1" si="20"/>
        <v>#REF!</v>
      </c>
      <c r="I102" s="9" t="e">
        <f t="shared" ca="1" si="20"/>
        <v>#REF!</v>
      </c>
      <c r="J102" s="9" t="e">
        <f t="shared" ca="1" si="20"/>
        <v>#REF!</v>
      </c>
      <c r="K102" s="9" t="e">
        <f t="shared" ca="1" si="20"/>
        <v>#REF!</v>
      </c>
      <c r="L102" s="9" t="e">
        <f t="shared" ca="1" si="19"/>
        <v>#REF!</v>
      </c>
      <c r="M102" s="9" t="e">
        <f t="shared" ca="1" si="14"/>
        <v>#REF!</v>
      </c>
      <c r="N102" s="9" t="e">
        <f t="shared" ca="1" si="14"/>
        <v>#REF!</v>
      </c>
      <c r="O102" s="9" t="e">
        <f t="shared" ca="1" si="19"/>
        <v>#REF!</v>
      </c>
      <c r="P102" s="9" t="e">
        <f t="shared" ca="1" si="19"/>
        <v>#REF!</v>
      </c>
      <c r="Q102" s="9" t="e">
        <f t="shared" ca="1" si="17"/>
        <v>#REF!</v>
      </c>
      <c r="R102" s="9" t="e">
        <f t="shared" ca="1" si="17"/>
        <v>#REF!</v>
      </c>
      <c r="S102" s="9" t="e">
        <f t="shared" ca="1" si="17"/>
        <v>#REF!</v>
      </c>
      <c r="T102" s="9" t="e">
        <f t="shared" ca="1" si="22"/>
        <v>#REF!</v>
      </c>
      <c r="U102" s="15" t="e">
        <f ca="1">U101+Table7[[#This Row],[Total Monthly]]</f>
        <v>#REF!</v>
      </c>
    </row>
    <row r="103" spans="1:21" x14ac:dyDescent="0.25">
      <c r="A103" s="13">
        <f t="shared" si="18"/>
        <v>46478</v>
      </c>
      <c r="B103" s="12" t="str">
        <f t="shared" si="21"/>
        <v>April 2027</v>
      </c>
      <c r="C103" s="9" t="e">
        <f t="shared" ca="1" si="20"/>
        <v>#REF!</v>
      </c>
      <c r="D103" s="9" t="e">
        <f t="shared" ca="1" si="20"/>
        <v>#REF!</v>
      </c>
      <c r="E103" s="9" t="e">
        <f t="shared" ca="1" si="20"/>
        <v>#REF!</v>
      </c>
      <c r="F103" s="9" t="e">
        <f t="shared" ca="1" si="20"/>
        <v>#REF!</v>
      </c>
      <c r="G103" s="9" t="e">
        <f t="shared" ca="1" si="20"/>
        <v>#REF!</v>
      </c>
      <c r="H103" s="9" t="e">
        <f t="shared" ca="1" si="20"/>
        <v>#REF!</v>
      </c>
      <c r="I103" s="9" t="e">
        <f t="shared" ca="1" si="20"/>
        <v>#REF!</v>
      </c>
      <c r="J103" s="9" t="e">
        <f t="shared" ca="1" si="20"/>
        <v>#REF!</v>
      </c>
      <c r="K103" s="9" t="e">
        <f t="shared" ca="1" si="20"/>
        <v>#REF!</v>
      </c>
      <c r="L103" s="9" t="e">
        <f t="shared" ca="1" si="19"/>
        <v>#REF!</v>
      </c>
      <c r="M103" s="9" t="e">
        <f t="shared" ca="1" si="14"/>
        <v>#REF!</v>
      </c>
      <c r="N103" s="9" t="e">
        <f t="shared" ca="1" si="14"/>
        <v>#REF!</v>
      </c>
      <c r="O103" s="9" t="e">
        <f t="shared" ca="1" si="19"/>
        <v>#REF!</v>
      </c>
      <c r="P103" s="9" t="e">
        <f t="shared" ca="1" si="19"/>
        <v>#REF!</v>
      </c>
      <c r="Q103" s="9" t="e">
        <f t="shared" ca="1" si="17"/>
        <v>#REF!</v>
      </c>
      <c r="R103" s="9" t="e">
        <f t="shared" ca="1" si="17"/>
        <v>#REF!</v>
      </c>
      <c r="S103" s="9" t="e">
        <f t="shared" ca="1" si="17"/>
        <v>#REF!</v>
      </c>
      <c r="T103" s="9" t="e">
        <f t="shared" ca="1" si="22"/>
        <v>#REF!</v>
      </c>
      <c r="U103" s="15" t="e">
        <f ca="1">U102+Table7[[#This Row],[Total Monthly]]</f>
        <v>#REF!</v>
      </c>
    </row>
    <row r="104" spans="1:21" x14ac:dyDescent="0.25">
      <c r="A104" s="13">
        <f t="shared" si="18"/>
        <v>46508</v>
      </c>
      <c r="B104" s="12" t="str">
        <f t="shared" si="21"/>
        <v>May 2027</v>
      </c>
      <c r="C104" s="9" t="e">
        <f t="shared" ca="1" si="20"/>
        <v>#REF!</v>
      </c>
      <c r="D104" s="9" t="e">
        <f t="shared" ca="1" si="20"/>
        <v>#REF!</v>
      </c>
      <c r="E104" s="9" t="e">
        <f t="shared" ca="1" si="20"/>
        <v>#REF!</v>
      </c>
      <c r="F104" s="9" t="e">
        <f t="shared" ca="1" si="20"/>
        <v>#REF!</v>
      </c>
      <c r="G104" s="9" t="e">
        <f t="shared" ca="1" si="20"/>
        <v>#REF!</v>
      </c>
      <c r="H104" s="9" t="e">
        <f t="shared" ca="1" si="20"/>
        <v>#REF!</v>
      </c>
      <c r="I104" s="9" t="e">
        <f t="shared" ca="1" si="20"/>
        <v>#REF!</v>
      </c>
      <c r="J104" s="9" t="e">
        <f t="shared" ca="1" si="20"/>
        <v>#REF!</v>
      </c>
      <c r="K104" s="9" t="e">
        <f t="shared" ca="1" si="20"/>
        <v>#REF!</v>
      </c>
      <c r="L104" s="9" t="e">
        <f t="shared" ca="1" si="19"/>
        <v>#REF!</v>
      </c>
      <c r="M104" s="9" t="e">
        <f t="shared" ca="1" si="14"/>
        <v>#REF!</v>
      </c>
      <c r="N104" s="9" t="e">
        <f t="shared" ca="1" si="14"/>
        <v>#REF!</v>
      </c>
      <c r="O104" s="9" t="e">
        <f t="shared" ca="1" si="19"/>
        <v>#REF!</v>
      </c>
      <c r="P104" s="9" t="e">
        <f t="shared" ca="1" si="19"/>
        <v>#REF!</v>
      </c>
      <c r="Q104" s="9" t="e">
        <f t="shared" ca="1" si="17"/>
        <v>#REF!</v>
      </c>
      <c r="R104" s="9" t="e">
        <f t="shared" ca="1" si="17"/>
        <v>#REF!</v>
      </c>
      <c r="S104" s="9" t="e">
        <f t="shared" ca="1" si="17"/>
        <v>#REF!</v>
      </c>
      <c r="T104" s="9" t="e">
        <f t="shared" ca="1" si="22"/>
        <v>#REF!</v>
      </c>
      <c r="U104" s="15" t="e">
        <f ca="1">U103+Table7[[#This Row],[Total Monthly]]</f>
        <v>#REF!</v>
      </c>
    </row>
    <row r="105" spans="1:21" x14ac:dyDescent="0.25">
      <c r="A105" s="13">
        <f t="shared" si="18"/>
        <v>46539</v>
      </c>
      <c r="B105" s="12" t="str">
        <f t="shared" si="21"/>
        <v>June 2027</v>
      </c>
      <c r="C105" s="9" t="e">
        <f t="shared" ca="1" si="20"/>
        <v>#REF!</v>
      </c>
      <c r="D105" s="9" t="e">
        <f t="shared" ca="1" si="20"/>
        <v>#REF!</v>
      </c>
      <c r="E105" s="9" t="e">
        <f t="shared" ca="1" si="20"/>
        <v>#REF!</v>
      </c>
      <c r="F105" s="9" t="e">
        <f t="shared" ca="1" si="20"/>
        <v>#REF!</v>
      </c>
      <c r="G105" s="9" t="e">
        <f t="shared" ca="1" si="20"/>
        <v>#REF!</v>
      </c>
      <c r="H105" s="9" t="e">
        <f t="shared" ca="1" si="20"/>
        <v>#REF!</v>
      </c>
      <c r="I105" s="9" t="e">
        <f t="shared" ca="1" si="20"/>
        <v>#REF!</v>
      </c>
      <c r="J105" s="9" t="e">
        <f t="shared" ca="1" si="20"/>
        <v>#REF!</v>
      </c>
      <c r="K105" s="9" t="e">
        <f t="shared" ca="1" si="20"/>
        <v>#REF!</v>
      </c>
      <c r="L105" s="9" t="e">
        <f t="shared" ca="1" si="19"/>
        <v>#REF!</v>
      </c>
      <c r="M105" s="9" t="e">
        <f t="shared" ca="1" si="19"/>
        <v>#REF!</v>
      </c>
      <c r="N105" s="9" t="e">
        <f t="shared" ref="N105:N147" ca="1" si="23">SUMIF(INDIRECT("'"&amp;$B105&amp;"'!$F$1:$F$999"), N$2, INDIRECT("'"&amp;$B105&amp;"'!$B$1:$B$999"))</f>
        <v>#REF!</v>
      </c>
      <c r="O105" s="9" t="e">
        <f t="shared" ca="1" si="19"/>
        <v>#REF!</v>
      </c>
      <c r="P105" s="9" t="e">
        <f t="shared" ca="1" si="19"/>
        <v>#REF!</v>
      </c>
      <c r="Q105" s="9" t="e">
        <f t="shared" ca="1" si="17"/>
        <v>#REF!</v>
      </c>
      <c r="R105" s="9" t="e">
        <f t="shared" ca="1" si="17"/>
        <v>#REF!</v>
      </c>
      <c r="S105" s="9" t="e">
        <f t="shared" ca="1" si="17"/>
        <v>#REF!</v>
      </c>
      <c r="T105" s="9" t="e">
        <f t="shared" ca="1" si="22"/>
        <v>#REF!</v>
      </c>
      <c r="U105" s="15" t="e">
        <f ca="1">U104+Table7[[#This Row],[Total Monthly]]</f>
        <v>#REF!</v>
      </c>
    </row>
    <row r="106" spans="1:21" x14ac:dyDescent="0.25">
      <c r="A106" s="13">
        <f t="shared" si="18"/>
        <v>46569</v>
      </c>
      <c r="B106" s="12" t="str">
        <f t="shared" si="21"/>
        <v>July 2027</v>
      </c>
      <c r="C106" s="9" t="e">
        <f t="shared" ca="1" si="20"/>
        <v>#REF!</v>
      </c>
      <c r="D106" s="9" t="e">
        <f t="shared" ca="1" si="20"/>
        <v>#REF!</v>
      </c>
      <c r="E106" s="9" t="e">
        <f t="shared" ca="1" si="20"/>
        <v>#REF!</v>
      </c>
      <c r="F106" s="9" t="e">
        <f t="shared" ca="1" si="20"/>
        <v>#REF!</v>
      </c>
      <c r="G106" s="9" t="e">
        <f t="shared" ca="1" si="20"/>
        <v>#REF!</v>
      </c>
      <c r="H106" s="9" t="e">
        <f t="shared" ca="1" si="20"/>
        <v>#REF!</v>
      </c>
      <c r="I106" s="9" t="e">
        <f t="shared" ca="1" si="20"/>
        <v>#REF!</v>
      </c>
      <c r="J106" s="9" t="e">
        <f t="shared" ca="1" si="20"/>
        <v>#REF!</v>
      </c>
      <c r="K106" s="9" t="e">
        <f t="shared" ca="1" si="20"/>
        <v>#REF!</v>
      </c>
      <c r="L106" s="9" t="e">
        <f t="shared" ca="1" si="19"/>
        <v>#REF!</v>
      </c>
      <c r="M106" s="9" t="e">
        <f t="shared" ca="1" si="19"/>
        <v>#REF!</v>
      </c>
      <c r="N106" s="9" t="e">
        <f t="shared" ca="1" si="23"/>
        <v>#REF!</v>
      </c>
      <c r="O106" s="9" t="e">
        <f t="shared" ca="1" si="19"/>
        <v>#REF!</v>
      </c>
      <c r="P106" s="9" t="e">
        <f t="shared" ca="1" si="19"/>
        <v>#REF!</v>
      </c>
      <c r="Q106" s="9" t="e">
        <f t="shared" ca="1" si="17"/>
        <v>#REF!</v>
      </c>
      <c r="R106" s="9" t="e">
        <f t="shared" ca="1" si="17"/>
        <v>#REF!</v>
      </c>
      <c r="S106" s="9" t="e">
        <f t="shared" ca="1" si="17"/>
        <v>#REF!</v>
      </c>
      <c r="T106" s="9" t="e">
        <f t="shared" ca="1" si="22"/>
        <v>#REF!</v>
      </c>
      <c r="U106" s="15" t="e">
        <f ca="1">U105+Table7[[#This Row],[Total Monthly]]</f>
        <v>#REF!</v>
      </c>
    </row>
    <row r="107" spans="1:21" x14ac:dyDescent="0.25">
      <c r="A107" s="13">
        <f t="shared" si="18"/>
        <v>46600</v>
      </c>
      <c r="B107" s="12" t="str">
        <f t="shared" si="21"/>
        <v>August 2027</v>
      </c>
      <c r="C107" s="9" t="e">
        <f t="shared" ca="1" si="20"/>
        <v>#REF!</v>
      </c>
      <c r="D107" s="9" t="e">
        <f t="shared" ca="1" si="20"/>
        <v>#REF!</v>
      </c>
      <c r="E107" s="9" t="e">
        <f t="shared" ca="1" si="20"/>
        <v>#REF!</v>
      </c>
      <c r="F107" s="9" t="e">
        <f t="shared" ca="1" si="20"/>
        <v>#REF!</v>
      </c>
      <c r="G107" s="9" t="e">
        <f t="shared" ca="1" si="20"/>
        <v>#REF!</v>
      </c>
      <c r="H107" s="9" t="e">
        <f t="shared" ca="1" si="20"/>
        <v>#REF!</v>
      </c>
      <c r="I107" s="9" t="e">
        <f t="shared" ca="1" si="20"/>
        <v>#REF!</v>
      </c>
      <c r="J107" s="9" t="e">
        <f t="shared" ca="1" si="20"/>
        <v>#REF!</v>
      </c>
      <c r="K107" s="9" t="e">
        <f t="shared" ca="1" si="20"/>
        <v>#REF!</v>
      </c>
      <c r="L107" s="9" t="e">
        <f t="shared" ca="1" si="19"/>
        <v>#REF!</v>
      </c>
      <c r="M107" s="9" t="e">
        <f t="shared" ca="1" si="19"/>
        <v>#REF!</v>
      </c>
      <c r="N107" s="9" t="e">
        <f t="shared" ca="1" si="23"/>
        <v>#REF!</v>
      </c>
      <c r="O107" s="9" t="e">
        <f t="shared" ca="1" si="19"/>
        <v>#REF!</v>
      </c>
      <c r="P107" s="9" t="e">
        <f t="shared" ca="1" si="19"/>
        <v>#REF!</v>
      </c>
      <c r="Q107" s="9" t="e">
        <f t="shared" ca="1" si="17"/>
        <v>#REF!</v>
      </c>
      <c r="R107" s="9" t="e">
        <f t="shared" ca="1" si="17"/>
        <v>#REF!</v>
      </c>
      <c r="S107" s="9" t="e">
        <f t="shared" ca="1" si="17"/>
        <v>#REF!</v>
      </c>
      <c r="T107" s="9" t="e">
        <f t="shared" ca="1" si="22"/>
        <v>#REF!</v>
      </c>
      <c r="U107" s="15" t="e">
        <f ca="1">U106+Table7[[#This Row],[Total Monthly]]</f>
        <v>#REF!</v>
      </c>
    </row>
    <row r="108" spans="1:21" x14ac:dyDescent="0.25">
      <c r="A108" s="13">
        <f t="shared" si="18"/>
        <v>46631</v>
      </c>
      <c r="B108" s="12" t="str">
        <f t="shared" si="21"/>
        <v>September 2027</v>
      </c>
      <c r="C108" s="9" t="e">
        <f t="shared" ca="1" si="20"/>
        <v>#REF!</v>
      </c>
      <c r="D108" s="9" t="e">
        <f t="shared" ca="1" si="20"/>
        <v>#REF!</v>
      </c>
      <c r="E108" s="9" t="e">
        <f t="shared" ca="1" si="20"/>
        <v>#REF!</v>
      </c>
      <c r="F108" s="9" t="e">
        <f t="shared" ca="1" si="20"/>
        <v>#REF!</v>
      </c>
      <c r="G108" s="9" t="e">
        <f t="shared" ca="1" si="20"/>
        <v>#REF!</v>
      </c>
      <c r="H108" s="9" t="e">
        <f t="shared" ca="1" si="20"/>
        <v>#REF!</v>
      </c>
      <c r="I108" s="9" t="e">
        <f t="shared" ca="1" si="20"/>
        <v>#REF!</v>
      </c>
      <c r="J108" s="9" t="e">
        <f t="shared" ca="1" si="20"/>
        <v>#REF!</v>
      </c>
      <c r="K108" s="9" t="e">
        <f t="shared" ca="1" si="20"/>
        <v>#REF!</v>
      </c>
      <c r="L108" s="9" t="e">
        <f t="shared" ca="1" si="19"/>
        <v>#REF!</v>
      </c>
      <c r="M108" s="9" t="e">
        <f t="shared" ca="1" si="19"/>
        <v>#REF!</v>
      </c>
      <c r="N108" s="9" t="e">
        <f t="shared" ca="1" si="23"/>
        <v>#REF!</v>
      </c>
      <c r="O108" s="9" t="e">
        <f t="shared" ca="1" si="19"/>
        <v>#REF!</v>
      </c>
      <c r="P108" s="9" t="e">
        <f t="shared" ca="1" si="19"/>
        <v>#REF!</v>
      </c>
      <c r="Q108" s="9" t="e">
        <f t="shared" ca="1" si="17"/>
        <v>#REF!</v>
      </c>
      <c r="R108" s="9" t="e">
        <f t="shared" ca="1" si="17"/>
        <v>#REF!</v>
      </c>
      <c r="S108" s="9" t="e">
        <f t="shared" ca="1" si="17"/>
        <v>#REF!</v>
      </c>
      <c r="T108" s="9" t="e">
        <f t="shared" ca="1" si="22"/>
        <v>#REF!</v>
      </c>
      <c r="U108" s="15" t="e">
        <f ca="1">U107+Table7[[#This Row],[Total Monthly]]</f>
        <v>#REF!</v>
      </c>
    </row>
    <row r="109" spans="1:21" x14ac:dyDescent="0.25">
      <c r="A109" s="13">
        <f t="shared" si="18"/>
        <v>46661</v>
      </c>
      <c r="B109" s="12" t="str">
        <f t="shared" si="21"/>
        <v>October 2027</v>
      </c>
      <c r="C109" s="9" t="e">
        <f t="shared" ca="1" si="20"/>
        <v>#REF!</v>
      </c>
      <c r="D109" s="9" t="e">
        <f t="shared" ca="1" si="20"/>
        <v>#REF!</v>
      </c>
      <c r="E109" s="9" t="e">
        <f t="shared" ca="1" si="20"/>
        <v>#REF!</v>
      </c>
      <c r="F109" s="9" t="e">
        <f t="shared" ca="1" si="20"/>
        <v>#REF!</v>
      </c>
      <c r="G109" s="9" t="e">
        <f t="shared" ca="1" si="20"/>
        <v>#REF!</v>
      </c>
      <c r="H109" s="9" t="e">
        <f t="shared" ca="1" si="20"/>
        <v>#REF!</v>
      </c>
      <c r="I109" s="9" t="e">
        <f t="shared" ca="1" si="20"/>
        <v>#REF!</v>
      </c>
      <c r="J109" s="9" t="e">
        <f t="shared" ca="1" si="20"/>
        <v>#REF!</v>
      </c>
      <c r="K109" s="9" t="e">
        <f t="shared" ca="1" si="20"/>
        <v>#REF!</v>
      </c>
      <c r="L109" s="9" t="e">
        <f t="shared" ca="1" si="19"/>
        <v>#REF!</v>
      </c>
      <c r="M109" s="9" t="e">
        <f t="shared" ca="1" si="19"/>
        <v>#REF!</v>
      </c>
      <c r="N109" s="9" t="e">
        <f t="shared" ca="1" si="23"/>
        <v>#REF!</v>
      </c>
      <c r="O109" s="9" t="e">
        <f t="shared" ca="1" si="19"/>
        <v>#REF!</v>
      </c>
      <c r="P109" s="9" t="e">
        <f t="shared" ca="1" si="19"/>
        <v>#REF!</v>
      </c>
      <c r="Q109" s="9" t="e">
        <f t="shared" ca="1" si="17"/>
        <v>#REF!</v>
      </c>
      <c r="R109" s="9" t="e">
        <f t="shared" ca="1" si="17"/>
        <v>#REF!</v>
      </c>
      <c r="S109" s="9" t="e">
        <f t="shared" ca="1" si="17"/>
        <v>#REF!</v>
      </c>
      <c r="T109" s="9" t="e">
        <f t="shared" ca="1" si="22"/>
        <v>#REF!</v>
      </c>
      <c r="U109" s="15" t="e">
        <f ca="1">U108+Table7[[#This Row],[Total Monthly]]</f>
        <v>#REF!</v>
      </c>
    </row>
    <row r="110" spans="1:21" x14ac:dyDescent="0.25">
      <c r="A110" s="13">
        <f t="shared" si="18"/>
        <v>46692</v>
      </c>
      <c r="B110" s="12" t="str">
        <f t="shared" si="21"/>
        <v>November 2027</v>
      </c>
      <c r="C110" s="9" t="e">
        <f t="shared" ca="1" si="20"/>
        <v>#REF!</v>
      </c>
      <c r="D110" s="9" t="e">
        <f t="shared" ca="1" si="20"/>
        <v>#REF!</v>
      </c>
      <c r="E110" s="9" t="e">
        <f t="shared" ca="1" si="20"/>
        <v>#REF!</v>
      </c>
      <c r="F110" s="9" t="e">
        <f t="shared" ca="1" si="20"/>
        <v>#REF!</v>
      </c>
      <c r="G110" s="9" t="e">
        <f t="shared" ca="1" si="20"/>
        <v>#REF!</v>
      </c>
      <c r="H110" s="9" t="e">
        <f t="shared" ca="1" si="20"/>
        <v>#REF!</v>
      </c>
      <c r="I110" s="9" t="e">
        <f t="shared" ca="1" si="20"/>
        <v>#REF!</v>
      </c>
      <c r="J110" s="9" t="e">
        <f t="shared" ca="1" si="20"/>
        <v>#REF!</v>
      </c>
      <c r="K110" s="9" t="e">
        <f t="shared" ca="1" si="20"/>
        <v>#REF!</v>
      </c>
      <c r="L110" s="9" t="e">
        <f t="shared" ca="1" si="19"/>
        <v>#REF!</v>
      </c>
      <c r="M110" s="9" t="e">
        <f t="shared" ca="1" si="19"/>
        <v>#REF!</v>
      </c>
      <c r="N110" s="9" t="e">
        <f t="shared" ca="1" si="23"/>
        <v>#REF!</v>
      </c>
      <c r="O110" s="9" t="e">
        <f t="shared" ca="1" si="19"/>
        <v>#REF!</v>
      </c>
      <c r="P110" s="9" t="e">
        <f t="shared" ca="1" si="19"/>
        <v>#REF!</v>
      </c>
      <c r="Q110" s="9" t="e">
        <f t="shared" ca="1" si="17"/>
        <v>#REF!</v>
      </c>
      <c r="R110" s="9" t="e">
        <f t="shared" ca="1" si="17"/>
        <v>#REF!</v>
      </c>
      <c r="S110" s="9" t="e">
        <f t="shared" ca="1" si="17"/>
        <v>#REF!</v>
      </c>
      <c r="T110" s="9" t="e">
        <f t="shared" ca="1" si="22"/>
        <v>#REF!</v>
      </c>
      <c r="U110" s="15" t="e">
        <f ca="1">U109+Table7[[#This Row],[Total Monthly]]</f>
        <v>#REF!</v>
      </c>
    </row>
    <row r="111" spans="1:21" x14ac:dyDescent="0.25">
      <c r="A111" s="13">
        <f t="shared" si="18"/>
        <v>46722</v>
      </c>
      <c r="B111" s="12" t="str">
        <f t="shared" si="21"/>
        <v>December 2027</v>
      </c>
      <c r="C111" s="9" t="e">
        <f t="shared" ca="1" si="20"/>
        <v>#REF!</v>
      </c>
      <c r="D111" s="9" t="e">
        <f t="shared" ca="1" si="20"/>
        <v>#REF!</v>
      </c>
      <c r="E111" s="9" t="e">
        <f t="shared" ca="1" si="20"/>
        <v>#REF!</v>
      </c>
      <c r="F111" s="9" t="e">
        <f t="shared" ca="1" si="20"/>
        <v>#REF!</v>
      </c>
      <c r="G111" s="9" t="e">
        <f t="shared" ca="1" si="20"/>
        <v>#REF!</v>
      </c>
      <c r="H111" s="9" t="e">
        <f t="shared" ca="1" si="20"/>
        <v>#REF!</v>
      </c>
      <c r="I111" s="9" t="e">
        <f t="shared" ca="1" si="20"/>
        <v>#REF!</v>
      </c>
      <c r="J111" s="9" t="e">
        <f t="shared" ca="1" si="20"/>
        <v>#REF!</v>
      </c>
      <c r="K111" s="9" t="e">
        <f t="shared" ca="1" si="20"/>
        <v>#REF!</v>
      </c>
      <c r="L111" s="9" t="e">
        <f t="shared" ca="1" si="19"/>
        <v>#REF!</v>
      </c>
      <c r="M111" s="9" t="e">
        <f t="shared" ca="1" si="19"/>
        <v>#REF!</v>
      </c>
      <c r="N111" s="9" t="e">
        <f t="shared" ca="1" si="23"/>
        <v>#REF!</v>
      </c>
      <c r="O111" s="9" t="e">
        <f t="shared" ca="1" si="19"/>
        <v>#REF!</v>
      </c>
      <c r="P111" s="9" t="e">
        <f t="shared" ca="1" si="19"/>
        <v>#REF!</v>
      </c>
      <c r="Q111" s="9" t="e">
        <f t="shared" ca="1" si="17"/>
        <v>#REF!</v>
      </c>
      <c r="R111" s="9" t="e">
        <f t="shared" ca="1" si="17"/>
        <v>#REF!</v>
      </c>
      <c r="S111" s="9" t="e">
        <f t="shared" ca="1" si="17"/>
        <v>#REF!</v>
      </c>
      <c r="T111" s="9" t="e">
        <f t="shared" ca="1" si="22"/>
        <v>#REF!</v>
      </c>
      <c r="U111" s="15" t="e">
        <f ca="1">U110+Table7[[#This Row],[Total Monthly]]</f>
        <v>#REF!</v>
      </c>
    </row>
    <row r="112" spans="1:21" x14ac:dyDescent="0.25">
      <c r="A112" s="13">
        <f t="shared" si="18"/>
        <v>46753</v>
      </c>
      <c r="B112" s="12" t="str">
        <f t="shared" si="21"/>
        <v>January 2028</v>
      </c>
      <c r="C112" s="9" t="e">
        <f t="shared" ca="1" si="20"/>
        <v>#REF!</v>
      </c>
      <c r="D112" s="9" t="e">
        <f t="shared" ca="1" si="20"/>
        <v>#REF!</v>
      </c>
      <c r="E112" s="9" t="e">
        <f t="shared" ca="1" si="20"/>
        <v>#REF!</v>
      </c>
      <c r="F112" s="9" t="e">
        <f t="shared" ca="1" si="20"/>
        <v>#REF!</v>
      </c>
      <c r="G112" s="9" t="e">
        <f t="shared" ca="1" si="20"/>
        <v>#REF!</v>
      </c>
      <c r="H112" s="9" t="e">
        <f t="shared" ca="1" si="20"/>
        <v>#REF!</v>
      </c>
      <c r="I112" s="9" t="e">
        <f t="shared" ca="1" si="20"/>
        <v>#REF!</v>
      </c>
      <c r="J112" s="9" t="e">
        <f t="shared" ca="1" si="20"/>
        <v>#REF!</v>
      </c>
      <c r="K112" s="9" t="e">
        <f t="shared" ca="1" si="20"/>
        <v>#REF!</v>
      </c>
      <c r="L112" s="9" t="e">
        <f t="shared" ca="1" si="19"/>
        <v>#REF!</v>
      </c>
      <c r="M112" s="9" t="e">
        <f t="shared" ref="M112:M147" ca="1" si="24">SUMIF(INDIRECT("'"&amp;$B112&amp;"'!$F$1:$F$999"), M$2, INDIRECT("'"&amp;$B112&amp;"'!$B$1:$B$999"))</f>
        <v>#REF!</v>
      </c>
      <c r="N112" s="9" t="e">
        <f t="shared" ca="1" si="23"/>
        <v>#REF!</v>
      </c>
      <c r="O112" s="9" t="e">
        <f t="shared" ca="1" si="19"/>
        <v>#REF!</v>
      </c>
      <c r="P112" s="9" t="e">
        <f t="shared" ca="1" si="19"/>
        <v>#REF!</v>
      </c>
      <c r="Q112" s="9" t="e">
        <f t="shared" ca="1" si="17"/>
        <v>#REF!</v>
      </c>
      <c r="R112" s="9" t="e">
        <f t="shared" ca="1" si="17"/>
        <v>#REF!</v>
      </c>
      <c r="S112" s="9" t="e">
        <f t="shared" ca="1" si="17"/>
        <v>#REF!</v>
      </c>
      <c r="T112" s="9" t="e">
        <f t="shared" ca="1" si="22"/>
        <v>#REF!</v>
      </c>
      <c r="U112" s="15" t="e">
        <f ca="1">U111+Table7[[#This Row],[Total Monthly]]</f>
        <v>#REF!</v>
      </c>
    </row>
    <row r="113" spans="1:21" x14ac:dyDescent="0.25">
      <c r="A113" s="13">
        <f t="shared" si="18"/>
        <v>46784</v>
      </c>
      <c r="B113" s="12" t="str">
        <f t="shared" si="21"/>
        <v>February 2028</v>
      </c>
      <c r="C113" s="9" t="e">
        <f t="shared" ca="1" si="20"/>
        <v>#REF!</v>
      </c>
      <c r="D113" s="9" t="e">
        <f t="shared" ca="1" si="20"/>
        <v>#REF!</v>
      </c>
      <c r="E113" s="9" t="e">
        <f t="shared" ca="1" si="20"/>
        <v>#REF!</v>
      </c>
      <c r="F113" s="9" t="e">
        <f t="shared" ca="1" si="20"/>
        <v>#REF!</v>
      </c>
      <c r="G113" s="9" t="e">
        <f t="shared" ca="1" si="20"/>
        <v>#REF!</v>
      </c>
      <c r="H113" s="9" t="e">
        <f t="shared" ca="1" si="20"/>
        <v>#REF!</v>
      </c>
      <c r="I113" s="9" t="e">
        <f t="shared" ca="1" si="20"/>
        <v>#REF!</v>
      </c>
      <c r="J113" s="9" t="e">
        <f t="shared" ca="1" si="20"/>
        <v>#REF!</v>
      </c>
      <c r="K113" s="9" t="e">
        <f t="shared" ca="1" si="20"/>
        <v>#REF!</v>
      </c>
      <c r="L113" s="9" t="e">
        <f t="shared" ca="1" si="19"/>
        <v>#REF!</v>
      </c>
      <c r="M113" s="9" t="e">
        <f t="shared" ca="1" si="24"/>
        <v>#REF!</v>
      </c>
      <c r="N113" s="9" t="e">
        <f t="shared" ca="1" si="23"/>
        <v>#REF!</v>
      </c>
      <c r="O113" s="9" t="e">
        <f t="shared" ca="1" si="19"/>
        <v>#REF!</v>
      </c>
      <c r="P113" s="9" t="e">
        <f t="shared" ca="1" si="19"/>
        <v>#REF!</v>
      </c>
      <c r="Q113" s="9" t="e">
        <f t="shared" ca="1" si="17"/>
        <v>#REF!</v>
      </c>
      <c r="R113" s="9" t="e">
        <f t="shared" ca="1" si="17"/>
        <v>#REF!</v>
      </c>
      <c r="S113" s="9" t="e">
        <f t="shared" ca="1" si="17"/>
        <v>#REF!</v>
      </c>
      <c r="T113" s="9" t="e">
        <f t="shared" ca="1" si="22"/>
        <v>#REF!</v>
      </c>
      <c r="U113" s="15" t="e">
        <f ca="1">U112+Table7[[#This Row],[Total Monthly]]</f>
        <v>#REF!</v>
      </c>
    </row>
    <row r="114" spans="1:21" x14ac:dyDescent="0.25">
      <c r="A114" s="13">
        <f t="shared" si="18"/>
        <v>46813</v>
      </c>
      <c r="B114" s="12" t="str">
        <f t="shared" si="21"/>
        <v>March 2028</v>
      </c>
      <c r="C114" s="9" t="e">
        <f t="shared" ca="1" si="20"/>
        <v>#REF!</v>
      </c>
      <c r="D114" s="9" t="e">
        <f t="shared" ca="1" si="20"/>
        <v>#REF!</v>
      </c>
      <c r="E114" s="9" t="e">
        <f t="shared" ca="1" si="20"/>
        <v>#REF!</v>
      </c>
      <c r="F114" s="9" t="e">
        <f t="shared" ref="C114:K142" ca="1" si="25">SUMIF(INDIRECT("'"&amp;$B114&amp;"'!$F$1:$F$999"), F$2, INDIRECT("'"&amp;$B114&amp;"'!$B$1:$B$999"))</f>
        <v>#REF!</v>
      </c>
      <c r="G114" s="9" t="e">
        <f t="shared" ca="1" si="25"/>
        <v>#REF!</v>
      </c>
      <c r="H114" s="9" t="e">
        <f t="shared" ca="1" si="25"/>
        <v>#REF!</v>
      </c>
      <c r="I114" s="9" t="e">
        <f t="shared" ca="1" si="25"/>
        <v>#REF!</v>
      </c>
      <c r="J114" s="9" t="e">
        <f t="shared" ca="1" si="25"/>
        <v>#REF!</v>
      </c>
      <c r="K114" s="9" t="e">
        <f t="shared" ca="1" si="25"/>
        <v>#REF!</v>
      </c>
      <c r="L114" s="9" t="e">
        <f t="shared" ca="1" si="19"/>
        <v>#REF!</v>
      </c>
      <c r="M114" s="9" t="e">
        <f t="shared" ca="1" si="24"/>
        <v>#REF!</v>
      </c>
      <c r="N114" s="9" t="e">
        <f t="shared" ca="1" si="23"/>
        <v>#REF!</v>
      </c>
      <c r="O114" s="9" t="e">
        <f t="shared" ca="1" si="19"/>
        <v>#REF!</v>
      </c>
      <c r="P114" s="9" t="e">
        <f t="shared" ca="1" si="19"/>
        <v>#REF!</v>
      </c>
      <c r="Q114" s="9" t="e">
        <f t="shared" ca="1" si="17"/>
        <v>#REF!</v>
      </c>
      <c r="R114" s="9" t="e">
        <f t="shared" ca="1" si="17"/>
        <v>#REF!</v>
      </c>
      <c r="S114" s="9" t="e">
        <f t="shared" ca="1" si="17"/>
        <v>#REF!</v>
      </c>
      <c r="T114" s="9" t="e">
        <f t="shared" ca="1" si="22"/>
        <v>#REF!</v>
      </c>
      <c r="U114" s="15" t="e">
        <f ca="1">U113+Table7[[#This Row],[Total Monthly]]</f>
        <v>#REF!</v>
      </c>
    </row>
    <row r="115" spans="1:21" x14ac:dyDescent="0.25">
      <c r="A115" s="13">
        <f t="shared" si="18"/>
        <v>46844</v>
      </c>
      <c r="B115" s="12" t="str">
        <f t="shared" si="21"/>
        <v>April 2028</v>
      </c>
      <c r="C115" s="9" t="e">
        <f t="shared" ca="1" si="25"/>
        <v>#REF!</v>
      </c>
      <c r="D115" s="9" t="e">
        <f t="shared" ca="1" si="25"/>
        <v>#REF!</v>
      </c>
      <c r="E115" s="9" t="e">
        <f t="shared" ca="1" si="25"/>
        <v>#REF!</v>
      </c>
      <c r="F115" s="9" t="e">
        <f t="shared" ca="1" si="25"/>
        <v>#REF!</v>
      </c>
      <c r="G115" s="9" t="e">
        <f t="shared" ca="1" si="25"/>
        <v>#REF!</v>
      </c>
      <c r="H115" s="9" t="e">
        <f t="shared" ca="1" si="25"/>
        <v>#REF!</v>
      </c>
      <c r="I115" s="9" t="e">
        <f t="shared" ca="1" si="25"/>
        <v>#REF!</v>
      </c>
      <c r="J115" s="9" t="e">
        <f t="shared" ca="1" si="25"/>
        <v>#REF!</v>
      </c>
      <c r="K115" s="9" t="e">
        <f t="shared" ca="1" si="25"/>
        <v>#REF!</v>
      </c>
      <c r="L115" s="9" t="e">
        <f t="shared" ca="1" si="19"/>
        <v>#REF!</v>
      </c>
      <c r="M115" s="9" t="e">
        <f t="shared" ca="1" si="24"/>
        <v>#REF!</v>
      </c>
      <c r="N115" s="9" t="e">
        <f t="shared" ca="1" si="23"/>
        <v>#REF!</v>
      </c>
      <c r="O115" s="9" t="e">
        <f t="shared" ca="1" si="19"/>
        <v>#REF!</v>
      </c>
      <c r="P115" s="9" t="e">
        <f t="shared" ca="1" si="19"/>
        <v>#REF!</v>
      </c>
      <c r="Q115" s="9" t="e">
        <f t="shared" ca="1" si="17"/>
        <v>#REF!</v>
      </c>
      <c r="R115" s="9" t="e">
        <f t="shared" ca="1" si="17"/>
        <v>#REF!</v>
      </c>
      <c r="S115" s="9" t="e">
        <f t="shared" ca="1" si="17"/>
        <v>#REF!</v>
      </c>
      <c r="T115" s="9" t="e">
        <f t="shared" ca="1" si="22"/>
        <v>#REF!</v>
      </c>
      <c r="U115" s="15" t="e">
        <f ca="1">U114+Table7[[#This Row],[Total Monthly]]</f>
        <v>#REF!</v>
      </c>
    </row>
    <row r="116" spans="1:21" x14ac:dyDescent="0.25">
      <c r="A116" s="13">
        <f t="shared" si="18"/>
        <v>46874</v>
      </c>
      <c r="B116" s="12" t="str">
        <f t="shared" si="21"/>
        <v>May 2028</v>
      </c>
      <c r="C116" s="9" t="e">
        <f t="shared" ca="1" si="25"/>
        <v>#REF!</v>
      </c>
      <c r="D116" s="9" t="e">
        <f t="shared" ca="1" si="25"/>
        <v>#REF!</v>
      </c>
      <c r="E116" s="9" t="e">
        <f t="shared" ca="1" si="25"/>
        <v>#REF!</v>
      </c>
      <c r="F116" s="9" t="e">
        <f t="shared" ca="1" si="25"/>
        <v>#REF!</v>
      </c>
      <c r="G116" s="9" t="e">
        <f t="shared" ca="1" si="25"/>
        <v>#REF!</v>
      </c>
      <c r="H116" s="9" t="e">
        <f t="shared" ca="1" si="25"/>
        <v>#REF!</v>
      </c>
      <c r="I116" s="9" t="e">
        <f t="shared" ca="1" si="25"/>
        <v>#REF!</v>
      </c>
      <c r="J116" s="9" t="e">
        <f t="shared" ca="1" si="25"/>
        <v>#REF!</v>
      </c>
      <c r="K116" s="9" t="e">
        <f t="shared" ca="1" si="25"/>
        <v>#REF!</v>
      </c>
      <c r="L116" s="9" t="e">
        <f t="shared" ca="1" si="19"/>
        <v>#REF!</v>
      </c>
      <c r="M116" s="9" t="e">
        <f t="shared" ca="1" si="24"/>
        <v>#REF!</v>
      </c>
      <c r="N116" s="9" t="e">
        <f t="shared" ca="1" si="23"/>
        <v>#REF!</v>
      </c>
      <c r="O116" s="9" t="e">
        <f t="shared" ca="1" si="19"/>
        <v>#REF!</v>
      </c>
      <c r="P116" s="9" t="e">
        <f t="shared" ca="1" si="19"/>
        <v>#REF!</v>
      </c>
      <c r="Q116" s="9" t="e">
        <f t="shared" ca="1" si="17"/>
        <v>#REF!</v>
      </c>
      <c r="R116" s="9" t="e">
        <f t="shared" ca="1" si="17"/>
        <v>#REF!</v>
      </c>
      <c r="S116" s="9" t="e">
        <f t="shared" ca="1" si="17"/>
        <v>#REF!</v>
      </c>
      <c r="T116" s="9" t="e">
        <f t="shared" ca="1" si="22"/>
        <v>#REF!</v>
      </c>
      <c r="U116" s="15" t="e">
        <f ca="1">U115+Table7[[#This Row],[Total Monthly]]</f>
        <v>#REF!</v>
      </c>
    </row>
    <row r="117" spans="1:21" x14ac:dyDescent="0.25">
      <c r="A117" s="13">
        <f t="shared" si="18"/>
        <v>46905</v>
      </c>
      <c r="B117" s="12" t="str">
        <f t="shared" si="21"/>
        <v>June 2028</v>
      </c>
      <c r="C117" s="9" t="e">
        <f t="shared" ca="1" si="25"/>
        <v>#REF!</v>
      </c>
      <c r="D117" s="9" t="e">
        <f t="shared" ca="1" si="25"/>
        <v>#REF!</v>
      </c>
      <c r="E117" s="9" t="e">
        <f t="shared" ca="1" si="25"/>
        <v>#REF!</v>
      </c>
      <c r="F117" s="9" t="e">
        <f t="shared" ca="1" si="25"/>
        <v>#REF!</v>
      </c>
      <c r="G117" s="9" t="e">
        <f t="shared" ca="1" si="25"/>
        <v>#REF!</v>
      </c>
      <c r="H117" s="9" t="e">
        <f t="shared" ca="1" si="25"/>
        <v>#REF!</v>
      </c>
      <c r="I117" s="9" t="e">
        <f t="shared" ca="1" si="25"/>
        <v>#REF!</v>
      </c>
      <c r="J117" s="9" t="e">
        <f t="shared" ca="1" si="25"/>
        <v>#REF!</v>
      </c>
      <c r="K117" s="9" t="e">
        <f t="shared" ca="1" si="25"/>
        <v>#REF!</v>
      </c>
      <c r="L117" s="9" t="e">
        <f t="shared" ca="1" si="19"/>
        <v>#REF!</v>
      </c>
      <c r="M117" s="9" t="e">
        <f t="shared" ca="1" si="24"/>
        <v>#REF!</v>
      </c>
      <c r="N117" s="9" t="e">
        <f t="shared" ca="1" si="23"/>
        <v>#REF!</v>
      </c>
      <c r="O117" s="9" t="e">
        <f t="shared" ca="1" si="19"/>
        <v>#REF!</v>
      </c>
      <c r="P117" s="9" t="e">
        <f t="shared" ca="1" si="19"/>
        <v>#REF!</v>
      </c>
      <c r="Q117" s="9" t="e">
        <f t="shared" ca="1" si="17"/>
        <v>#REF!</v>
      </c>
      <c r="R117" s="9" t="e">
        <f t="shared" ca="1" si="17"/>
        <v>#REF!</v>
      </c>
      <c r="S117" s="9" t="e">
        <f t="shared" ca="1" si="17"/>
        <v>#REF!</v>
      </c>
      <c r="T117" s="9" t="e">
        <f t="shared" ca="1" si="22"/>
        <v>#REF!</v>
      </c>
      <c r="U117" s="15" t="e">
        <f ca="1">U116+Table7[[#This Row],[Total Monthly]]</f>
        <v>#REF!</v>
      </c>
    </row>
    <row r="118" spans="1:21" x14ac:dyDescent="0.25">
      <c r="A118" s="13">
        <f t="shared" si="18"/>
        <v>46935</v>
      </c>
      <c r="B118" s="12" t="str">
        <f t="shared" si="21"/>
        <v>July 2028</v>
      </c>
      <c r="C118" s="9" t="e">
        <f t="shared" ca="1" si="25"/>
        <v>#REF!</v>
      </c>
      <c r="D118" s="9" t="e">
        <f t="shared" ca="1" si="25"/>
        <v>#REF!</v>
      </c>
      <c r="E118" s="9" t="e">
        <f t="shared" ca="1" si="25"/>
        <v>#REF!</v>
      </c>
      <c r="F118" s="9" t="e">
        <f t="shared" ca="1" si="25"/>
        <v>#REF!</v>
      </c>
      <c r="G118" s="9" t="e">
        <f t="shared" ca="1" si="25"/>
        <v>#REF!</v>
      </c>
      <c r="H118" s="9" t="e">
        <f t="shared" ca="1" si="25"/>
        <v>#REF!</v>
      </c>
      <c r="I118" s="9" t="e">
        <f t="shared" ca="1" si="25"/>
        <v>#REF!</v>
      </c>
      <c r="J118" s="9" t="e">
        <f t="shared" ca="1" si="25"/>
        <v>#REF!</v>
      </c>
      <c r="K118" s="9" t="e">
        <f t="shared" ca="1" si="25"/>
        <v>#REF!</v>
      </c>
      <c r="L118" s="9" t="e">
        <f t="shared" ca="1" si="19"/>
        <v>#REF!</v>
      </c>
      <c r="M118" s="9" t="e">
        <f t="shared" ca="1" si="24"/>
        <v>#REF!</v>
      </c>
      <c r="N118" s="9" t="e">
        <f t="shared" ca="1" si="23"/>
        <v>#REF!</v>
      </c>
      <c r="O118" s="9" t="e">
        <f t="shared" ca="1" si="19"/>
        <v>#REF!</v>
      </c>
      <c r="P118" s="9" t="e">
        <f t="shared" ca="1" si="19"/>
        <v>#REF!</v>
      </c>
      <c r="Q118" s="9" t="e">
        <f t="shared" ca="1" si="17"/>
        <v>#REF!</v>
      </c>
      <c r="R118" s="9" t="e">
        <f t="shared" ca="1" si="17"/>
        <v>#REF!</v>
      </c>
      <c r="S118" s="9" t="e">
        <f t="shared" ca="1" si="17"/>
        <v>#REF!</v>
      </c>
      <c r="T118" s="9" t="e">
        <f t="shared" ca="1" si="22"/>
        <v>#REF!</v>
      </c>
      <c r="U118" s="15" t="e">
        <f ca="1">U117+Table7[[#This Row],[Total Monthly]]</f>
        <v>#REF!</v>
      </c>
    </row>
    <row r="119" spans="1:21" x14ac:dyDescent="0.25">
      <c r="A119" s="13">
        <f t="shared" si="18"/>
        <v>46966</v>
      </c>
      <c r="B119" s="12" t="str">
        <f t="shared" si="21"/>
        <v>August 2028</v>
      </c>
      <c r="C119" s="9" t="e">
        <f t="shared" ca="1" si="25"/>
        <v>#REF!</v>
      </c>
      <c r="D119" s="9" t="e">
        <f t="shared" ca="1" si="25"/>
        <v>#REF!</v>
      </c>
      <c r="E119" s="9" t="e">
        <f t="shared" ca="1" si="25"/>
        <v>#REF!</v>
      </c>
      <c r="F119" s="9" t="e">
        <f t="shared" ca="1" si="25"/>
        <v>#REF!</v>
      </c>
      <c r="G119" s="9" t="e">
        <f t="shared" ca="1" si="25"/>
        <v>#REF!</v>
      </c>
      <c r="H119" s="9" t="e">
        <f t="shared" ca="1" si="25"/>
        <v>#REF!</v>
      </c>
      <c r="I119" s="9" t="e">
        <f t="shared" ca="1" si="25"/>
        <v>#REF!</v>
      </c>
      <c r="J119" s="9" t="e">
        <f t="shared" ca="1" si="25"/>
        <v>#REF!</v>
      </c>
      <c r="K119" s="9" t="e">
        <f t="shared" ca="1" si="25"/>
        <v>#REF!</v>
      </c>
      <c r="L119" s="9" t="e">
        <f t="shared" ca="1" si="19"/>
        <v>#REF!</v>
      </c>
      <c r="M119" s="9" t="e">
        <f t="shared" ca="1" si="24"/>
        <v>#REF!</v>
      </c>
      <c r="N119" s="9" t="e">
        <f t="shared" ca="1" si="23"/>
        <v>#REF!</v>
      </c>
      <c r="O119" s="9" t="e">
        <f t="shared" ca="1" si="19"/>
        <v>#REF!</v>
      </c>
      <c r="P119" s="9" t="e">
        <f t="shared" ca="1" si="19"/>
        <v>#REF!</v>
      </c>
      <c r="Q119" s="9" t="e">
        <f t="shared" ca="1" si="17"/>
        <v>#REF!</v>
      </c>
      <c r="R119" s="9" t="e">
        <f t="shared" ca="1" si="17"/>
        <v>#REF!</v>
      </c>
      <c r="S119" s="9" t="e">
        <f t="shared" ca="1" si="17"/>
        <v>#REF!</v>
      </c>
      <c r="T119" s="9" t="e">
        <f t="shared" ca="1" si="22"/>
        <v>#REF!</v>
      </c>
      <c r="U119" s="15" t="e">
        <f ca="1">U118+Table7[[#This Row],[Total Monthly]]</f>
        <v>#REF!</v>
      </c>
    </row>
    <row r="120" spans="1:21" x14ac:dyDescent="0.25">
      <c r="A120" s="13">
        <f t="shared" si="18"/>
        <v>46997</v>
      </c>
      <c r="B120" s="12" t="str">
        <f t="shared" si="21"/>
        <v>September 2028</v>
      </c>
      <c r="C120" s="9" t="e">
        <f t="shared" ca="1" si="25"/>
        <v>#REF!</v>
      </c>
      <c r="D120" s="9" t="e">
        <f t="shared" ca="1" si="25"/>
        <v>#REF!</v>
      </c>
      <c r="E120" s="9" t="e">
        <f t="shared" ca="1" si="25"/>
        <v>#REF!</v>
      </c>
      <c r="F120" s="9" t="e">
        <f t="shared" ca="1" si="25"/>
        <v>#REF!</v>
      </c>
      <c r="G120" s="9" t="e">
        <f t="shared" ca="1" si="25"/>
        <v>#REF!</v>
      </c>
      <c r="H120" s="9" t="e">
        <f t="shared" ca="1" si="25"/>
        <v>#REF!</v>
      </c>
      <c r="I120" s="9" t="e">
        <f t="shared" ca="1" si="25"/>
        <v>#REF!</v>
      </c>
      <c r="J120" s="9" t="e">
        <f t="shared" ca="1" si="25"/>
        <v>#REF!</v>
      </c>
      <c r="K120" s="9" t="e">
        <f t="shared" ca="1" si="25"/>
        <v>#REF!</v>
      </c>
      <c r="L120" s="9" t="e">
        <f t="shared" ca="1" si="19"/>
        <v>#REF!</v>
      </c>
      <c r="M120" s="9" t="e">
        <f t="shared" ca="1" si="24"/>
        <v>#REF!</v>
      </c>
      <c r="N120" s="9" t="e">
        <f t="shared" ca="1" si="23"/>
        <v>#REF!</v>
      </c>
      <c r="O120" s="9" t="e">
        <f t="shared" ca="1" si="19"/>
        <v>#REF!</v>
      </c>
      <c r="P120" s="9" t="e">
        <f t="shared" ca="1" si="19"/>
        <v>#REF!</v>
      </c>
      <c r="Q120" s="9" t="e">
        <f t="shared" ca="1" si="17"/>
        <v>#REF!</v>
      </c>
      <c r="R120" s="9" t="e">
        <f t="shared" ca="1" si="17"/>
        <v>#REF!</v>
      </c>
      <c r="S120" s="9" t="e">
        <f t="shared" ca="1" si="17"/>
        <v>#REF!</v>
      </c>
      <c r="T120" s="9" t="e">
        <f t="shared" ca="1" si="22"/>
        <v>#REF!</v>
      </c>
      <c r="U120" s="15" t="e">
        <f ca="1">U119+Table7[[#This Row],[Total Monthly]]</f>
        <v>#REF!</v>
      </c>
    </row>
    <row r="121" spans="1:21" x14ac:dyDescent="0.25">
      <c r="A121" s="13">
        <f t="shared" si="18"/>
        <v>47027</v>
      </c>
      <c r="B121" s="12" t="str">
        <f t="shared" si="21"/>
        <v>October 2028</v>
      </c>
      <c r="C121" s="9" t="e">
        <f t="shared" ca="1" si="25"/>
        <v>#REF!</v>
      </c>
      <c r="D121" s="9" t="e">
        <f t="shared" ca="1" si="25"/>
        <v>#REF!</v>
      </c>
      <c r="E121" s="9" t="e">
        <f t="shared" ca="1" si="25"/>
        <v>#REF!</v>
      </c>
      <c r="F121" s="9" t="e">
        <f t="shared" ca="1" si="25"/>
        <v>#REF!</v>
      </c>
      <c r="G121" s="9" t="e">
        <f t="shared" ca="1" si="25"/>
        <v>#REF!</v>
      </c>
      <c r="H121" s="9" t="e">
        <f t="shared" ca="1" si="25"/>
        <v>#REF!</v>
      </c>
      <c r="I121" s="9" t="e">
        <f t="shared" ca="1" si="25"/>
        <v>#REF!</v>
      </c>
      <c r="J121" s="9" t="e">
        <f t="shared" ca="1" si="25"/>
        <v>#REF!</v>
      </c>
      <c r="K121" s="9" t="e">
        <f t="shared" ca="1" si="25"/>
        <v>#REF!</v>
      </c>
      <c r="L121" s="9" t="e">
        <f t="shared" ca="1" si="19"/>
        <v>#REF!</v>
      </c>
      <c r="M121" s="9" t="e">
        <f t="shared" ca="1" si="24"/>
        <v>#REF!</v>
      </c>
      <c r="N121" s="9" t="e">
        <f t="shared" ca="1" si="23"/>
        <v>#REF!</v>
      </c>
      <c r="O121" s="9" t="e">
        <f t="shared" ca="1" si="19"/>
        <v>#REF!</v>
      </c>
      <c r="P121" s="9" t="e">
        <f t="shared" ca="1" si="19"/>
        <v>#REF!</v>
      </c>
      <c r="Q121" s="9" t="e">
        <f t="shared" ca="1" si="17"/>
        <v>#REF!</v>
      </c>
      <c r="R121" s="9" t="e">
        <f t="shared" ca="1" si="17"/>
        <v>#REF!</v>
      </c>
      <c r="S121" s="9" t="e">
        <f t="shared" ca="1" si="17"/>
        <v>#REF!</v>
      </c>
      <c r="T121" s="9" t="e">
        <f t="shared" ca="1" si="22"/>
        <v>#REF!</v>
      </c>
      <c r="U121" s="15" t="e">
        <f ca="1">U120+Table7[[#This Row],[Total Monthly]]</f>
        <v>#REF!</v>
      </c>
    </row>
    <row r="122" spans="1:21" x14ac:dyDescent="0.25">
      <c r="A122" s="13">
        <f t="shared" si="18"/>
        <v>47058</v>
      </c>
      <c r="B122" s="12" t="str">
        <f t="shared" si="21"/>
        <v>November 2028</v>
      </c>
      <c r="C122" s="9" t="e">
        <f t="shared" ca="1" si="25"/>
        <v>#REF!</v>
      </c>
      <c r="D122" s="9" t="e">
        <f t="shared" ca="1" si="25"/>
        <v>#REF!</v>
      </c>
      <c r="E122" s="9" t="e">
        <f t="shared" ca="1" si="25"/>
        <v>#REF!</v>
      </c>
      <c r="F122" s="9" t="e">
        <f t="shared" ca="1" si="25"/>
        <v>#REF!</v>
      </c>
      <c r="G122" s="9" t="e">
        <f t="shared" ca="1" si="25"/>
        <v>#REF!</v>
      </c>
      <c r="H122" s="9" t="e">
        <f t="shared" ca="1" si="25"/>
        <v>#REF!</v>
      </c>
      <c r="I122" s="9" t="e">
        <f t="shared" ca="1" si="25"/>
        <v>#REF!</v>
      </c>
      <c r="J122" s="9" t="e">
        <f t="shared" ca="1" si="25"/>
        <v>#REF!</v>
      </c>
      <c r="K122" s="9" t="e">
        <f t="shared" ca="1" si="25"/>
        <v>#REF!</v>
      </c>
      <c r="L122" s="9" t="e">
        <f t="shared" ca="1" si="19"/>
        <v>#REF!</v>
      </c>
      <c r="M122" s="9" t="e">
        <f t="shared" ca="1" si="24"/>
        <v>#REF!</v>
      </c>
      <c r="N122" s="9" t="e">
        <f t="shared" ca="1" si="23"/>
        <v>#REF!</v>
      </c>
      <c r="O122" s="9" t="e">
        <f t="shared" ca="1" si="19"/>
        <v>#REF!</v>
      </c>
      <c r="P122" s="9" t="e">
        <f t="shared" ca="1" si="19"/>
        <v>#REF!</v>
      </c>
      <c r="Q122" s="9" t="e">
        <f t="shared" ca="1" si="17"/>
        <v>#REF!</v>
      </c>
      <c r="R122" s="9" t="e">
        <f t="shared" ca="1" si="17"/>
        <v>#REF!</v>
      </c>
      <c r="S122" s="9" t="e">
        <f t="shared" ca="1" si="17"/>
        <v>#REF!</v>
      </c>
      <c r="T122" s="9" t="e">
        <f t="shared" ca="1" si="22"/>
        <v>#REF!</v>
      </c>
      <c r="U122" s="15" t="e">
        <f ca="1">U121+Table7[[#This Row],[Total Monthly]]</f>
        <v>#REF!</v>
      </c>
    </row>
    <row r="123" spans="1:21" x14ac:dyDescent="0.25">
      <c r="A123" s="13">
        <f t="shared" si="18"/>
        <v>47088</v>
      </c>
      <c r="B123" s="12" t="str">
        <f t="shared" si="21"/>
        <v>December 2028</v>
      </c>
      <c r="C123" s="9" t="e">
        <f t="shared" ca="1" si="25"/>
        <v>#REF!</v>
      </c>
      <c r="D123" s="9" t="e">
        <f t="shared" ca="1" si="25"/>
        <v>#REF!</v>
      </c>
      <c r="E123" s="9" t="e">
        <f t="shared" ca="1" si="25"/>
        <v>#REF!</v>
      </c>
      <c r="F123" s="9" t="e">
        <f t="shared" ca="1" si="25"/>
        <v>#REF!</v>
      </c>
      <c r="G123" s="9" t="e">
        <f t="shared" ca="1" si="25"/>
        <v>#REF!</v>
      </c>
      <c r="H123" s="9" t="e">
        <f t="shared" ca="1" si="25"/>
        <v>#REF!</v>
      </c>
      <c r="I123" s="9" t="e">
        <f t="shared" ca="1" si="25"/>
        <v>#REF!</v>
      </c>
      <c r="J123" s="9" t="e">
        <f t="shared" ca="1" si="25"/>
        <v>#REF!</v>
      </c>
      <c r="K123" s="9" t="e">
        <f t="shared" ca="1" si="25"/>
        <v>#REF!</v>
      </c>
      <c r="L123" s="9" t="e">
        <f t="shared" ca="1" si="19"/>
        <v>#REF!</v>
      </c>
      <c r="M123" s="9" t="e">
        <f t="shared" ca="1" si="24"/>
        <v>#REF!</v>
      </c>
      <c r="N123" s="9" t="e">
        <f t="shared" ca="1" si="23"/>
        <v>#REF!</v>
      </c>
      <c r="O123" s="9" t="e">
        <f t="shared" ca="1" si="19"/>
        <v>#REF!</v>
      </c>
      <c r="P123" s="9" t="e">
        <f t="shared" ca="1" si="19"/>
        <v>#REF!</v>
      </c>
      <c r="Q123" s="9" t="e">
        <f t="shared" ca="1" si="17"/>
        <v>#REF!</v>
      </c>
      <c r="R123" s="9" t="e">
        <f t="shared" ca="1" si="17"/>
        <v>#REF!</v>
      </c>
      <c r="S123" s="9" t="e">
        <f t="shared" ca="1" si="17"/>
        <v>#REF!</v>
      </c>
      <c r="T123" s="9" t="e">
        <f t="shared" ca="1" si="22"/>
        <v>#REF!</v>
      </c>
      <c r="U123" s="15" t="e">
        <f ca="1">U122+Table7[[#This Row],[Total Monthly]]</f>
        <v>#REF!</v>
      </c>
    </row>
    <row r="124" spans="1:21" x14ac:dyDescent="0.25">
      <c r="A124" s="13">
        <f t="shared" si="18"/>
        <v>47119</v>
      </c>
      <c r="B124" s="12" t="str">
        <f t="shared" si="21"/>
        <v>January 2029</v>
      </c>
      <c r="C124" s="9" t="e">
        <f t="shared" ca="1" si="25"/>
        <v>#REF!</v>
      </c>
      <c r="D124" s="9" t="e">
        <f t="shared" ca="1" si="25"/>
        <v>#REF!</v>
      </c>
      <c r="E124" s="9" t="e">
        <f t="shared" ca="1" si="25"/>
        <v>#REF!</v>
      </c>
      <c r="F124" s="9" t="e">
        <f t="shared" ca="1" si="25"/>
        <v>#REF!</v>
      </c>
      <c r="G124" s="9" t="e">
        <f t="shared" ca="1" si="25"/>
        <v>#REF!</v>
      </c>
      <c r="H124" s="9" t="e">
        <f t="shared" ca="1" si="25"/>
        <v>#REF!</v>
      </c>
      <c r="I124" s="9" t="e">
        <f t="shared" ca="1" si="25"/>
        <v>#REF!</v>
      </c>
      <c r="J124" s="9" t="e">
        <f t="shared" ca="1" si="25"/>
        <v>#REF!</v>
      </c>
      <c r="K124" s="9" t="e">
        <f t="shared" ca="1" si="25"/>
        <v>#REF!</v>
      </c>
      <c r="L124" s="9" t="e">
        <f t="shared" ca="1" si="19"/>
        <v>#REF!</v>
      </c>
      <c r="M124" s="9" t="e">
        <f t="shared" ca="1" si="24"/>
        <v>#REF!</v>
      </c>
      <c r="N124" s="9" t="e">
        <f t="shared" ca="1" si="23"/>
        <v>#REF!</v>
      </c>
      <c r="O124" s="9" t="e">
        <f t="shared" ca="1" si="19"/>
        <v>#REF!</v>
      </c>
      <c r="P124" s="9" t="e">
        <f t="shared" ca="1" si="19"/>
        <v>#REF!</v>
      </c>
      <c r="Q124" s="9" t="e">
        <f t="shared" ca="1" si="17"/>
        <v>#REF!</v>
      </c>
      <c r="R124" s="9" t="e">
        <f t="shared" ca="1" si="17"/>
        <v>#REF!</v>
      </c>
      <c r="S124" s="9" t="e">
        <f t="shared" ca="1" si="17"/>
        <v>#REF!</v>
      </c>
      <c r="T124" s="9" t="e">
        <f t="shared" ca="1" si="22"/>
        <v>#REF!</v>
      </c>
      <c r="U124" s="15" t="e">
        <f ca="1">U123+Table7[[#This Row],[Total Monthly]]</f>
        <v>#REF!</v>
      </c>
    </row>
    <row r="125" spans="1:21" x14ac:dyDescent="0.25">
      <c r="A125" s="13">
        <f t="shared" si="18"/>
        <v>47150</v>
      </c>
      <c r="B125" s="12" t="str">
        <f t="shared" si="21"/>
        <v>February 2029</v>
      </c>
      <c r="C125" s="9" t="e">
        <f t="shared" ca="1" si="25"/>
        <v>#REF!</v>
      </c>
      <c r="D125" s="9" t="e">
        <f t="shared" ca="1" si="25"/>
        <v>#REF!</v>
      </c>
      <c r="E125" s="9" t="e">
        <f t="shared" ca="1" si="25"/>
        <v>#REF!</v>
      </c>
      <c r="F125" s="9" t="e">
        <f t="shared" ca="1" si="25"/>
        <v>#REF!</v>
      </c>
      <c r="G125" s="9" t="e">
        <f t="shared" ca="1" si="25"/>
        <v>#REF!</v>
      </c>
      <c r="H125" s="9" t="e">
        <f t="shared" ca="1" si="25"/>
        <v>#REF!</v>
      </c>
      <c r="I125" s="9" t="e">
        <f t="shared" ca="1" si="25"/>
        <v>#REF!</v>
      </c>
      <c r="J125" s="9" t="e">
        <f t="shared" ca="1" si="25"/>
        <v>#REF!</v>
      </c>
      <c r="K125" s="9" t="e">
        <f t="shared" ca="1" si="25"/>
        <v>#REF!</v>
      </c>
      <c r="L125" s="9" t="e">
        <f t="shared" ca="1" si="19"/>
        <v>#REF!</v>
      </c>
      <c r="M125" s="9" t="e">
        <f t="shared" ca="1" si="24"/>
        <v>#REF!</v>
      </c>
      <c r="N125" s="9" t="e">
        <f t="shared" ca="1" si="23"/>
        <v>#REF!</v>
      </c>
      <c r="O125" s="9" t="e">
        <f t="shared" ca="1" si="19"/>
        <v>#REF!</v>
      </c>
      <c r="P125" s="9" t="e">
        <f t="shared" ca="1" si="19"/>
        <v>#REF!</v>
      </c>
      <c r="Q125" s="9" t="e">
        <f t="shared" ca="1" si="17"/>
        <v>#REF!</v>
      </c>
      <c r="R125" s="9" t="e">
        <f t="shared" ca="1" si="17"/>
        <v>#REF!</v>
      </c>
      <c r="S125" s="9" t="e">
        <f t="shared" ca="1" si="17"/>
        <v>#REF!</v>
      </c>
      <c r="T125" s="9" t="e">
        <f t="shared" ca="1" si="22"/>
        <v>#REF!</v>
      </c>
      <c r="U125" s="15" t="e">
        <f ca="1">U124+Table7[[#This Row],[Total Monthly]]</f>
        <v>#REF!</v>
      </c>
    </row>
    <row r="126" spans="1:21" x14ac:dyDescent="0.25">
      <c r="A126" s="13">
        <f t="shared" si="18"/>
        <v>47178</v>
      </c>
      <c r="B126" s="12" t="str">
        <f t="shared" si="21"/>
        <v>March 2029</v>
      </c>
      <c r="C126" s="9" t="e">
        <f t="shared" ca="1" si="25"/>
        <v>#REF!</v>
      </c>
      <c r="D126" s="9" t="e">
        <f t="shared" ca="1" si="25"/>
        <v>#REF!</v>
      </c>
      <c r="E126" s="9" t="e">
        <f t="shared" ca="1" si="25"/>
        <v>#REF!</v>
      </c>
      <c r="F126" s="9" t="e">
        <f t="shared" ca="1" si="25"/>
        <v>#REF!</v>
      </c>
      <c r="G126" s="9" t="e">
        <f t="shared" ca="1" si="25"/>
        <v>#REF!</v>
      </c>
      <c r="H126" s="9" t="e">
        <f t="shared" ca="1" si="25"/>
        <v>#REF!</v>
      </c>
      <c r="I126" s="9" t="e">
        <f t="shared" ca="1" si="25"/>
        <v>#REF!</v>
      </c>
      <c r="J126" s="9" t="e">
        <f t="shared" ca="1" si="25"/>
        <v>#REF!</v>
      </c>
      <c r="K126" s="9" t="e">
        <f t="shared" ca="1" si="25"/>
        <v>#REF!</v>
      </c>
      <c r="L126" s="9" t="e">
        <f t="shared" ca="1" si="19"/>
        <v>#REF!</v>
      </c>
      <c r="M126" s="9" t="e">
        <f t="shared" ca="1" si="24"/>
        <v>#REF!</v>
      </c>
      <c r="N126" s="9" t="e">
        <f t="shared" ca="1" si="23"/>
        <v>#REF!</v>
      </c>
      <c r="O126" s="9" t="e">
        <f t="shared" ca="1" si="19"/>
        <v>#REF!</v>
      </c>
      <c r="P126" s="9" t="e">
        <f t="shared" ca="1" si="19"/>
        <v>#REF!</v>
      </c>
      <c r="Q126" s="9" t="e">
        <f t="shared" ca="1" si="17"/>
        <v>#REF!</v>
      </c>
      <c r="R126" s="9" t="e">
        <f t="shared" ca="1" si="17"/>
        <v>#REF!</v>
      </c>
      <c r="S126" s="9" t="e">
        <f t="shared" ca="1" si="17"/>
        <v>#REF!</v>
      </c>
      <c r="T126" s="9" t="e">
        <f t="shared" ca="1" si="22"/>
        <v>#REF!</v>
      </c>
      <c r="U126" s="15" t="e">
        <f ca="1">U125+Table7[[#This Row],[Total Monthly]]</f>
        <v>#REF!</v>
      </c>
    </row>
    <row r="127" spans="1:21" x14ac:dyDescent="0.25">
      <c r="A127" s="13">
        <f t="shared" si="18"/>
        <v>47209</v>
      </c>
      <c r="B127" s="12" t="str">
        <f t="shared" si="21"/>
        <v>April 2029</v>
      </c>
      <c r="C127" s="9" t="e">
        <f t="shared" ca="1" si="25"/>
        <v>#REF!</v>
      </c>
      <c r="D127" s="9" t="e">
        <f t="shared" ca="1" si="25"/>
        <v>#REF!</v>
      </c>
      <c r="E127" s="9" t="e">
        <f t="shared" ca="1" si="25"/>
        <v>#REF!</v>
      </c>
      <c r="F127" s="9" t="e">
        <f t="shared" ca="1" si="25"/>
        <v>#REF!</v>
      </c>
      <c r="G127" s="9" t="e">
        <f t="shared" ca="1" si="25"/>
        <v>#REF!</v>
      </c>
      <c r="H127" s="9" t="e">
        <f t="shared" ca="1" si="25"/>
        <v>#REF!</v>
      </c>
      <c r="I127" s="9" t="e">
        <f t="shared" ca="1" si="25"/>
        <v>#REF!</v>
      </c>
      <c r="J127" s="9" t="e">
        <f t="shared" ca="1" si="25"/>
        <v>#REF!</v>
      </c>
      <c r="K127" s="9" t="e">
        <f t="shared" ca="1" si="25"/>
        <v>#REF!</v>
      </c>
      <c r="L127" s="9" t="e">
        <f t="shared" ca="1" si="19"/>
        <v>#REF!</v>
      </c>
      <c r="M127" s="9" t="e">
        <f t="shared" ca="1" si="24"/>
        <v>#REF!</v>
      </c>
      <c r="N127" s="9" t="e">
        <f t="shared" ca="1" si="23"/>
        <v>#REF!</v>
      </c>
      <c r="O127" s="9" t="e">
        <f t="shared" ca="1" si="19"/>
        <v>#REF!</v>
      </c>
      <c r="P127" s="9" t="e">
        <f t="shared" ca="1" si="19"/>
        <v>#REF!</v>
      </c>
      <c r="Q127" s="9" t="e">
        <f t="shared" ca="1" si="17"/>
        <v>#REF!</v>
      </c>
      <c r="R127" s="9" t="e">
        <f t="shared" ca="1" si="17"/>
        <v>#REF!</v>
      </c>
      <c r="S127" s="9" t="e">
        <f t="shared" ca="1" si="17"/>
        <v>#REF!</v>
      </c>
      <c r="T127" s="9" t="e">
        <f t="shared" ca="1" si="22"/>
        <v>#REF!</v>
      </c>
      <c r="U127" s="15" t="e">
        <f ca="1">U126+Table7[[#This Row],[Total Monthly]]</f>
        <v>#REF!</v>
      </c>
    </row>
    <row r="128" spans="1:21" x14ac:dyDescent="0.25">
      <c r="A128" s="13">
        <f t="shared" si="18"/>
        <v>47239</v>
      </c>
      <c r="B128" s="12" t="str">
        <f t="shared" si="21"/>
        <v>May 2029</v>
      </c>
      <c r="C128" s="9" t="e">
        <f t="shared" ca="1" si="25"/>
        <v>#REF!</v>
      </c>
      <c r="D128" s="9" t="e">
        <f t="shared" ca="1" si="25"/>
        <v>#REF!</v>
      </c>
      <c r="E128" s="9" t="e">
        <f t="shared" ca="1" si="25"/>
        <v>#REF!</v>
      </c>
      <c r="F128" s="9" t="e">
        <f t="shared" ca="1" si="25"/>
        <v>#REF!</v>
      </c>
      <c r="G128" s="9" t="e">
        <f t="shared" ca="1" si="25"/>
        <v>#REF!</v>
      </c>
      <c r="H128" s="9" t="e">
        <f t="shared" ca="1" si="25"/>
        <v>#REF!</v>
      </c>
      <c r="I128" s="9" t="e">
        <f t="shared" ca="1" si="25"/>
        <v>#REF!</v>
      </c>
      <c r="J128" s="9" t="e">
        <f t="shared" ca="1" si="25"/>
        <v>#REF!</v>
      </c>
      <c r="K128" s="9" t="e">
        <f t="shared" ca="1" si="25"/>
        <v>#REF!</v>
      </c>
      <c r="L128" s="9" t="e">
        <f t="shared" ca="1" si="19"/>
        <v>#REF!</v>
      </c>
      <c r="M128" s="9" t="e">
        <f t="shared" ca="1" si="24"/>
        <v>#REF!</v>
      </c>
      <c r="N128" s="9" t="e">
        <f t="shared" ca="1" si="23"/>
        <v>#REF!</v>
      </c>
      <c r="O128" s="9" t="e">
        <f t="shared" ca="1" si="19"/>
        <v>#REF!</v>
      </c>
      <c r="P128" s="9" t="e">
        <f t="shared" ca="1" si="19"/>
        <v>#REF!</v>
      </c>
      <c r="Q128" s="9" t="e">
        <f t="shared" ca="1" si="17"/>
        <v>#REF!</v>
      </c>
      <c r="R128" s="9" t="e">
        <f t="shared" ca="1" si="17"/>
        <v>#REF!</v>
      </c>
      <c r="S128" s="9" t="e">
        <f t="shared" ca="1" si="17"/>
        <v>#REF!</v>
      </c>
      <c r="T128" s="9" t="e">
        <f t="shared" ca="1" si="22"/>
        <v>#REF!</v>
      </c>
      <c r="U128" s="15" t="e">
        <f ca="1">U127+Table7[[#This Row],[Total Monthly]]</f>
        <v>#REF!</v>
      </c>
    </row>
    <row r="129" spans="1:21" x14ac:dyDescent="0.25">
      <c r="A129" s="13">
        <f t="shared" si="18"/>
        <v>47270</v>
      </c>
      <c r="B129" s="12" t="str">
        <f t="shared" si="21"/>
        <v>June 2029</v>
      </c>
      <c r="C129" s="9" t="e">
        <f t="shared" ca="1" si="25"/>
        <v>#REF!</v>
      </c>
      <c r="D129" s="9" t="e">
        <f t="shared" ca="1" si="25"/>
        <v>#REF!</v>
      </c>
      <c r="E129" s="9" t="e">
        <f t="shared" ca="1" si="25"/>
        <v>#REF!</v>
      </c>
      <c r="F129" s="9" t="e">
        <f t="shared" ca="1" si="25"/>
        <v>#REF!</v>
      </c>
      <c r="G129" s="9" t="e">
        <f t="shared" ca="1" si="25"/>
        <v>#REF!</v>
      </c>
      <c r="H129" s="9" t="e">
        <f t="shared" ca="1" si="25"/>
        <v>#REF!</v>
      </c>
      <c r="I129" s="9" t="e">
        <f t="shared" ca="1" si="25"/>
        <v>#REF!</v>
      </c>
      <c r="J129" s="9" t="e">
        <f t="shared" ca="1" si="25"/>
        <v>#REF!</v>
      </c>
      <c r="K129" s="9" t="e">
        <f t="shared" ca="1" si="25"/>
        <v>#REF!</v>
      </c>
      <c r="L129" s="9" t="e">
        <f t="shared" ca="1" si="19"/>
        <v>#REF!</v>
      </c>
      <c r="M129" s="9" t="e">
        <f t="shared" ca="1" si="24"/>
        <v>#REF!</v>
      </c>
      <c r="N129" s="9" t="e">
        <f t="shared" ca="1" si="23"/>
        <v>#REF!</v>
      </c>
      <c r="O129" s="9" t="e">
        <f t="shared" ca="1" si="19"/>
        <v>#REF!</v>
      </c>
      <c r="P129" s="9" t="e">
        <f t="shared" ca="1" si="19"/>
        <v>#REF!</v>
      </c>
      <c r="Q129" s="9" t="e">
        <f t="shared" ca="1" si="17"/>
        <v>#REF!</v>
      </c>
      <c r="R129" s="9" t="e">
        <f t="shared" ca="1" si="17"/>
        <v>#REF!</v>
      </c>
      <c r="S129" s="9" t="e">
        <f t="shared" ca="1" si="17"/>
        <v>#REF!</v>
      </c>
      <c r="T129" s="9" t="e">
        <f t="shared" ca="1" si="22"/>
        <v>#REF!</v>
      </c>
      <c r="U129" s="15" t="e">
        <f ca="1">U128+Table7[[#This Row],[Total Monthly]]</f>
        <v>#REF!</v>
      </c>
    </row>
    <row r="130" spans="1:21" x14ac:dyDescent="0.25">
      <c r="A130" s="13">
        <f t="shared" si="18"/>
        <v>47300</v>
      </c>
      <c r="B130" s="12" t="str">
        <f t="shared" si="21"/>
        <v>July 2029</v>
      </c>
      <c r="C130" s="9" t="e">
        <f t="shared" ca="1" si="25"/>
        <v>#REF!</v>
      </c>
      <c r="D130" s="9" t="e">
        <f t="shared" ca="1" si="25"/>
        <v>#REF!</v>
      </c>
      <c r="E130" s="9" t="e">
        <f t="shared" ca="1" si="25"/>
        <v>#REF!</v>
      </c>
      <c r="F130" s="9" t="e">
        <f t="shared" ca="1" si="25"/>
        <v>#REF!</v>
      </c>
      <c r="G130" s="9" t="e">
        <f t="shared" ca="1" si="25"/>
        <v>#REF!</v>
      </c>
      <c r="H130" s="9" t="e">
        <f t="shared" ca="1" si="25"/>
        <v>#REF!</v>
      </c>
      <c r="I130" s="9" t="e">
        <f t="shared" ca="1" si="25"/>
        <v>#REF!</v>
      </c>
      <c r="J130" s="9" t="e">
        <f t="shared" ca="1" si="25"/>
        <v>#REF!</v>
      </c>
      <c r="K130" s="9" t="e">
        <f t="shared" ca="1" si="25"/>
        <v>#REF!</v>
      </c>
      <c r="L130" s="9" t="e">
        <f t="shared" ca="1" si="19"/>
        <v>#REF!</v>
      </c>
      <c r="M130" s="9" t="e">
        <f t="shared" ca="1" si="24"/>
        <v>#REF!</v>
      </c>
      <c r="N130" s="9" t="e">
        <f t="shared" ca="1" si="23"/>
        <v>#REF!</v>
      </c>
      <c r="O130" s="9" t="e">
        <f t="shared" ca="1" si="19"/>
        <v>#REF!</v>
      </c>
      <c r="P130" s="9" t="e">
        <f t="shared" ca="1" si="19"/>
        <v>#REF!</v>
      </c>
      <c r="Q130" s="9" t="e">
        <f t="shared" ca="1" si="17"/>
        <v>#REF!</v>
      </c>
      <c r="R130" s="9" t="e">
        <f t="shared" ca="1" si="17"/>
        <v>#REF!</v>
      </c>
      <c r="S130" s="9" t="e">
        <f t="shared" ca="1" si="17"/>
        <v>#REF!</v>
      </c>
      <c r="T130" s="9" t="e">
        <f t="shared" ca="1" si="22"/>
        <v>#REF!</v>
      </c>
      <c r="U130" s="15" t="e">
        <f ca="1">U129+Table7[[#This Row],[Total Monthly]]</f>
        <v>#REF!</v>
      </c>
    </row>
    <row r="131" spans="1:21" x14ac:dyDescent="0.25">
      <c r="A131" s="13">
        <f t="shared" si="18"/>
        <v>47331</v>
      </c>
      <c r="B131" s="12" t="str">
        <f t="shared" si="21"/>
        <v>August 2029</v>
      </c>
      <c r="C131" s="9" t="e">
        <f t="shared" ca="1" si="25"/>
        <v>#REF!</v>
      </c>
      <c r="D131" s="9" t="e">
        <f t="shared" ca="1" si="25"/>
        <v>#REF!</v>
      </c>
      <c r="E131" s="9" t="e">
        <f t="shared" ca="1" si="25"/>
        <v>#REF!</v>
      </c>
      <c r="F131" s="9" t="e">
        <f t="shared" ca="1" si="25"/>
        <v>#REF!</v>
      </c>
      <c r="G131" s="9" t="e">
        <f t="shared" ca="1" si="25"/>
        <v>#REF!</v>
      </c>
      <c r="H131" s="9" t="e">
        <f t="shared" ca="1" si="25"/>
        <v>#REF!</v>
      </c>
      <c r="I131" s="9" t="e">
        <f t="shared" ca="1" si="25"/>
        <v>#REF!</v>
      </c>
      <c r="J131" s="9" t="e">
        <f t="shared" ca="1" si="25"/>
        <v>#REF!</v>
      </c>
      <c r="K131" s="9" t="e">
        <f t="shared" ca="1" si="25"/>
        <v>#REF!</v>
      </c>
      <c r="L131" s="9" t="e">
        <f t="shared" ca="1" si="19"/>
        <v>#REF!</v>
      </c>
      <c r="M131" s="9" t="e">
        <f t="shared" ca="1" si="24"/>
        <v>#REF!</v>
      </c>
      <c r="N131" s="9" t="e">
        <f t="shared" ca="1" si="23"/>
        <v>#REF!</v>
      </c>
      <c r="O131" s="9" t="e">
        <f t="shared" ca="1" si="19"/>
        <v>#REF!</v>
      </c>
      <c r="P131" s="9" t="e">
        <f t="shared" ca="1" si="19"/>
        <v>#REF!</v>
      </c>
      <c r="Q131" s="9" t="e">
        <f t="shared" ca="1" si="17"/>
        <v>#REF!</v>
      </c>
      <c r="R131" s="9" t="e">
        <f t="shared" ca="1" si="17"/>
        <v>#REF!</v>
      </c>
      <c r="S131" s="9" t="e">
        <f t="shared" ca="1" si="17"/>
        <v>#REF!</v>
      </c>
      <c r="T131" s="9" t="e">
        <f t="shared" ca="1" si="22"/>
        <v>#REF!</v>
      </c>
      <c r="U131" s="15" t="e">
        <f ca="1">U130+Table7[[#This Row],[Total Monthly]]</f>
        <v>#REF!</v>
      </c>
    </row>
    <row r="132" spans="1:21" x14ac:dyDescent="0.25">
      <c r="A132" s="13">
        <f t="shared" si="18"/>
        <v>47362</v>
      </c>
      <c r="B132" s="12" t="str">
        <f t="shared" si="21"/>
        <v>September 2029</v>
      </c>
      <c r="C132" s="9" t="e">
        <f t="shared" ca="1" si="25"/>
        <v>#REF!</v>
      </c>
      <c r="D132" s="9" t="e">
        <f t="shared" ca="1" si="25"/>
        <v>#REF!</v>
      </c>
      <c r="E132" s="9" t="e">
        <f t="shared" ca="1" si="25"/>
        <v>#REF!</v>
      </c>
      <c r="F132" s="9" t="e">
        <f t="shared" ca="1" si="25"/>
        <v>#REF!</v>
      </c>
      <c r="G132" s="9" t="e">
        <f t="shared" ca="1" si="25"/>
        <v>#REF!</v>
      </c>
      <c r="H132" s="9" t="e">
        <f t="shared" ca="1" si="25"/>
        <v>#REF!</v>
      </c>
      <c r="I132" s="9" t="e">
        <f t="shared" ca="1" si="25"/>
        <v>#REF!</v>
      </c>
      <c r="J132" s="9" t="e">
        <f t="shared" ca="1" si="25"/>
        <v>#REF!</v>
      </c>
      <c r="K132" s="9" t="e">
        <f t="shared" ca="1" si="25"/>
        <v>#REF!</v>
      </c>
      <c r="L132" s="9" t="e">
        <f t="shared" ca="1" si="19"/>
        <v>#REF!</v>
      </c>
      <c r="M132" s="9" t="e">
        <f t="shared" ca="1" si="24"/>
        <v>#REF!</v>
      </c>
      <c r="N132" s="9" t="e">
        <f t="shared" ca="1" si="23"/>
        <v>#REF!</v>
      </c>
      <c r="O132" s="9" t="e">
        <f t="shared" ca="1" si="19"/>
        <v>#REF!</v>
      </c>
      <c r="P132" s="9" t="e">
        <f t="shared" ca="1" si="19"/>
        <v>#REF!</v>
      </c>
      <c r="Q132" s="9" t="e">
        <f t="shared" ca="1" si="17"/>
        <v>#REF!</v>
      </c>
      <c r="R132" s="9" t="e">
        <f t="shared" ca="1" si="17"/>
        <v>#REF!</v>
      </c>
      <c r="S132" s="9" t="e">
        <f t="shared" ca="1" si="17"/>
        <v>#REF!</v>
      </c>
      <c r="T132" s="9" t="e">
        <f t="shared" ca="1" si="22"/>
        <v>#REF!</v>
      </c>
      <c r="U132" s="15" t="e">
        <f ca="1">U131+Table7[[#This Row],[Total Monthly]]</f>
        <v>#REF!</v>
      </c>
    </row>
    <row r="133" spans="1:21" x14ac:dyDescent="0.25">
      <c r="A133" s="13">
        <f t="shared" si="18"/>
        <v>47392</v>
      </c>
      <c r="B133" s="12" t="str">
        <f t="shared" si="21"/>
        <v>October 2029</v>
      </c>
      <c r="C133" s="9" t="e">
        <f t="shared" ca="1" si="25"/>
        <v>#REF!</v>
      </c>
      <c r="D133" s="9" t="e">
        <f t="shared" ca="1" si="25"/>
        <v>#REF!</v>
      </c>
      <c r="E133" s="9" t="e">
        <f t="shared" ca="1" si="25"/>
        <v>#REF!</v>
      </c>
      <c r="F133" s="9" t="e">
        <f t="shared" ca="1" si="25"/>
        <v>#REF!</v>
      </c>
      <c r="G133" s="9" t="e">
        <f t="shared" ca="1" si="25"/>
        <v>#REF!</v>
      </c>
      <c r="H133" s="9" t="e">
        <f t="shared" ca="1" si="25"/>
        <v>#REF!</v>
      </c>
      <c r="I133" s="9" t="e">
        <f t="shared" ca="1" si="25"/>
        <v>#REF!</v>
      </c>
      <c r="J133" s="9" t="e">
        <f t="shared" ca="1" si="25"/>
        <v>#REF!</v>
      </c>
      <c r="K133" s="9" t="e">
        <f t="shared" ca="1" si="25"/>
        <v>#REF!</v>
      </c>
      <c r="L133" s="9" t="e">
        <f t="shared" ca="1" si="19"/>
        <v>#REF!</v>
      </c>
      <c r="M133" s="9" t="e">
        <f t="shared" ca="1" si="24"/>
        <v>#REF!</v>
      </c>
      <c r="N133" s="9" t="e">
        <f t="shared" ca="1" si="23"/>
        <v>#REF!</v>
      </c>
      <c r="O133" s="9" t="e">
        <f t="shared" ca="1" si="19"/>
        <v>#REF!</v>
      </c>
      <c r="P133" s="9" t="e">
        <f t="shared" ca="1" si="19"/>
        <v>#REF!</v>
      </c>
      <c r="Q133" s="9" t="e">
        <f t="shared" ca="1" si="19"/>
        <v>#REF!</v>
      </c>
      <c r="R133" s="9" t="e">
        <f t="shared" ca="1" si="19"/>
        <v>#REF!</v>
      </c>
      <c r="S133" s="9" t="e">
        <f t="shared" ca="1" si="19"/>
        <v>#REF!</v>
      </c>
      <c r="T133" s="9" t="e">
        <f t="shared" ca="1" si="22"/>
        <v>#REF!</v>
      </c>
      <c r="U133" s="15" t="e">
        <f ca="1">U132+Table7[[#This Row],[Total Monthly]]</f>
        <v>#REF!</v>
      </c>
    </row>
    <row r="134" spans="1:21" x14ac:dyDescent="0.25">
      <c r="A134" s="13">
        <f t="shared" ref="A134:A147" si="26">DATE(YEAR(A133), MONTH(A133) + 1, 1)</f>
        <v>47423</v>
      </c>
      <c r="B134" s="12" t="str">
        <f t="shared" si="21"/>
        <v>November 2029</v>
      </c>
      <c r="C134" s="9" t="e">
        <f t="shared" ca="1" si="25"/>
        <v>#REF!</v>
      </c>
      <c r="D134" s="9" t="e">
        <f t="shared" ca="1" si="25"/>
        <v>#REF!</v>
      </c>
      <c r="E134" s="9" t="e">
        <f t="shared" ca="1" si="25"/>
        <v>#REF!</v>
      </c>
      <c r="F134" s="9" t="e">
        <f t="shared" ca="1" si="25"/>
        <v>#REF!</v>
      </c>
      <c r="G134" s="9" t="e">
        <f t="shared" ca="1" si="25"/>
        <v>#REF!</v>
      </c>
      <c r="H134" s="9" t="e">
        <f t="shared" ca="1" si="25"/>
        <v>#REF!</v>
      </c>
      <c r="I134" s="9" t="e">
        <f t="shared" ca="1" si="25"/>
        <v>#REF!</v>
      </c>
      <c r="J134" s="9" t="e">
        <f t="shared" ca="1" si="25"/>
        <v>#REF!</v>
      </c>
      <c r="K134" s="9" t="e">
        <f t="shared" ca="1" si="25"/>
        <v>#REF!</v>
      </c>
      <c r="L134" s="9" t="e">
        <f t="shared" ca="1" si="19"/>
        <v>#REF!</v>
      </c>
      <c r="M134" s="9" t="e">
        <f t="shared" ca="1" si="24"/>
        <v>#REF!</v>
      </c>
      <c r="N134" s="9" t="e">
        <f t="shared" ca="1" si="23"/>
        <v>#REF!</v>
      </c>
      <c r="O134" s="9" t="e">
        <f t="shared" ca="1" si="19"/>
        <v>#REF!</v>
      </c>
      <c r="P134" s="9" t="e">
        <f t="shared" ca="1" si="19"/>
        <v>#REF!</v>
      </c>
      <c r="Q134" s="9" t="e">
        <f t="shared" ca="1" si="19"/>
        <v>#REF!</v>
      </c>
      <c r="R134" s="9" t="e">
        <f t="shared" ca="1" si="19"/>
        <v>#REF!</v>
      </c>
      <c r="S134" s="9" t="e">
        <f t="shared" ca="1" si="19"/>
        <v>#REF!</v>
      </c>
      <c r="T134" s="9" t="e">
        <f t="shared" ca="1" si="22"/>
        <v>#REF!</v>
      </c>
      <c r="U134" s="15" t="e">
        <f ca="1">U133+Table7[[#This Row],[Total Monthly]]</f>
        <v>#REF!</v>
      </c>
    </row>
    <row r="135" spans="1:21" x14ac:dyDescent="0.25">
      <c r="A135" s="13">
        <f t="shared" si="26"/>
        <v>47453</v>
      </c>
      <c r="B135" s="12" t="str">
        <f t="shared" si="21"/>
        <v>December 2029</v>
      </c>
      <c r="C135" s="9" t="e">
        <f t="shared" ca="1" si="25"/>
        <v>#REF!</v>
      </c>
      <c r="D135" s="9" t="e">
        <f t="shared" ca="1" si="25"/>
        <v>#REF!</v>
      </c>
      <c r="E135" s="9" t="e">
        <f t="shared" ca="1" si="25"/>
        <v>#REF!</v>
      </c>
      <c r="F135" s="9" t="e">
        <f t="shared" ca="1" si="25"/>
        <v>#REF!</v>
      </c>
      <c r="G135" s="9" t="e">
        <f t="shared" ca="1" si="25"/>
        <v>#REF!</v>
      </c>
      <c r="H135" s="9" t="e">
        <f t="shared" ca="1" si="25"/>
        <v>#REF!</v>
      </c>
      <c r="I135" s="9" t="e">
        <f t="shared" ca="1" si="25"/>
        <v>#REF!</v>
      </c>
      <c r="J135" s="9" t="e">
        <f t="shared" ca="1" si="25"/>
        <v>#REF!</v>
      </c>
      <c r="K135" s="9" t="e">
        <f t="shared" ca="1" si="25"/>
        <v>#REF!</v>
      </c>
      <c r="L135" s="9" t="e">
        <f t="shared" ca="1" si="19"/>
        <v>#REF!</v>
      </c>
      <c r="M135" s="9" t="e">
        <f t="shared" ca="1" si="24"/>
        <v>#REF!</v>
      </c>
      <c r="N135" s="9" t="e">
        <f t="shared" ca="1" si="23"/>
        <v>#REF!</v>
      </c>
      <c r="O135" s="9" t="e">
        <f t="shared" ca="1" si="19"/>
        <v>#REF!</v>
      </c>
      <c r="P135" s="9" t="e">
        <f t="shared" ca="1" si="19"/>
        <v>#REF!</v>
      </c>
      <c r="Q135" s="9" t="e">
        <f t="shared" ca="1" si="19"/>
        <v>#REF!</v>
      </c>
      <c r="R135" s="9" t="e">
        <f t="shared" ca="1" si="19"/>
        <v>#REF!</v>
      </c>
      <c r="S135" s="9" t="e">
        <f t="shared" ca="1" si="19"/>
        <v>#REF!</v>
      </c>
      <c r="T135" s="9" t="e">
        <f t="shared" ca="1" si="22"/>
        <v>#REF!</v>
      </c>
      <c r="U135" s="15" t="e">
        <f ca="1">U134+Table7[[#This Row],[Total Monthly]]</f>
        <v>#REF!</v>
      </c>
    </row>
    <row r="136" spans="1:21" x14ac:dyDescent="0.25">
      <c r="A136" s="13">
        <f t="shared" si="26"/>
        <v>47484</v>
      </c>
      <c r="B136" s="12" t="str">
        <f t="shared" si="21"/>
        <v>January 2030</v>
      </c>
      <c r="C136" s="9" t="e">
        <f t="shared" ca="1" si="25"/>
        <v>#REF!</v>
      </c>
      <c r="D136" s="9" t="e">
        <f t="shared" ca="1" si="25"/>
        <v>#REF!</v>
      </c>
      <c r="E136" s="9" t="e">
        <f t="shared" ca="1" si="25"/>
        <v>#REF!</v>
      </c>
      <c r="F136" s="9" t="e">
        <f t="shared" ca="1" si="25"/>
        <v>#REF!</v>
      </c>
      <c r="G136" s="9" t="e">
        <f t="shared" ca="1" si="25"/>
        <v>#REF!</v>
      </c>
      <c r="H136" s="9" t="e">
        <f t="shared" ca="1" si="25"/>
        <v>#REF!</v>
      </c>
      <c r="I136" s="9" t="e">
        <f t="shared" ca="1" si="25"/>
        <v>#REF!</v>
      </c>
      <c r="J136" s="9" t="e">
        <f t="shared" ca="1" si="25"/>
        <v>#REF!</v>
      </c>
      <c r="K136" s="9" t="e">
        <f t="shared" ca="1" si="25"/>
        <v>#REF!</v>
      </c>
      <c r="L136" s="9" t="e">
        <f t="shared" ca="1" si="19"/>
        <v>#REF!</v>
      </c>
      <c r="M136" s="9" t="e">
        <f t="shared" ca="1" si="24"/>
        <v>#REF!</v>
      </c>
      <c r="N136" s="9" t="e">
        <f t="shared" ca="1" si="23"/>
        <v>#REF!</v>
      </c>
      <c r="O136" s="9" t="e">
        <f t="shared" ca="1" si="19"/>
        <v>#REF!</v>
      </c>
      <c r="P136" s="9" t="e">
        <f t="shared" ca="1" si="19"/>
        <v>#REF!</v>
      </c>
      <c r="Q136" s="9" t="e">
        <f t="shared" ca="1" si="19"/>
        <v>#REF!</v>
      </c>
      <c r="R136" s="9" t="e">
        <f t="shared" ca="1" si="19"/>
        <v>#REF!</v>
      </c>
      <c r="S136" s="9" t="e">
        <f t="shared" ca="1" si="19"/>
        <v>#REF!</v>
      </c>
      <c r="T136" s="9" t="e">
        <f t="shared" ca="1" si="22"/>
        <v>#REF!</v>
      </c>
      <c r="U136" s="15" t="e">
        <f ca="1">U135+Table7[[#This Row],[Total Monthly]]</f>
        <v>#REF!</v>
      </c>
    </row>
    <row r="137" spans="1:21" x14ac:dyDescent="0.25">
      <c r="A137" s="13">
        <f t="shared" si="26"/>
        <v>47515</v>
      </c>
      <c r="B137" s="12" t="str">
        <f t="shared" si="21"/>
        <v>February 2030</v>
      </c>
      <c r="C137" s="9" t="e">
        <f t="shared" ca="1" si="25"/>
        <v>#REF!</v>
      </c>
      <c r="D137" s="9" t="e">
        <f t="shared" ca="1" si="25"/>
        <v>#REF!</v>
      </c>
      <c r="E137" s="9" t="e">
        <f t="shared" ca="1" si="25"/>
        <v>#REF!</v>
      </c>
      <c r="F137" s="9" t="e">
        <f t="shared" ca="1" si="25"/>
        <v>#REF!</v>
      </c>
      <c r="G137" s="9" t="e">
        <f t="shared" ca="1" si="25"/>
        <v>#REF!</v>
      </c>
      <c r="H137" s="9" t="e">
        <f t="shared" ca="1" si="25"/>
        <v>#REF!</v>
      </c>
      <c r="I137" s="9" t="e">
        <f t="shared" ca="1" si="25"/>
        <v>#REF!</v>
      </c>
      <c r="J137" s="9" t="e">
        <f t="shared" ca="1" si="25"/>
        <v>#REF!</v>
      </c>
      <c r="K137" s="9" t="e">
        <f t="shared" ca="1" si="25"/>
        <v>#REF!</v>
      </c>
      <c r="L137" s="9" t="e">
        <f t="shared" ca="1" si="19"/>
        <v>#REF!</v>
      </c>
      <c r="M137" s="9" t="e">
        <f t="shared" ca="1" si="24"/>
        <v>#REF!</v>
      </c>
      <c r="N137" s="9" t="e">
        <f t="shared" ca="1" si="23"/>
        <v>#REF!</v>
      </c>
      <c r="O137" s="9" t="e">
        <f t="shared" ca="1" si="19"/>
        <v>#REF!</v>
      </c>
      <c r="P137" s="9" t="e">
        <f t="shared" ca="1" si="19"/>
        <v>#REF!</v>
      </c>
      <c r="Q137" s="9" t="e">
        <f t="shared" ca="1" si="19"/>
        <v>#REF!</v>
      </c>
      <c r="R137" s="9" t="e">
        <f t="shared" ca="1" si="19"/>
        <v>#REF!</v>
      </c>
      <c r="S137" s="9" t="e">
        <f t="shared" ca="1" si="19"/>
        <v>#REF!</v>
      </c>
      <c r="T137" s="9" t="e">
        <f t="shared" ca="1" si="22"/>
        <v>#REF!</v>
      </c>
      <c r="U137" s="15" t="e">
        <f ca="1">U136+Table7[[#This Row],[Total Monthly]]</f>
        <v>#REF!</v>
      </c>
    </row>
    <row r="138" spans="1:21" x14ac:dyDescent="0.25">
      <c r="A138" s="13">
        <f t="shared" si="26"/>
        <v>47543</v>
      </c>
      <c r="B138" s="12" t="str">
        <f t="shared" si="21"/>
        <v>March 2030</v>
      </c>
      <c r="C138" s="9" t="e">
        <f t="shared" ca="1" si="25"/>
        <v>#REF!</v>
      </c>
      <c r="D138" s="9" t="e">
        <f t="shared" ca="1" si="25"/>
        <v>#REF!</v>
      </c>
      <c r="E138" s="9" t="e">
        <f t="shared" ca="1" si="25"/>
        <v>#REF!</v>
      </c>
      <c r="F138" s="9" t="e">
        <f t="shared" ca="1" si="25"/>
        <v>#REF!</v>
      </c>
      <c r="G138" s="9" t="e">
        <f t="shared" ca="1" si="25"/>
        <v>#REF!</v>
      </c>
      <c r="H138" s="9" t="e">
        <f t="shared" ca="1" si="25"/>
        <v>#REF!</v>
      </c>
      <c r="I138" s="9" t="e">
        <f t="shared" ca="1" si="25"/>
        <v>#REF!</v>
      </c>
      <c r="J138" s="9" t="e">
        <f t="shared" ca="1" si="25"/>
        <v>#REF!</v>
      </c>
      <c r="K138" s="9" t="e">
        <f t="shared" ca="1" si="25"/>
        <v>#REF!</v>
      </c>
      <c r="L138" s="9" t="e">
        <f t="shared" ca="1" si="19"/>
        <v>#REF!</v>
      </c>
      <c r="M138" s="9" t="e">
        <f t="shared" ca="1" si="24"/>
        <v>#REF!</v>
      </c>
      <c r="N138" s="9" t="e">
        <f t="shared" ca="1" si="23"/>
        <v>#REF!</v>
      </c>
      <c r="O138" s="9" t="e">
        <f t="shared" ca="1" si="19"/>
        <v>#REF!</v>
      </c>
      <c r="P138" s="9" t="e">
        <f t="shared" ca="1" si="19"/>
        <v>#REF!</v>
      </c>
      <c r="Q138" s="9" t="e">
        <f t="shared" ca="1" si="19"/>
        <v>#REF!</v>
      </c>
      <c r="R138" s="9" t="e">
        <f t="shared" ca="1" si="19"/>
        <v>#REF!</v>
      </c>
      <c r="S138" s="9" t="e">
        <f t="shared" ca="1" si="19"/>
        <v>#REF!</v>
      </c>
      <c r="T138" s="9" t="e">
        <f t="shared" ca="1" si="22"/>
        <v>#REF!</v>
      </c>
      <c r="U138" s="15" t="e">
        <f ca="1">U137+Table7[[#This Row],[Total Monthly]]</f>
        <v>#REF!</v>
      </c>
    </row>
    <row r="139" spans="1:21" x14ac:dyDescent="0.25">
      <c r="A139" s="13">
        <f t="shared" si="26"/>
        <v>47574</v>
      </c>
      <c r="B139" s="12" t="str">
        <f t="shared" si="21"/>
        <v>April 2030</v>
      </c>
      <c r="C139" s="9" t="e">
        <f t="shared" ca="1" si="25"/>
        <v>#REF!</v>
      </c>
      <c r="D139" s="9" t="e">
        <f t="shared" ca="1" si="25"/>
        <v>#REF!</v>
      </c>
      <c r="E139" s="9" t="e">
        <f t="shared" ca="1" si="25"/>
        <v>#REF!</v>
      </c>
      <c r="F139" s="9" t="e">
        <f t="shared" ca="1" si="25"/>
        <v>#REF!</v>
      </c>
      <c r="G139" s="9" t="e">
        <f t="shared" ca="1" si="25"/>
        <v>#REF!</v>
      </c>
      <c r="H139" s="9" t="e">
        <f t="shared" ca="1" si="25"/>
        <v>#REF!</v>
      </c>
      <c r="I139" s="9" t="e">
        <f t="shared" ca="1" si="25"/>
        <v>#REF!</v>
      </c>
      <c r="J139" s="9" t="e">
        <f t="shared" ca="1" si="25"/>
        <v>#REF!</v>
      </c>
      <c r="K139" s="9" t="e">
        <f t="shared" ca="1" si="25"/>
        <v>#REF!</v>
      </c>
      <c r="L139" s="9" t="e">
        <f t="shared" ca="1" si="19"/>
        <v>#REF!</v>
      </c>
      <c r="M139" s="9" t="e">
        <f t="shared" ca="1" si="24"/>
        <v>#REF!</v>
      </c>
      <c r="N139" s="9" t="e">
        <f t="shared" ca="1" si="23"/>
        <v>#REF!</v>
      </c>
      <c r="O139" s="9" t="e">
        <f t="shared" ca="1" si="19"/>
        <v>#REF!</v>
      </c>
      <c r="P139" s="9" t="e">
        <f t="shared" ca="1" si="19"/>
        <v>#REF!</v>
      </c>
      <c r="Q139" s="9" t="e">
        <f t="shared" ca="1" si="19"/>
        <v>#REF!</v>
      </c>
      <c r="R139" s="9" t="e">
        <f t="shared" ca="1" si="19"/>
        <v>#REF!</v>
      </c>
      <c r="S139" s="9" t="e">
        <f t="shared" ca="1" si="19"/>
        <v>#REF!</v>
      </c>
      <c r="T139" s="9" t="e">
        <f t="shared" ca="1" si="22"/>
        <v>#REF!</v>
      </c>
      <c r="U139" s="15" t="e">
        <f ca="1">U138+Table7[[#This Row],[Total Monthly]]</f>
        <v>#REF!</v>
      </c>
    </row>
    <row r="140" spans="1:21" x14ac:dyDescent="0.25">
      <c r="A140" s="13">
        <f t="shared" si="26"/>
        <v>47604</v>
      </c>
      <c r="B140" s="12" t="str">
        <f t="shared" si="21"/>
        <v>May 2030</v>
      </c>
      <c r="C140" s="9" t="e">
        <f t="shared" ca="1" si="25"/>
        <v>#REF!</v>
      </c>
      <c r="D140" s="9" t="e">
        <f t="shared" ca="1" si="25"/>
        <v>#REF!</v>
      </c>
      <c r="E140" s="9" t="e">
        <f t="shared" ca="1" si="25"/>
        <v>#REF!</v>
      </c>
      <c r="F140" s="9" t="e">
        <f t="shared" ca="1" si="25"/>
        <v>#REF!</v>
      </c>
      <c r="G140" s="9" t="e">
        <f t="shared" ca="1" si="25"/>
        <v>#REF!</v>
      </c>
      <c r="H140" s="9" t="e">
        <f t="shared" ca="1" si="25"/>
        <v>#REF!</v>
      </c>
      <c r="I140" s="9" t="e">
        <f t="shared" ca="1" si="25"/>
        <v>#REF!</v>
      </c>
      <c r="J140" s="9" t="e">
        <f t="shared" ca="1" si="25"/>
        <v>#REF!</v>
      </c>
      <c r="K140" s="9" t="e">
        <f t="shared" ca="1" si="25"/>
        <v>#REF!</v>
      </c>
      <c r="L140" s="9" t="e">
        <f t="shared" ca="1" si="19"/>
        <v>#REF!</v>
      </c>
      <c r="M140" s="9" t="e">
        <f t="shared" ca="1" si="24"/>
        <v>#REF!</v>
      </c>
      <c r="N140" s="9" t="e">
        <f t="shared" ca="1" si="23"/>
        <v>#REF!</v>
      </c>
      <c r="O140" s="9" t="e">
        <f t="shared" ca="1" si="19"/>
        <v>#REF!</v>
      </c>
      <c r="P140" s="9" t="e">
        <f t="shared" ca="1" si="19"/>
        <v>#REF!</v>
      </c>
      <c r="Q140" s="9" t="e">
        <f t="shared" ca="1" si="19"/>
        <v>#REF!</v>
      </c>
      <c r="R140" s="9" t="e">
        <f t="shared" ca="1" si="19"/>
        <v>#REF!</v>
      </c>
      <c r="S140" s="9" t="e">
        <f t="shared" ca="1" si="19"/>
        <v>#REF!</v>
      </c>
      <c r="T140" s="9" t="e">
        <f t="shared" ca="1" si="22"/>
        <v>#REF!</v>
      </c>
      <c r="U140" s="15" t="e">
        <f ca="1">U139+Table7[[#This Row],[Total Monthly]]</f>
        <v>#REF!</v>
      </c>
    </row>
    <row r="141" spans="1:21" x14ac:dyDescent="0.25">
      <c r="A141" s="13">
        <f t="shared" si="26"/>
        <v>47635</v>
      </c>
      <c r="B141" s="12" t="str">
        <f t="shared" si="21"/>
        <v>June 2030</v>
      </c>
      <c r="C141" s="9" t="e">
        <f t="shared" ca="1" si="25"/>
        <v>#REF!</v>
      </c>
      <c r="D141" s="9" t="e">
        <f t="shared" ca="1" si="25"/>
        <v>#REF!</v>
      </c>
      <c r="E141" s="9" t="e">
        <f t="shared" ca="1" si="25"/>
        <v>#REF!</v>
      </c>
      <c r="F141" s="9" t="e">
        <f t="shared" ca="1" si="25"/>
        <v>#REF!</v>
      </c>
      <c r="G141" s="9" t="e">
        <f t="shared" ca="1" si="25"/>
        <v>#REF!</v>
      </c>
      <c r="H141" s="9" t="e">
        <f t="shared" ca="1" si="25"/>
        <v>#REF!</v>
      </c>
      <c r="I141" s="9" t="e">
        <f t="shared" ca="1" si="25"/>
        <v>#REF!</v>
      </c>
      <c r="J141" s="9" t="e">
        <f t="shared" ca="1" si="25"/>
        <v>#REF!</v>
      </c>
      <c r="K141" s="9" t="e">
        <f t="shared" ca="1" si="25"/>
        <v>#REF!</v>
      </c>
      <c r="L141" s="9" t="e">
        <f t="shared" ca="1" si="19"/>
        <v>#REF!</v>
      </c>
      <c r="M141" s="9" t="e">
        <f t="shared" ca="1" si="24"/>
        <v>#REF!</v>
      </c>
      <c r="N141" s="9" t="e">
        <f t="shared" ca="1" si="23"/>
        <v>#REF!</v>
      </c>
      <c r="O141" s="9" t="e">
        <f t="shared" ca="1" si="19"/>
        <v>#REF!</v>
      </c>
      <c r="P141" s="9" t="e">
        <f t="shared" ca="1" si="19"/>
        <v>#REF!</v>
      </c>
      <c r="Q141" s="9" t="e">
        <f t="shared" ca="1" si="19"/>
        <v>#REF!</v>
      </c>
      <c r="R141" s="9" t="e">
        <f t="shared" ca="1" si="19"/>
        <v>#REF!</v>
      </c>
      <c r="S141" s="9" t="e">
        <f t="shared" ca="1" si="19"/>
        <v>#REF!</v>
      </c>
      <c r="T141" s="9" t="e">
        <f t="shared" ca="1" si="22"/>
        <v>#REF!</v>
      </c>
      <c r="U141" s="15" t="e">
        <f ca="1">U140+Table7[[#This Row],[Total Monthly]]</f>
        <v>#REF!</v>
      </c>
    </row>
    <row r="142" spans="1:21" x14ac:dyDescent="0.25">
      <c r="A142" s="13">
        <f t="shared" si="26"/>
        <v>47665</v>
      </c>
      <c r="B142" s="12" t="str">
        <f t="shared" si="21"/>
        <v>July 2030</v>
      </c>
      <c r="C142" s="9" t="e">
        <f t="shared" ca="1" si="25"/>
        <v>#REF!</v>
      </c>
      <c r="D142" s="9" t="e">
        <f t="shared" ca="1" si="25"/>
        <v>#REF!</v>
      </c>
      <c r="E142" s="9" t="e">
        <f t="shared" ca="1" si="25"/>
        <v>#REF!</v>
      </c>
      <c r="F142" s="9" t="e">
        <f t="shared" ca="1" si="25"/>
        <v>#REF!</v>
      </c>
      <c r="G142" s="9" t="e">
        <f t="shared" ca="1" si="25"/>
        <v>#REF!</v>
      </c>
      <c r="H142" s="9" t="e">
        <f t="shared" ca="1" si="25"/>
        <v>#REF!</v>
      </c>
      <c r="I142" s="9" t="e">
        <f t="shared" ref="C142:K147" ca="1" si="27">SUMIF(INDIRECT("'"&amp;$B142&amp;"'!$F$1:$F$999"), I$2, INDIRECT("'"&amp;$B142&amp;"'!$B$1:$B$999"))</f>
        <v>#REF!</v>
      </c>
      <c r="J142" s="9" t="e">
        <f t="shared" ca="1" si="27"/>
        <v>#REF!</v>
      </c>
      <c r="K142" s="9" t="e">
        <f t="shared" ca="1" si="27"/>
        <v>#REF!</v>
      </c>
      <c r="L142" s="9" t="e">
        <f t="shared" ca="1" si="19"/>
        <v>#REF!</v>
      </c>
      <c r="M142" s="9" t="e">
        <f t="shared" ca="1" si="24"/>
        <v>#REF!</v>
      </c>
      <c r="N142" s="9" t="e">
        <f t="shared" ca="1" si="23"/>
        <v>#REF!</v>
      </c>
      <c r="O142" s="9" t="e">
        <f t="shared" ca="1" si="19"/>
        <v>#REF!</v>
      </c>
      <c r="P142" s="9" t="e">
        <f t="shared" ca="1" si="19"/>
        <v>#REF!</v>
      </c>
      <c r="Q142" s="9" t="e">
        <f t="shared" ca="1" si="19"/>
        <v>#REF!</v>
      </c>
      <c r="R142" s="9" t="e">
        <f t="shared" ca="1" si="19"/>
        <v>#REF!</v>
      </c>
      <c r="S142" s="9" t="e">
        <f t="shared" ca="1" si="19"/>
        <v>#REF!</v>
      </c>
      <c r="T142" s="9" t="e">
        <f t="shared" ca="1" si="22"/>
        <v>#REF!</v>
      </c>
      <c r="U142" s="15" t="e">
        <f ca="1">U141+Table7[[#This Row],[Total Monthly]]</f>
        <v>#REF!</v>
      </c>
    </row>
    <row r="143" spans="1:21" x14ac:dyDescent="0.25">
      <c r="A143" s="13">
        <f t="shared" si="26"/>
        <v>47696</v>
      </c>
      <c r="B143" s="12" t="str">
        <f t="shared" si="21"/>
        <v>August 2030</v>
      </c>
      <c r="C143" s="9" t="e">
        <f t="shared" ca="1" si="27"/>
        <v>#REF!</v>
      </c>
      <c r="D143" s="9" t="e">
        <f t="shared" ca="1" si="27"/>
        <v>#REF!</v>
      </c>
      <c r="E143" s="9" t="e">
        <f t="shared" ca="1" si="27"/>
        <v>#REF!</v>
      </c>
      <c r="F143" s="9" t="e">
        <f t="shared" ca="1" si="27"/>
        <v>#REF!</v>
      </c>
      <c r="G143" s="9" t="e">
        <f t="shared" ca="1" si="27"/>
        <v>#REF!</v>
      </c>
      <c r="H143" s="9" t="e">
        <f t="shared" ca="1" si="27"/>
        <v>#REF!</v>
      </c>
      <c r="I143" s="9" t="e">
        <f t="shared" ca="1" si="27"/>
        <v>#REF!</v>
      </c>
      <c r="J143" s="9" t="e">
        <f t="shared" ca="1" si="27"/>
        <v>#REF!</v>
      </c>
      <c r="K143" s="9" t="e">
        <f t="shared" ca="1" si="27"/>
        <v>#REF!</v>
      </c>
      <c r="L143" s="9" t="e">
        <f t="shared" ca="1" si="19"/>
        <v>#REF!</v>
      </c>
      <c r="M143" s="9" t="e">
        <f t="shared" ca="1" si="24"/>
        <v>#REF!</v>
      </c>
      <c r="N143" s="9" t="e">
        <f t="shared" ca="1" si="23"/>
        <v>#REF!</v>
      </c>
      <c r="O143" s="9" t="e">
        <f t="shared" ca="1" si="19"/>
        <v>#REF!</v>
      </c>
      <c r="P143" s="9" t="e">
        <f t="shared" ca="1" si="19"/>
        <v>#REF!</v>
      </c>
      <c r="Q143" s="9" t="e">
        <f t="shared" ca="1" si="19"/>
        <v>#REF!</v>
      </c>
      <c r="R143" s="9" t="e">
        <f t="shared" ca="1" si="19"/>
        <v>#REF!</v>
      </c>
      <c r="S143" s="9" t="e">
        <f t="shared" ca="1" si="19"/>
        <v>#REF!</v>
      </c>
      <c r="T143" s="9" t="e">
        <f t="shared" ca="1" si="22"/>
        <v>#REF!</v>
      </c>
      <c r="U143" s="15" t="e">
        <f ca="1">U142+Table7[[#This Row],[Total Monthly]]</f>
        <v>#REF!</v>
      </c>
    </row>
    <row r="144" spans="1:21" x14ac:dyDescent="0.25">
      <c r="A144" s="13">
        <f t="shared" si="26"/>
        <v>47727</v>
      </c>
      <c r="B144" s="12" t="str">
        <f t="shared" si="21"/>
        <v>September 2030</v>
      </c>
      <c r="C144" s="9" t="e">
        <f t="shared" ca="1" si="27"/>
        <v>#REF!</v>
      </c>
      <c r="D144" s="9" t="e">
        <f t="shared" ca="1" si="27"/>
        <v>#REF!</v>
      </c>
      <c r="E144" s="9" t="e">
        <f t="shared" ca="1" si="27"/>
        <v>#REF!</v>
      </c>
      <c r="F144" s="9" t="e">
        <f t="shared" ca="1" si="27"/>
        <v>#REF!</v>
      </c>
      <c r="G144" s="9" t="e">
        <f t="shared" ca="1" si="27"/>
        <v>#REF!</v>
      </c>
      <c r="H144" s="9" t="e">
        <f t="shared" ca="1" si="27"/>
        <v>#REF!</v>
      </c>
      <c r="I144" s="9" t="e">
        <f t="shared" ca="1" si="27"/>
        <v>#REF!</v>
      </c>
      <c r="J144" s="9" t="e">
        <f t="shared" ca="1" si="27"/>
        <v>#REF!</v>
      </c>
      <c r="K144" s="9" t="e">
        <f t="shared" ca="1" si="27"/>
        <v>#REF!</v>
      </c>
      <c r="L144" s="9" t="e">
        <f t="shared" ca="1" si="19"/>
        <v>#REF!</v>
      </c>
      <c r="M144" s="9" t="e">
        <f t="shared" ca="1" si="24"/>
        <v>#REF!</v>
      </c>
      <c r="N144" s="9" t="e">
        <f t="shared" ca="1" si="23"/>
        <v>#REF!</v>
      </c>
      <c r="O144" s="9" t="e">
        <f t="shared" ca="1" si="19"/>
        <v>#REF!</v>
      </c>
      <c r="P144" s="9" t="e">
        <f t="shared" ca="1" si="19"/>
        <v>#REF!</v>
      </c>
      <c r="Q144" s="9" t="e">
        <f t="shared" ca="1" si="19"/>
        <v>#REF!</v>
      </c>
      <c r="R144" s="9" t="e">
        <f t="shared" ca="1" si="19"/>
        <v>#REF!</v>
      </c>
      <c r="S144" s="9" t="e">
        <f t="shared" ca="1" si="19"/>
        <v>#REF!</v>
      </c>
      <c r="T144" s="9" t="e">
        <f t="shared" ca="1" si="22"/>
        <v>#REF!</v>
      </c>
      <c r="U144" s="15" t="e">
        <f ca="1">U143+Table7[[#This Row],[Total Monthly]]</f>
        <v>#REF!</v>
      </c>
    </row>
    <row r="145" spans="1:21" x14ac:dyDescent="0.25">
      <c r="A145" s="13">
        <f t="shared" si="26"/>
        <v>47757</v>
      </c>
      <c r="B145" s="12" t="str">
        <f t="shared" si="21"/>
        <v>October 2030</v>
      </c>
      <c r="C145" s="9" t="e">
        <f t="shared" ca="1" si="27"/>
        <v>#REF!</v>
      </c>
      <c r="D145" s="9" t="e">
        <f t="shared" ca="1" si="27"/>
        <v>#REF!</v>
      </c>
      <c r="E145" s="9" t="e">
        <f t="shared" ca="1" si="27"/>
        <v>#REF!</v>
      </c>
      <c r="F145" s="9" t="e">
        <f t="shared" ca="1" si="27"/>
        <v>#REF!</v>
      </c>
      <c r="G145" s="9" t="e">
        <f t="shared" ca="1" si="27"/>
        <v>#REF!</v>
      </c>
      <c r="H145" s="9" t="e">
        <f t="shared" ca="1" si="27"/>
        <v>#REF!</v>
      </c>
      <c r="I145" s="9" t="e">
        <f t="shared" ca="1" si="27"/>
        <v>#REF!</v>
      </c>
      <c r="J145" s="9" t="e">
        <f t="shared" ca="1" si="27"/>
        <v>#REF!</v>
      </c>
      <c r="K145" s="9" t="e">
        <f t="shared" ca="1" si="27"/>
        <v>#REF!</v>
      </c>
      <c r="L145" s="9" t="e">
        <f t="shared" ca="1" si="19"/>
        <v>#REF!</v>
      </c>
      <c r="M145" s="9" t="e">
        <f t="shared" ca="1" si="24"/>
        <v>#REF!</v>
      </c>
      <c r="N145" s="9" t="e">
        <f t="shared" ca="1" si="23"/>
        <v>#REF!</v>
      </c>
      <c r="O145" s="9" t="e">
        <f t="shared" ca="1" si="19"/>
        <v>#REF!</v>
      </c>
      <c r="P145" s="9" t="e">
        <f t="shared" ca="1" si="19"/>
        <v>#REF!</v>
      </c>
      <c r="Q145" s="9" t="e">
        <f t="shared" ca="1" si="19"/>
        <v>#REF!</v>
      </c>
      <c r="R145" s="9" t="e">
        <f t="shared" ca="1" si="19"/>
        <v>#REF!</v>
      </c>
      <c r="S145" s="9" t="e">
        <f t="shared" ca="1" si="19"/>
        <v>#REF!</v>
      </c>
      <c r="T145" s="9" t="e">
        <f t="shared" ca="1" si="22"/>
        <v>#REF!</v>
      </c>
      <c r="U145" s="15" t="e">
        <f ca="1">U144+Table7[[#This Row],[Total Monthly]]</f>
        <v>#REF!</v>
      </c>
    </row>
    <row r="146" spans="1:21" x14ac:dyDescent="0.25">
      <c r="A146" s="13">
        <f t="shared" si="26"/>
        <v>47788</v>
      </c>
      <c r="B146" s="12" t="str">
        <f t="shared" si="21"/>
        <v>November 2030</v>
      </c>
      <c r="C146" s="9" t="e">
        <f t="shared" ca="1" si="27"/>
        <v>#REF!</v>
      </c>
      <c r="D146" s="9" t="e">
        <f t="shared" ca="1" si="27"/>
        <v>#REF!</v>
      </c>
      <c r="E146" s="9" t="e">
        <f t="shared" ca="1" si="27"/>
        <v>#REF!</v>
      </c>
      <c r="F146" s="9" t="e">
        <f t="shared" ca="1" si="27"/>
        <v>#REF!</v>
      </c>
      <c r="G146" s="9" t="e">
        <f t="shared" ca="1" si="27"/>
        <v>#REF!</v>
      </c>
      <c r="H146" s="9" t="e">
        <f t="shared" ca="1" si="27"/>
        <v>#REF!</v>
      </c>
      <c r="I146" s="9" t="e">
        <f t="shared" ca="1" si="27"/>
        <v>#REF!</v>
      </c>
      <c r="J146" s="9" t="e">
        <f t="shared" ca="1" si="27"/>
        <v>#REF!</v>
      </c>
      <c r="K146" s="9" t="e">
        <f t="shared" ca="1" si="27"/>
        <v>#REF!</v>
      </c>
      <c r="L146" s="9" t="e">
        <f t="shared" ca="1" si="19"/>
        <v>#REF!</v>
      </c>
      <c r="M146" s="9" t="e">
        <f t="shared" ca="1" si="24"/>
        <v>#REF!</v>
      </c>
      <c r="N146" s="9" t="e">
        <f t="shared" ca="1" si="23"/>
        <v>#REF!</v>
      </c>
      <c r="O146" s="9" t="e">
        <f t="shared" ca="1" si="19"/>
        <v>#REF!</v>
      </c>
      <c r="P146" s="9" t="e">
        <f t="shared" ca="1" si="19"/>
        <v>#REF!</v>
      </c>
      <c r="Q146" s="9" t="e">
        <f t="shared" ca="1" si="19"/>
        <v>#REF!</v>
      </c>
      <c r="R146" s="9" t="e">
        <f t="shared" ca="1" si="19"/>
        <v>#REF!</v>
      </c>
      <c r="S146" s="9" t="e">
        <f t="shared" ca="1" si="19"/>
        <v>#REF!</v>
      </c>
      <c r="T146" s="9" t="e">
        <f t="shared" ca="1" si="22"/>
        <v>#REF!</v>
      </c>
      <c r="U146" s="15" t="e">
        <f ca="1">U145+Table7[[#This Row],[Total Monthly]]</f>
        <v>#REF!</v>
      </c>
    </row>
    <row r="147" spans="1:21" x14ac:dyDescent="0.25">
      <c r="A147" s="13">
        <f t="shared" si="26"/>
        <v>47818</v>
      </c>
      <c r="B147" s="12" t="str">
        <f t="shared" si="21"/>
        <v>December 2030</v>
      </c>
      <c r="C147" s="9" t="e">
        <f t="shared" ca="1" si="27"/>
        <v>#REF!</v>
      </c>
      <c r="D147" s="9" t="e">
        <f t="shared" ca="1" si="27"/>
        <v>#REF!</v>
      </c>
      <c r="E147" s="9" t="e">
        <f t="shared" ca="1" si="27"/>
        <v>#REF!</v>
      </c>
      <c r="F147" s="9" t="e">
        <f t="shared" ca="1" si="27"/>
        <v>#REF!</v>
      </c>
      <c r="G147" s="9" t="e">
        <f t="shared" ca="1" si="27"/>
        <v>#REF!</v>
      </c>
      <c r="H147" s="9" t="e">
        <f t="shared" ca="1" si="27"/>
        <v>#REF!</v>
      </c>
      <c r="I147" s="9" t="e">
        <f t="shared" ca="1" si="27"/>
        <v>#REF!</v>
      </c>
      <c r="J147" s="9" t="e">
        <f t="shared" ca="1" si="27"/>
        <v>#REF!</v>
      </c>
      <c r="K147" s="9" t="e">
        <f t="shared" ca="1" si="27"/>
        <v>#REF!</v>
      </c>
      <c r="L147" s="9" t="e">
        <f t="shared" ca="1" si="19"/>
        <v>#REF!</v>
      </c>
      <c r="M147" s="9" t="e">
        <f t="shared" ca="1" si="24"/>
        <v>#REF!</v>
      </c>
      <c r="N147" s="9" t="e">
        <f t="shared" ca="1" si="23"/>
        <v>#REF!</v>
      </c>
      <c r="O147" s="9" t="e">
        <f t="shared" ca="1" si="19"/>
        <v>#REF!</v>
      </c>
      <c r="P147" s="9" t="e">
        <f t="shared" ca="1" si="19"/>
        <v>#REF!</v>
      </c>
      <c r="Q147" s="9" t="e">
        <f t="shared" ca="1" si="19"/>
        <v>#REF!</v>
      </c>
      <c r="R147" s="9" t="e">
        <f t="shared" ca="1" si="19"/>
        <v>#REF!</v>
      </c>
      <c r="S147" s="9" t="e">
        <f t="shared" ca="1" si="19"/>
        <v>#REF!</v>
      </c>
      <c r="T147" s="9" t="e">
        <f t="shared" ca="1" si="22"/>
        <v>#REF!</v>
      </c>
      <c r="U147" s="15" t="e">
        <f ca="1">U146+Table7[[#This Row],[Total Monthly]]</f>
        <v>#REF!</v>
      </c>
    </row>
  </sheetData>
  <pageMargins left="0.7" right="0.7" top="0.75" bottom="0.75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146"/>
  <sheetViews>
    <sheetView zoomScale="85" zoomScaleNormal="85" workbookViewId="0">
      <pane ySplit="1" topLeftCell="A22" activePane="bottomLeft" state="frozen"/>
      <selection pane="bottomLeft" activeCell="V36" sqref="V36"/>
    </sheetView>
  </sheetViews>
  <sheetFormatPr defaultRowHeight="15" x14ac:dyDescent="0.25"/>
  <cols>
    <col min="1" max="1" width="10.42578125" style="14" bestFit="1" customWidth="1"/>
    <col min="2" max="2" width="20.85546875" style="14" customWidth="1"/>
    <col min="3" max="5" width="10.7109375" style="4" bestFit="1" customWidth="1"/>
    <col min="6" max="6" width="16" style="4" customWidth="1"/>
    <col min="7" max="8" width="10.7109375" style="4" bestFit="1" customWidth="1"/>
    <col min="9" max="9" width="9.85546875" style="4" customWidth="1"/>
    <col min="10" max="10" width="10.85546875" style="4" customWidth="1"/>
    <col min="11" max="11" width="11.85546875" style="4" customWidth="1"/>
    <col min="12" max="13" width="13.28515625" style="4" customWidth="1"/>
    <col min="14" max="14" width="11.28515625" style="4" customWidth="1"/>
    <col min="15" max="15" width="14" style="4" bestFit="1" customWidth="1"/>
    <col min="16" max="16" width="15.5703125" customWidth="1"/>
    <col min="18" max="18" width="22.5703125" bestFit="1" customWidth="1"/>
    <col min="19" max="19" width="24.28515625" customWidth="1"/>
    <col min="20" max="20" width="13.85546875" customWidth="1"/>
    <col min="23" max="23" width="14.85546875" bestFit="1" customWidth="1"/>
  </cols>
  <sheetData>
    <row r="1" spans="1:23" s="1" customFormat="1" x14ac:dyDescent="0.25">
      <c r="A1" s="12" t="s">
        <v>4</v>
      </c>
      <c r="B1" s="12" t="s">
        <v>10</v>
      </c>
      <c r="C1" s="10" t="s">
        <v>1</v>
      </c>
      <c r="D1" s="10" t="s">
        <v>3</v>
      </c>
      <c r="E1" s="10" t="s">
        <v>6</v>
      </c>
      <c r="F1" s="10" t="s">
        <v>5</v>
      </c>
      <c r="G1" s="10" t="s">
        <v>2</v>
      </c>
      <c r="H1" s="10" t="s">
        <v>11</v>
      </c>
      <c r="I1" s="10" t="s">
        <v>7</v>
      </c>
      <c r="J1" s="10" t="s">
        <v>45</v>
      </c>
      <c r="K1" s="10" t="s">
        <v>116</v>
      </c>
      <c r="L1" s="10" t="s">
        <v>99</v>
      </c>
      <c r="M1" s="10" t="s">
        <v>321</v>
      </c>
      <c r="N1" s="10" t="s">
        <v>290</v>
      </c>
      <c r="O1" s="10" t="s">
        <v>193</v>
      </c>
      <c r="P1" s="10" t="s">
        <v>104</v>
      </c>
      <c r="Q1" s="10" t="s">
        <v>101</v>
      </c>
      <c r="R1" s="10" t="s">
        <v>258</v>
      </c>
      <c r="S1" s="10" t="s">
        <v>233</v>
      </c>
      <c r="T1" s="5" t="s">
        <v>63</v>
      </c>
      <c r="V1" s="1" t="s">
        <v>219</v>
      </c>
    </row>
    <row r="2" spans="1:23" s="1" customFormat="1" x14ac:dyDescent="0.25">
      <c r="A2" s="12"/>
      <c r="B2" s="12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</row>
    <row r="3" spans="1:23" s="1" customFormat="1" x14ac:dyDescent="0.25">
      <c r="A3" s="13">
        <f>DATE(2019, 1, 1)</f>
        <v>43466</v>
      </c>
      <c r="B3" s="12" t="str">
        <f>CONCATENATE(TEXT(A3, "mmmm"), " ", TEXT(A3, "yyyy"))</f>
        <v>January 2019</v>
      </c>
      <c r="C3" s="8">
        <f ca="1">SUMIF(INDIRECT("'"&amp;$B3&amp;"'!$F$1:$F$999"), C$1, INDIRECT("'"&amp;$B3&amp;"'!$B$1:$B$999"))/VLOOKUP(C$1, Table1[#All],2, FALSE)</f>
        <v>0</v>
      </c>
      <c r="D3" s="8">
        <f ca="1">SUMIF(INDIRECT("'"&amp;$B3&amp;"'!$F$1:$F$999"), D$1, INDIRECT("'"&amp;$B3&amp;"'!$B$1:$B$999"))/VLOOKUP(D$1, Table1[#All],2, FALSE)</f>
        <v>-0.30994999999999995</v>
      </c>
      <c r="E3" s="8">
        <f ca="1">SUMIF(INDIRECT("'"&amp;$B3&amp;"'!$F$1:$F$999"), E$1, INDIRECT("'"&amp;$B3&amp;"'!$B$1:$B$999"))/VLOOKUP(E$1, Table1[#All],2, FALSE)</f>
        <v>0</v>
      </c>
      <c r="F3" s="8">
        <f ca="1">SUMIF(INDIRECT("'"&amp;$B3&amp;"'!$F$1:$F$999"), F$1, INDIRECT("'"&amp;$B3&amp;"'!$B$1:$B$999"))/VLOOKUP(F$1, Table1[#All],2, FALSE)</f>
        <v>-0.16370000000000001</v>
      </c>
      <c r="G3" s="8">
        <f ca="1">SUMIF(INDIRECT("'"&amp;$B3&amp;"'!$F$1:$F$999"), G$1, INDIRECT("'"&amp;$B3&amp;"'!$B$1:$B$999"))/VLOOKUP(G$1, Table1[#All],2, FALSE)</f>
        <v>0</v>
      </c>
      <c r="H3" s="8">
        <f ca="1">SUMIF(INDIRECT("'"&amp;$B3&amp;"'!$F$1:$F$999"), H$1, INDIRECT("'"&amp;$B3&amp;"'!$B$1:$B$999"))/VLOOKUP(H$1, Table1[#All],2, FALSE)</f>
        <v>-0.23495000000000002</v>
      </c>
      <c r="I3" s="8">
        <f ca="1">SUMIF(INDIRECT("'"&amp;$B3&amp;"'!$F$1:$F$999"), I$1, INDIRECT("'"&amp;$B3&amp;"'!$B$1:$B$999"))/VLOOKUP(I$1, Table1[#All],2, FALSE)</f>
        <v>-0.8859999999999999</v>
      </c>
      <c r="J3" s="8">
        <f ca="1">SUMIF(INDIRECT("'"&amp;$B3&amp;"'!$F$1:$F$999"), J$1, INDIRECT("'"&amp;$B3&amp;"'!$B$1:$B$999"))/VLOOKUP(J$1, Table1[#All],2, FALSE)</f>
        <v>-1.1100000000000001</v>
      </c>
      <c r="K3" s="8">
        <f ca="1">SUMIF(INDIRECT("'"&amp;$B3&amp;"'!$F$1:$F$999"), K$1, INDIRECT("'"&amp;$B3&amp;"'!$B$1:$B$999"))/VLOOKUP(K$1, Table1[#All],2, FALSE)</f>
        <v>0</v>
      </c>
      <c r="L3" s="8">
        <f ca="1">SUMIF(INDIRECT("'"&amp;$B3&amp;"'!$F$1:$F$999"), L$1, INDIRECT("'"&amp;$B3&amp;"'!$B$1:$B$999"))/VLOOKUP(L$1, Table1[#All],2, FALSE)</f>
        <v>0</v>
      </c>
      <c r="M3" s="8">
        <f ca="1">SUMIF(INDIRECT("'"&amp;$B3&amp;"'!$F$1:$F$999"), M$1, INDIRECT("'"&amp;$B3&amp;"'!$B$1:$B$999"))/VLOOKUP(M$1, Table1[#All],2, FALSE)</f>
        <v>0</v>
      </c>
      <c r="N3" s="8">
        <f ca="1">SUMIF(INDIRECT("'"&amp;$B3&amp;"'!$F$1:$F$999"), N$1, INDIRECT("'"&amp;$B3&amp;"'!$B$1:$B$999"))/VLOOKUP(N$1, Table1[#All],2, FALSE)</f>
        <v>0</v>
      </c>
      <c r="O3" s="8">
        <f ca="1">SUMIF(INDIRECT("'"&amp;$B3&amp;"'!$F$1:$F$999"), O$1, INDIRECT("'"&amp;$B3&amp;"'!$B$1:$B$999"))/VLOOKUP(O$1, Table1[#All],2, FALSE)</f>
        <v>0</v>
      </c>
      <c r="P3" s="8">
        <f ca="1">SUMIF(INDIRECT("'"&amp;$B3&amp;"'!$F$1:$F$999"), P$1, INDIRECT("'"&amp;$B3&amp;"'!$B$1:$B$999"))/VLOOKUP(P$1, Table1[#All],2, FALSE)</f>
        <v>0</v>
      </c>
      <c r="Q3" s="8">
        <f ca="1">SUMIF(INDIRECT("'"&amp;$B3&amp;"'!$F$1:$F$999"), Q$1, INDIRECT("'"&amp;$B3&amp;"'!$B$1:$B$999"))/VLOOKUP(Q$1, Table1[#All],2, FALSE)</f>
        <v>0</v>
      </c>
      <c r="R3" s="8">
        <f ca="1">SUMIF(INDIRECT("'"&amp;$B3&amp;"'!$F$1:$F$999"), R$1, INDIRECT("'"&amp;$B3&amp;"'!$B$1:$B$999"))/VLOOKUP(R$1, Table1[#All],2, FALSE)</f>
        <v>0</v>
      </c>
      <c r="S3" s="8" t="e">
        <f ca="1">SUMIF(INDIRECT("'"&amp;$B3&amp;"'!$F$1:$F$999"), S$1, INDIRECT("'"&amp;$B3&amp;"'!$B$1:$B$999"))/VLOOKUP(S$1, Table1[#All],2, FALSE)</f>
        <v>#N/A</v>
      </c>
      <c r="T3" s="9">
        <f t="shared" ref="T3:T34" ca="1" si="0">SUM(INDIRECT("'"&amp;B3&amp;"'!B1:B999"))</f>
        <v>-331.44000000000005</v>
      </c>
    </row>
    <row r="4" spans="1:23" x14ac:dyDescent="0.25">
      <c r="A4" s="13">
        <f>DATE(YEAR(A3), MONTH(A3) + 1, 1)</f>
        <v>43497</v>
      </c>
      <c r="B4" s="12" t="str">
        <f t="shared" ref="B4:B67" si="1">CONCATENATE(TEXT(A4, "mmmm"), " ", TEXT(A4, "yyyy"))</f>
        <v>February 2019</v>
      </c>
      <c r="C4" s="8">
        <f ca="1">SUMIF(INDIRECT("'"&amp;$B4&amp;"'!$F$1:$F$999"), C$1, INDIRECT("'"&amp;$B4&amp;"'!$B$1:$B$999"))/VLOOKUP(C$1, Table1[#All],2, FALSE)</f>
        <v>-8.530547484324821E-3</v>
      </c>
      <c r="D4" s="8">
        <f ca="1">SUMIF(INDIRECT("'"&amp;$B4&amp;"'!$F$1:$F$999"), D$1, INDIRECT("'"&amp;$B4&amp;"'!$B$1:$B$999"))/VLOOKUP(D$1, Table1[#All],2, FALSE)</f>
        <v>-0.57739999999999991</v>
      </c>
      <c r="E4" s="8">
        <f ca="1">SUMIF(INDIRECT("'"&amp;$B4&amp;"'!$F$1:$F$999"), E$1, INDIRECT("'"&amp;$B4&amp;"'!$B$1:$B$999"))/VLOOKUP(E$1, Table1[#All],2, FALSE)</f>
        <v>0</v>
      </c>
      <c r="F4" s="8">
        <f ca="1">SUMIF(INDIRECT("'"&amp;$B4&amp;"'!$F$1:$F$999"), F$1, INDIRECT("'"&amp;$B4&amp;"'!$B$1:$B$999"))/VLOOKUP(F$1, Table1[#All],2, FALSE)</f>
        <v>-0.99070000000000003</v>
      </c>
      <c r="G4" s="8">
        <f ca="1">SUMIF(INDIRECT("'"&amp;$B4&amp;"'!$F$1:$F$999"), G$1, INDIRECT("'"&amp;$B4&amp;"'!$B$1:$B$999"))/VLOOKUP(G$1, Table1[#All],2, FALSE)</f>
        <v>0</v>
      </c>
      <c r="H4" s="8">
        <f ca="1">SUMIF(INDIRECT("'"&amp;$B4&amp;"'!$F$1:$F$999"), H$1, INDIRECT("'"&amp;$B4&amp;"'!$B$1:$B$999"))/VLOOKUP(H$1, Table1[#All],2, FALSE)</f>
        <v>0.97375</v>
      </c>
      <c r="I4" s="8">
        <f ca="1">SUMIF(INDIRECT("'"&amp;$B4&amp;"'!$F$1:$F$999"), I$1, INDIRECT("'"&amp;$B4&amp;"'!$B$1:$B$999"))/VLOOKUP(I$1, Table1[#All],2, FALSE)</f>
        <v>-8.3884999999999987</v>
      </c>
      <c r="J4" s="8">
        <f ca="1">SUMIF(INDIRECT("'"&amp;$B4&amp;"'!$F$1:$F$999"), J$1, INDIRECT("'"&amp;$B4&amp;"'!$B$1:$B$999"))/VLOOKUP(J$1, Table1[#All],2, FALSE)</f>
        <v>0</v>
      </c>
      <c r="K4" s="8">
        <f ca="1">SUMIF(INDIRECT("'"&amp;$B4&amp;"'!$F$1:$F$999"), K$1, INDIRECT("'"&amp;$B4&amp;"'!$B$1:$B$999"))/VLOOKUP(K$1, Table1[#All],2, FALSE)</f>
        <v>-4140.6000000000004</v>
      </c>
      <c r="L4" s="8">
        <f ca="1">SUMIF(INDIRECT("'"&amp;$B4&amp;"'!$F$1:$F$999"), L$1, INDIRECT("'"&amp;$B4&amp;"'!$B$1:$B$999"))/VLOOKUP(L$1, Table1[#All],2, FALSE)</f>
        <v>0</v>
      </c>
      <c r="M4" s="8">
        <f ca="1">SUMIF(INDIRECT("'"&amp;$B4&amp;"'!$F$1:$F$999"), M$1, INDIRECT("'"&amp;$B4&amp;"'!$B$1:$B$999"))/VLOOKUP(M$1, Table1[#All],2, FALSE)</f>
        <v>0</v>
      </c>
      <c r="N4" s="8">
        <f ca="1">SUMIF(INDIRECT("'"&amp;$B4&amp;"'!$F$1:$F$999"), N$1, INDIRECT("'"&amp;$B4&amp;"'!$B$1:$B$999"))/VLOOKUP(N$1, Table1[#All],2, FALSE)</f>
        <v>0</v>
      </c>
      <c r="O4" s="8">
        <f ca="1">SUMIF(INDIRECT("'"&amp;$B4&amp;"'!$F$1:$F$999"), O$1, INDIRECT("'"&amp;$B4&amp;"'!$B$1:$B$999"))/VLOOKUP(O$1, Table1[#All],2, FALSE)</f>
        <v>0</v>
      </c>
      <c r="P4" s="8">
        <f ca="1">SUMIF(INDIRECT("'"&amp;$B4&amp;"'!$F$1:$F$999"), P$1, INDIRECT("'"&amp;$B4&amp;"'!$B$1:$B$999"))/VLOOKUP(P$1, Table1[#All],2, FALSE)</f>
        <v>0</v>
      </c>
      <c r="Q4" s="8">
        <f ca="1">SUMIF(INDIRECT("'"&amp;$B4&amp;"'!$F$1:$F$999"), Q$1, INDIRECT("'"&amp;$B4&amp;"'!$B$1:$B$999"))/VLOOKUP(Q$1, Table1[#All],2, FALSE)</f>
        <v>0</v>
      </c>
      <c r="R4" s="8">
        <f ca="1">SUMIF(INDIRECT("'"&amp;$B4&amp;"'!$F$1:$F$999"), R$1, INDIRECT("'"&amp;$B4&amp;"'!$B$1:$B$999"))/VLOOKUP(R$1, Table1[#All],2, FALSE)</f>
        <v>0</v>
      </c>
      <c r="S4" s="8" t="e">
        <f ca="1">SUMIF(INDIRECT("'"&amp;$B4&amp;"'!$F$1:$F$999"), S$1, INDIRECT("'"&amp;$B4&amp;"'!$B$1:$B$999"))/VLOOKUP(S$1, Table1[#All],2, FALSE)</f>
        <v>#N/A</v>
      </c>
      <c r="T4" s="9">
        <f t="shared" ca="1" si="0"/>
        <v>-5150.43</v>
      </c>
      <c r="V4" s="1" t="s">
        <v>100</v>
      </c>
      <c r="W4" s="1" t="s">
        <v>221</v>
      </c>
    </row>
    <row r="5" spans="1:23" x14ac:dyDescent="0.25">
      <c r="A5" s="13">
        <f t="shared" ref="A5:A68" si="2">DATE(YEAR(A4), MONTH(A4) + 1, 1)</f>
        <v>43525</v>
      </c>
      <c r="B5" s="12" t="str">
        <f t="shared" si="1"/>
        <v>March 2019</v>
      </c>
      <c r="C5" s="8">
        <f ca="1">SUMIF(INDIRECT("'"&amp;$B5&amp;"'!$F$1:$F$999"), C$1, INDIRECT("'"&amp;$B5&amp;"'!$B$1:$B$999"))/VLOOKUP(C$1, Table1[#All],2, FALSE)</f>
        <v>0</v>
      </c>
      <c r="D5" s="8">
        <f ca="1">SUMIF(INDIRECT("'"&amp;$B5&amp;"'!$F$1:$F$999"), D$1, INDIRECT("'"&amp;$B5&amp;"'!$B$1:$B$999"))/VLOOKUP(D$1, Table1[#All],2, FALSE)</f>
        <v>-0.70445000000000002</v>
      </c>
      <c r="E5" s="8">
        <f ca="1">SUMIF(INDIRECT("'"&amp;$B5&amp;"'!$F$1:$F$999"), E$1, INDIRECT("'"&amp;$B5&amp;"'!$B$1:$B$999"))/VLOOKUP(E$1, Table1[#All],2, FALSE)</f>
        <v>0</v>
      </c>
      <c r="F5" s="8">
        <f ca="1">SUMIF(INDIRECT("'"&amp;$B5&amp;"'!$F$1:$F$999"), F$1, INDIRECT("'"&amp;$B5&amp;"'!$B$1:$B$999"))/VLOOKUP(F$1, Table1[#All],2, FALSE)</f>
        <v>-0.41980000000000006</v>
      </c>
      <c r="G5" s="8">
        <f ca="1">SUMIF(INDIRECT("'"&amp;$B5&amp;"'!$F$1:$F$999"), G$1, INDIRECT("'"&amp;$B5&amp;"'!$B$1:$B$999"))/VLOOKUP(G$1, Table1[#All],2, FALSE)</f>
        <v>0</v>
      </c>
      <c r="H5" s="8">
        <f ca="1">SUMIF(INDIRECT("'"&amp;$B5&amp;"'!$F$1:$F$999"), H$1, INDIRECT("'"&amp;$B5&amp;"'!$B$1:$B$999"))/VLOOKUP(H$1, Table1[#All],2, FALSE)</f>
        <v>0.89300000000000002</v>
      </c>
      <c r="I5" s="8">
        <f ca="1">SUMIF(INDIRECT("'"&amp;$B5&amp;"'!$F$1:$F$999"), I$1, INDIRECT("'"&amp;$B5&amp;"'!$B$1:$B$999"))/VLOOKUP(I$1, Table1[#All],2, FALSE)</f>
        <v>-2.306</v>
      </c>
      <c r="J5" s="8">
        <f ca="1">SUMIF(INDIRECT("'"&amp;$B5&amp;"'!$F$1:$F$999"), J$1, INDIRECT("'"&amp;$B5&amp;"'!$B$1:$B$999"))/VLOOKUP(J$1, Table1[#All],2, FALSE)</f>
        <v>-16.188800000000001</v>
      </c>
      <c r="K5" s="8">
        <f ca="1">SUMIF(INDIRECT("'"&amp;$B5&amp;"'!$F$1:$F$999"), K$1, INDIRECT("'"&amp;$B5&amp;"'!$B$1:$B$999"))/VLOOKUP(K$1, Table1[#All],2, FALSE)</f>
        <v>0</v>
      </c>
      <c r="L5" s="8">
        <f ca="1">SUMIF(INDIRECT("'"&amp;$B5&amp;"'!$F$1:$F$999"), L$1, INDIRECT("'"&amp;$B5&amp;"'!$B$1:$B$999"))/VLOOKUP(L$1, Table1[#All],2, FALSE)</f>
        <v>0</v>
      </c>
      <c r="M5" s="8">
        <f ca="1">SUMIF(INDIRECT("'"&amp;$B5&amp;"'!$F$1:$F$999"), M$1, INDIRECT("'"&amp;$B5&amp;"'!$B$1:$B$999"))/VLOOKUP(M$1, Table1[#All],2, FALSE)</f>
        <v>0</v>
      </c>
      <c r="N5" s="8">
        <f ca="1">SUMIF(INDIRECT("'"&amp;$B5&amp;"'!$F$1:$F$999"), N$1, INDIRECT("'"&amp;$B5&amp;"'!$B$1:$B$999"))/VLOOKUP(N$1, Table1[#All],2, FALSE)</f>
        <v>0</v>
      </c>
      <c r="O5" s="8">
        <f ca="1">SUMIF(INDIRECT("'"&amp;$B5&amp;"'!$F$1:$F$999"), O$1, INDIRECT("'"&amp;$B5&amp;"'!$B$1:$B$999"))/VLOOKUP(O$1, Table1[#All],2, FALSE)</f>
        <v>0</v>
      </c>
      <c r="P5" s="8">
        <f ca="1">SUMIF(INDIRECT("'"&amp;$B5&amp;"'!$F$1:$F$999"), P$1, INDIRECT("'"&amp;$B5&amp;"'!$B$1:$B$999"))/VLOOKUP(P$1, Table1[#All],2, FALSE)</f>
        <v>0</v>
      </c>
      <c r="Q5" s="8">
        <f ca="1">SUMIF(INDIRECT("'"&amp;$B5&amp;"'!$F$1:$F$999"), Q$1, INDIRECT("'"&amp;$B5&amp;"'!$B$1:$B$999"))/VLOOKUP(Q$1, Table1[#All],2, FALSE)</f>
        <v>0</v>
      </c>
      <c r="R5" s="8">
        <f ca="1">SUMIF(INDIRECT("'"&amp;$B5&amp;"'!$F$1:$F$999"), R$1, INDIRECT("'"&amp;$B5&amp;"'!$B$1:$B$999"))/VLOOKUP(R$1, Table1[#All],2, FALSE)</f>
        <v>0</v>
      </c>
      <c r="S5" s="8" t="e">
        <f ca="1">SUMIF(INDIRECT("'"&amp;$B5&amp;"'!$F$1:$F$999"), S$1, INDIRECT("'"&amp;$B5&amp;"'!$B$1:$B$999"))/VLOOKUP(S$1, Table1[#All],2, FALSE)</f>
        <v>#N/A</v>
      </c>
      <c r="T5" s="9">
        <f t="shared" ca="1" si="0"/>
        <v>-1165.6600000000001</v>
      </c>
      <c r="V5" s="2" t="s">
        <v>101</v>
      </c>
      <c r="W5" s="2">
        <v>1200</v>
      </c>
    </row>
    <row r="6" spans="1:23" x14ac:dyDescent="0.25">
      <c r="A6" s="13">
        <f t="shared" si="2"/>
        <v>43556</v>
      </c>
      <c r="B6" s="12" t="str">
        <f t="shared" si="1"/>
        <v>April 2019</v>
      </c>
      <c r="C6" s="8">
        <f ca="1">SUMIF(INDIRECT("'"&amp;$B6&amp;"'!$F$1:$F$999"), C$1, INDIRECT("'"&amp;$B6&amp;"'!$B$1:$B$999"))/VLOOKUP(C$1, Table1[#All],2, FALSE)</f>
        <v>0</v>
      </c>
      <c r="D6" s="8">
        <f ca="1">SUMIF(INDIRECT("'"&amp;$B6&amp;"'!$F$1:$F$999"), D$1, INDIRECT("'"&amp;$B6&amp;"'!$B$1:$B$999"))/VLOOKUP(D$1, Table1[#All],2, FALSE)</f>
        <v>-0.83022499999999999</v>
      </c>
      <c r="E6" s="8">
        <f ca="1">SUMIF(INDIRECT("'"&amp;$B6&amp;"'!$F$1:$F$999"), E$1, INDIRECT("'"&amp;$B6&amp;"'!$B$1:$B$999"))/VLOOKUP(E$1, Table1[#All],2, FALSE)</f>
        <v>0</v>
      </c>
      <c r="F6" s="8">
        <f ca="1">SUMIF(INDIRECT("'"&amp;$B6&amp;"'!$F$1:$F$999"), F$1, INDIRECT("'"&amp;$B6&amp;"'!$B$1:$B$999"))/VLOOKUP(F$1, Table1[#All],2, FALSE)</f>
        <v>-0.1099</v>
      </c>
      <c r="G6" s="8">
        <f ca="1">SUMIF(INDIRECT("'"&amp;$B6&amp;"'!$F$1:$F$999"), G$1, INDIRECT("'"&amp;$B6&amp;"'!$B$1:$B$999"))/VLOOKUP(G$1, Table1[#All],2, FALSE)</f>
        <v>0</v>
      </c>
      <c r="H6" s="8">
        <f ca="1">SUMIF(INDIRECT("'"&amp;$B6&amp;"'!$F$1:$F$999"), H$1, INDIRECT("'"&amp;$B6&amp;"'!$B$1:$B$999"))/VLOOKUP(H$1, Table1[#All],2, FALSE)</f>
        <v>2.1833</v>
      </c>
      <c r="I6" s="8">
        <f ca="1">SUMIF(INDIRECT("'"&amp;$B6&amp;"'!$F$1:$F$999"), I$1, INDIRECT("'"&amp;$B6&amp;"'!$B$1:$B$999"))/VLOOKUP(I$1, Table1[#All],2, FALSE)</f>
        <v>-0.5</v>
      </c>
      <c r="J6" s="8">
        <f ca="1">SUMIF(INDIRECT("'"&amp;$B6&amp;"'!$F$1:$F$999"), J$1, INDIRECT("'"&amp;$B6&amp;"'!$B$1:$B$999"))/VLOOKUP(J$1, Table1[#All],2, FALSE)</f>
        <v>-0.58440000000000003</v>
      </c>
      <c r="K6" s="8">
        <f ca="1">SUMIF(INDIRECT("'"&amp;$B6&amp;"'!$F$1:$F$999"), K$1, INDIRECT("'"&amp;$B6&amp;"'!$B$1:$B$999"))/VLOOKUP(K$1, Table1[#All],2, FALSE)</f>
        <v>0</v>
      </c>
      <c r="L6" s="8">
        <f ca="1">SUMIF(INDIRECT("'"&amp;$B6&amp;"'!$F$1:$F$999"), L$1, INDIRECT("'"&amp;$B6&amp;"'!$B$1:$B$999"))/VLOOKUP(L$1, Table1[#All],2, FALSE)</f>
        <v>0</v>
      </c>
      <c r="M6" s="8">
        <f ca="1">SUMIF(INDIRECT("'"&amp;$B6&amp;"'!$F$1:$F$999"), M$1, INDIRECT("'"&amp;$B6&amp;"'!$B$1:$B$999"))/VLOOKUP(M$1, Table1[#All],2, FALSE)</f>
        <v>0</v>
      </c>
      <c r="N6" s="8">
        <f ca="1">SUMIF(INDIRECT("'"&amp;$B6&amp;"'!$F$1:$F$999"), N$1, INDIRECT("'"&amp;$B6&amp;"'!$B$1:$B$999"))/VLOOKUP(N$1, Table1[#All],2, FALSE)</f>
        <v>0</v>
      </c>
      <c r="O6" s="8">
        <f ca="1">SUMIF(INDIRECT("'"&amp;$B6&amp;"'!$F$1:$F$999"), O$1, INDIRECT("'"&amp;$B6&amp;"'!$B$1:$B$999"))/VLOOKUP(O$1, Table1[#All],2, FALSE)</f>
        <v>0</v>
      </c>
      <c r="P6" s="8">
        <f ca="1">SUMIF(INDIRECT("'"&amp;$B6&amp;"'!$F$1:$F$999"), P$1, INDIRECT("'"&amp;$B6&amp;"'!$B$1:$B$999"))/VLOOKUP(P$1, Table1[#All],2, FALSE)</f>
        <v>0</v>
      </c>
      <c r="Q6" s="8">
        <f ca="1">SUMIF(INDIRECT("'"&amp;$B6&amp;"'!$F$1:$F$999"), Q$1, INDIRECT("'"&amp;$B6&amp;"'!$B$1:$B$999"))/VLOOKUP(Q$1, Table1[#All],2, FALSE)</f>
        <v>0</v>
      </c>
      <c r="R6" s="8">
        <f ca="1">SUMIF(INDIRECT("'"&amp;$B6&amp;"'!$F$1:$F$999"), R$1, INDIRECT("'"&amp;$B6&amp;"'!$B$1:$B$999"))/VLOOKUP(R$1, Table1[#All],2, FALSE)</f>
        <v>0</v>
      </c>
      <c r="S6" s="8" t="e">
        <f ca="1">SUMIF(INDIRECT("'"&amp;$B6&amp;"'!$F$1:$F$999"), S$1, INDIRECT("'"&amp;$B6&amp;"'!$B$1:$B$999"))/VLOOKUP(S$1, Table1[#All],2, FALSE)</f>
        <v>#N/A</v>
      </c>
      <c r="T6" s="9">
        <f t="shared" ca="1" si="0"/>
        <v>14.36000000000007</v>
      </c>
      <c r="V6" t="s">
        <v>102</v>
      </c>
      <c r="W6">
        <v>70</v>
      </c>
    </row>
    <row r="7" spans="1:23" x14ac:dyDescent="0.25">
      <c r="A7" s="13">
        <f t="shared" si="2"/>
        <v>43586</v>
      </c>
      <c r="B7" s="12" t="str">
        <f t="shared" si="1"/>
        <v>May 2019</v>
      </c>
      <c r="C7" s="8">
        <f ca="1">SUMIF(INDIRECT("'"&amp;$B7&amp;"'!$F$1:$F$999"), C$1, INDIRECT("'"&amp;$B7&amp;"'!$B$1:$B$999"))/VLOOKUP(C$1, Table1[#All],2, FALSE)</f>
        <v>0.40722969873069276</v>
      </c>
      <c r="D7" s="8">
        <f ca="1">SUMIF(INDIRECT("'"&amp;$B7&amp;"'!$F$1:$F$999"), D$1, INDIRECT("'"&amp;$B7&amp;"'!$B$1:$B$999"))/VLOOKUP(D$1, Table1[#All],2, FALSE)</f>
        <v>-0.9658500000000001</v>
      </c>
      <c r="E7" s="8">
        <f ca="1">SUMIF(INDIRECT("'"&amp;$B7&amp;"'!$F$1:$F$999"), E$1, INDIRECT("'"&amp;$B7&amp;"'!$B$1:$B$999"))/VLOOKUP(E$1, Table1[#All],2, FALSE)</f>
        <v>6.4377682403433478E-4</v>
      </c>
      <c r="F7" s="8">
        <f ca="1">SUMIF(INDIRECT("'"&amp;$B7&amp;"'!$F$1:$F$999"), F$1, INDIRECT("'"&amp;$B7&amp;"'!$B$1:$B$999"))/VLOOKUP(F$1, Table1[#All],2, FALSE)</f>
        <v>-0.39929999999999999</v>
      </c>
      <c r="G7" s="8">
        <f ca="1">SUMIF(INDIRECT("'"&amp;$B7&amp;"'!$F$1:$F$999"), G$1, INDIRECT("'"&amp;$B7&amp;"'!$B$1:$B$999"))/VLOOKUP(G$1, Table1[#All],2, FALSE)</f>
        <v>0</v>
      </c>
      <c r="H7" s="8">
        <f ca="1">SUMIF(INDIRECT("'"&amp;$B7&amp;"'!$F$1:$F$999"), H$1, INDIRECT("'"&amp;$B7&amp;"'!$B$1:$B$999"))/VLOOKUP(H$1, Table1[#All],2, FALSE)</f>
        <v>4.0636999999999999</v>
      </c>
      <c r="I7" s="8">
        <f ca="1">SUMIF(INDIRECT("'"&amp;$B7&amp;"'!$F$1:$F$999"), I$1, INDIRECT("'"&amp;$B7&amp;"'!$B$1:$B$999"))/VLOOKUP(I$1, Table1[#All],2, FALSE)</f>
        <v>0</v>
      </c>
      <c r="J7" s="8">
        <f ca="1">SUMIF(INDIRECT("'"&amp;$B7&amp;"'!$F$1:$F$999"), J$1, INDIRECT("'"&amp;$B7&amp;"'!$B$1:$B$999"))/VLOOKUP(J$1, Table1[#All],2, FALSE)</f>
        <v>-0.1232</v>
      </c>
      <c r="K7" s="8">
        <f ca="1">SUMIF(INDIRECT("'"&amp;$B7&amp;"'!$F$1:$F$999"), K$1, INDIRECT("'"&amp;$B7&amp;"'!$B$1:$B$999"))/VLOOKUP(K$1, Table1[#All],2, FALSE)</f>
        <v>0</v>
      </c>
      <c r="L7" s="8">
        <f ca="1">SUMIF(INDIRECT("'"&amp;$B7&amp;"'!$F$1:$F$999"), L$1, INDIRECT("'"&amp;$B7&amp;"'!$B$1:$B$999"))/VLOOKUP(L$1, Table1[#All],2, FALSE)</f>
        <v>0</v>
      </c>
      <c r="M7" s="8">
        <f ca="1">SUMIF(INDIRECT("'"&amp;$B7&amp;"'!$F$1:$F$999"), M$1, INDIRECT("'"&amp;$B7&amp;"'!$B$1:$B$999"))/VLOOKUP(M$1, Table1[#All],2, FALSE)</f>
        <v>0</v>
      </c>
      <c r="N7" s="8">
        <f ca="1">SUMIF(INDIRECT("'"&amp;$B7&amp;"'!$F$1:$F$999"), N$1, INDIRECT("'"&amp;$B7&amp;"'!$B$1:$B$999"))/VLOOKUP(N$1, Table1[#All],2, FALSE)</f>
        <v>0</v>
      </c>
      <c r="O7" s="8">
        <f ca="1">SUMIF(INDIRECT("'"&amp;$B7&amp;"'!$F$1:$F$999"), O$1, INDIRECT("'"&amp;$B7&amp;"'!$B$1:$B$999"))/VLOOKUP(O$1, Table1[#All],2, FALSE)</f>
        <v>0</v>
      </c>
      <c r="P7" s="8">
        <f ca="1">SUMIF(INDIRECT("'"&amp;$B7&amp;"'!$F$1:$F$999"), P$1, INDIRECT("'"&amp;$B7&amp;"'!$B$1:$B$999"))/VLOOKUP(P$1, Table1[#All],2, FALSE)</f>
        <v>0</v>
      </c>
      <c r="Q7" s="8">
        <f ca="1">SUMIF(INDIRECT("'"&amp;$B7&amp;"'!$F$1:$F$999"), Q$1, INDIRECT("'"&amp;$B7&amp;"'!$B$1:$B$999"))/VLOOKUP(Q$1, Table1[#All],2, FALSE)</f>
        <v>0</v>
      </c>
      <c r="R7" s="8">
        <f ca="1">SUMIF(INDIRECT("'"&amp;$B7&amp;"'!$F$1:$F$999"), R$1, INDIRECT("'"&amp;$B7&amp;"'!$B$1:$B$999"))/VLOOKUP(R$1, Table1[#All],2, FALSE)</f>
        <v>0</v>
      </c>
      <c r="S7" s="8" t="e">
        <f ca="1">SUMIF(INDIRECT("'"&amp;$B7&amp;"'!$F$1:$F$999"), S$1, INDIRECT("'"&amp;$B7&amp;"'!$B$1:$B$999"))/VLOOKUP(S$1, Table1[#All],2, FALSE)</f>
        <v>#N/A</v>
      </c>
      <c r="T7" s="9">
        <f t="shared" ca="1" si="0"/>
        <v>2084.4299999999998</v>
      </c>
      <c r="V7" t="s">
        <v>103</v>
      </c>
      <c r="W7">
        <v>60</v>
      </c>
    </row>
    <row r="8" spans="1:23" x14ac:dyDescent="0.25">
      <c r="A8" s="13">
        <f t="shared" si="2"/>
        <v>43617</v>
      </c>
      <c r="B8" s="12" t="str">
        <f t="shared" si="1"/>
        <v>June 2019</v>
      </c>
      <c r="C8" s="8">
        <f ca="1">SUMIF(INDIRECT("'"&amp;$B8&amp;"'!$F$1:$F$999"), C$1, INDIRECT("'"&amp;$B8&amp;"'!$B$1:$B$999"))/VLOOKUP(C$1, Table1[#All],2, FALSE)</f>
        <v>0.84444295763878274</v>
      </c>
      <c r="D8" s="8">
        <f ca="1">SUMIF(INDIRECT("'"&amp;$B8&amp;"'!$F$1:$F$999"), D$1, INDIRECT("'"&amp;$B8&amp;"'!$B$1:$B$999"))/VLOOKUP(D$1, Table1[#All],2, FALSE)</f>
        <v>-0.85514999999999997</v>
      </c>
      <c r="E8" s="8">
        <f ca="1">SUMIF(INDIRECT("'"&amp;$B8&amp;"'!$F$1:$F$999"), E$1, INDIRECT("'"&amp;$B8&amp;"'!$B$1:$B$999"))/VLOOKUP(E$1, Table1[#All],2, FALSE)</f>
        <v>0</v>
      </c>
      <c r="F8" s="8">
        <f ca="1">SUMIF(INDIRECT("'"&amp;$B8&amp;"'!$F$1:$F$999"), F$1, INDIRECT("'"&amp;$B8&amp;"'!$B$1:$B$999"))/VLOOKUP(F$1, Table1[#All],2, FALSE)</f>
        <v>-1.3156999999999999</v>
      </c>
      <c r="G8" s="8">
        <f ca="1">SUMIF(INDIRECT("'"&amp;$B8&amp;"'!$F$1:$F$999"), G$1, INDIRECT("'"&amp;$B8&amp;"'!$B$1:$B$999"))/VLOOKUP(G$1, Table1[#All],2, FALSE)</f>
        <v>0</v>
      </c>
      <c r="H8" s="8">
        <f ca="1">SUMIF(INDIRECT("'"&amp;$B8&amp;"'!$F$1:$F$999"), H$1, INDIRECT("'"&amp;$B8&amp;"'!$B$1:$B$999"))/VLOOKUP(H$1, Table1[#All],2, FALSE)</f>
        <v>0</v>
      </c>
      <c r="I8" s="8">
        <f ca="1">SUMIF(INDIRECT("'"&amp;$B8&amp;"'!$F$1:$F$999"), I$1, INDIRECT("'"&amp;$B8&amp;"'!$B$1:$B$999"))/VLOOKUP(I$1, Table1[#All],2, FALSE)</f>
        <v>-0.98480000000000001</v>
      </c>
      <c r="J8" s="8">
        <f ca="1">SUMIF(INDIRECT("'"&amp;$B8&amp;"'!$F$1:$F$999"), J$1, INDIRECT("'"&amp;$B8&amp;"'!$B$1:$B$999"))/VLOOKUP(J$1, Table1[#All],2, FALSE)</f>
        <v>-7.0114000000000001</v>
      </c>
      <c r="K8" s="8">
        <f ca="1">SUMIF(INDIRECT("'"&amp;$B8&amp;"'!$F$1:$F$999"), K$1, INDIRECT("'"&amp;$B8&amp;"'!$B$1:$B$999"))/VLOOKUP(K$1, Table1[#All],2, FALSE)</f>
        <v>-897.47</v>
      </c>
      <c r="L8" s="8">
        <f ca="1">SUMIF(INDIRECT("'"&amp;$B8&amp;"'!$F$1:$F$999"), L$1, INDIRECT("'"&amp;$B8&amp;"'!$B$1:$B$999"))/VLOOKUP(L$1, Table1[#All],2, FALSE)</f>
        <v>0</v>
      </c>
      <c r="M8" s="8">
        <f ca="1">SUMIF(INDIRECT("'"&amp;$B8&amp;"'!$F$1:$F$999"), M$1, INDIRECT("'"&amp;$B8&amp;"'!$B$1:$B$999"))/VLOOKUP(M$1, Table1[#All],2, FALSE)</f>
        <v>0</v>
      </c>
      <c r="N8" s="8">
        <f ca="1">SUMIF(INDIRECT("'"&amp;$B8&amp;"'!$F$1:$F$999"), N$1, INDIRECT("'"&amp;$B8&amp;"'!$B$1:$B$999"))/VLOOKUP(N$1, Table1[#All],2, FALSE)</f>
        <v>0</v>
      </c>
      <c r="O8" s="8">
        <f ca="1">SUMIF(INDIRECT("'"&amp;$B8&amp;"'!$F$1:$F$999"), O$1, INDIRECT("'"&amp;$B8&amp;"'!$B$1:$B$999"))/VLOOKUP(O$1, Table1[#All],2, FALSE)</f>
        <v>0</v>
      </c>
      <c r="P8" s="8">
        <f ca="1">SUMIF(INDIRECT("'"&amp;$B8&amp;"'!$F$1:$F$999"), P$1, INDIRECT("'"&amp;$B8&amp;"'!$B$1:$B$999"))/VLOOKUP(P$1, Table1[#All],2, FALSE)</f>
        <v>0</v>
      </c>
      <c r="Q8" s="8">
        <f ca="1">SUMIF(INDIRECT("'"&amp;$B8&amp;"'!$F$1:$F$999"), Q$1, INDIRECT("'"&amp;$B8&amp;"'!$B$1:$B$999"))/VLOOKUP(Q$1, Table1[#All],2, FALSE)</f>
        <v>0</v>
      </c>
      <c r="R8" s="8">
        <f ca="1">SUMIF(INDIRECT("'"&amp;$B8&amp;"'!$F$1:$F$999"), R$1, INDIRECT("'"&amp;$B8&amp;"'!$B$1:$B$999"))/VLOOKUP(R$1, Table1[#All],2, FALSE)</f>
        <v>0</v>
      </c>
      <c r="S8" s="8" t="e">
        <f ca="1">SUMIF(INDIRECT("'"&amp;$B8&amp;"'!$F$1:$F$999"), S$1, INDIRECT("'"&amp;$B8&amp;"'!$B$1:$B$999"))/VLOOKUP(S$1, Table1[#All],2, FALSE)</f>
        <v>#N/A</v>
      </c>
      <c r="T8" s="9">
        <f t="shared" ca="1" si="0"/>
        <v>1680.1799999999992</v>
      </c>
      <c r="V8" t="s">
        <v>104</v>
      </c>
      <c r="W8">
        <v>100</v>
      </c>
    </row>
    <row r="9" spans="1:23" x14ac:dyDescent="0.25">
      <c r="A9" s="13">
        <f t="shared" si="2"/>
        <v>43647</v>
      </c>
      <c r="B9" s="12" t="str">
        <f t="shared" si="1"/>
        <v>July 2019</v>
      </c>
      <c r="C9" s="8">
        <f ca="1">SUMIF(INDIRECT("'"&amp;$B9&amp;"'!$F$1:$F$999"), C$1, INDIRECT("'"&amp;$B9&amp;"'!$B$1:$B$999"))/VLOOKUP(C$1, Table1[#All],2, FALSE)</f>
        <v>0.82945117755008402</v>
      </c>
      <c r="D9" s="8">
        <f ca="1">SUMIF(INDIRECT("'"&amp;$B9&amp;"'!$F$1:$F$999"), D$1, INDIRECT("'"&amp;$B9&amp;"'!$B$1:$B$999"))/VLOOKUP(D$1, Table1[#All],2, FALSE)</f>
        <v>-1.4851750000000001</v>
      </c>
      <c r="E9" s="8">
        <f ca="1">SUMIF(INDIRECT("'"&amp;$B9&amp;"'!$F$1:$F$999"), E$1, INDIRECT("'"&amp;$B9&amp;"'!$B$1:$B$999"))/VLOOKUP(E$1, Table1[#All],2, FALSE)</f>
        <v>0</v>
      </c>
      <c r="F9" s="8">
        <f ca="1">SUMIF(INDIRECT("'"&amp;$B9&amp;"'!$F$1:$F$999"), F$1, INDIRECT("'"&amp;$B9&amp;"'!$B$1:$B$999"))/VLOOKUP(F$1, Table1[#All],2, FALSE)</f>
        <v>-1.4218999999999999</v>
      </c>
      <c r="G9" s="8">
        <f ca="1">SUMIF(INDIRECT("'"&amp;$B9&amp;"'!$F$1:$F$999"), G$1, INDIRECT("'"&amp;$B9&amp;"'!$B$1:$B$999"))/VLOOKUP(G$1, Table1[#All],2, FALSE)</f>
        <v>0</v>
      </c>
      <c r="H9" s="8">
        <f ca="1">SUMIF(INDIRECT("'"&amp;$B9&amp;"'!$F$1:$F$999"), H$1, INDIRECT("'"&amp;$B9&amp;"'!$B$1:$B$999"))/VLOOKUP(H$1, Table1[#All],2, FALSE)</f>
        <v>0</v>
      </c>
      <c r="I9" s="8">
        <f ca="1">SUMIF(INDIRECT("'"&amp;$B9&amp;"'!$F$1:$F$999"), I$1, INDIRECT("'"&amp;$B9&amp;"'!$B$1:$B$999"))/VLOOKUP(I$1, Table1[#All],2, FALSE)</f>
        <v>-0.52910000000000001</v>
      </c>
      <c r="J9" s="8">
        <f ca="1">SUMIF(INDIRECT("'"&amp;$B9&amp;"'!$F$1:$F$999"), J$1, INDIRECT("'"&amp;$B9&amp;"'!$B$1:$B$999"))/VLOOKUP(J$1, Table1[#All],2, FALSE)</f>
        <v>0.8</v>
      </c>
      <c r="K9" s="8">
        <f ca="1">SUMIF(INDIRECT("'"&amp;$B9&amp;"'!$F$1:$F$999"), K$1, INDIRECT("'"&amp;$B9&amp;"'!$B$1:$B$999"))/VLOOKUP(K$1, Table1[#All],2, FALSE)</f>
        <v>0</v>
      </c>
      <c r="L9" s="8">
        <f ca="1">SUMIF(INDIRECT("'"&amp;$B9&amp;"'!$F$1:$F$999"), L$1, INDIRECT("'"&amp;$B9&amp;"'!$B$1:$B$999"))/VLOOKUP(L$1, Table1[#All],2, FALSE)</f>
        <v>-50</v>
      </c>
      <c r="M9" s="8">
        <f ca="1">SUMIF(INDIRECT("'"&amp;$B9&amp;"'!$F$1:$F$999"), M$1, INDIRECT("'"&amp;$B9&amp;"'!$B$1:$B$999"))/VLOOKUP(M$1, Table1[#All],2, FALSE)</f>
        <v>0</v>
      </c>
      <c r="N9" s="8">
        <f ca="1">SUMIF(INDIRECT("'"&amp;$B9&amp;"'!$F$1:$F$999"), N$1, INDIRECT("'"&amp;$B9&amp;"'!$B$1:$B$999"))/VLOOKUP(N$1, Table1[#All],2, FALSE)</f>
        <v>0</v>
      </c>
      <c r="O9" s="8">
        <f ca="1">SUMIF(INDIRECT("'"&amp;$B9&amp;"'!$F$1:$F$999"), O$1, INDIRECT("'"&amp;$B9&amp;"'!$B$1:$B$999"))/VLOOKUP(O$1, Table1[#All],2, FALSE)</f>
        <v>0</v>
      </c>
      <c r="P9" s="8">
        <f ca="1">SUMIF(INDIRECT("'"&amp;$B9&amp;"'!$F$1:$F$999"), P$1, INDIRECT("'"&amp;$B9&amp;"'!$B$1:$B$999"))/VLOOKUP(P$1, Table1[#All],2, FALSE)</f>
        <v>0</v>
      </c>
      <c r="Q9" s="8">
        <f ca="1">SUMIF(INDIRECT("'"&amp;$B9&amp;"'!$F$1:$F$999"), Q$1, INDIRECT("'"&amp;$B9&amp;"'!$B$1:$B$999"))/VLOOKUP(Q$1, Table1[#All],2, FALSE)</f>
        <v>0</v>
      </c>
      <c r="R9" s="8">
        <f ca="1">SUMIF(INDIRECT("'"&amp;$B9&amp;"'!$F$1:$F$999"), R$1, INDIRECT("'"&amp;$B9&amp;"'!$B$1:$B$999"))/VLOOKUP(R$1, Table1[#All],2, FALSE)</f>
        <v>0</v>
      </c>
      <c r="S9" s="8" t="e">
        <f ca="1">SUMIF(INDIRECT("'"&amp;$B9&amp;"'!$F$1:$F$999"), S$1, INDIRECT("'"&amp;$B9&amp;"'!$B$1:$B$999"))/VLOOKUP(S$1, Table1[#All],2, FALSE)</f>
        <v>#N/A</v>
      </c>
      <c r="T9" s="9">
        <f t="shared" ca="1" si="0"/>
        <v>-2277.9499999999998</v>
      </c>
      <c r="V9" t="s">
        <v>106</v>
      </c>
      <c r="W9">
        <v>400</v>
      </c>
    </row>
    <row r="10" spans="1:23" x14ac:dyDescent="0.25">
      <c r="A10" s="13">
        <f t="shared" si="2"/>
        <v>43678</v>
      </c>
      <c r="B10" s="12" t="str">
        <f t="shared" si="1"/>
        <v>August 2019</v>
      </c>
      <c r="C10" s="8">
        <f ca="1">SUMIF(INDIRECT("'"&amp;$B10&amp;"'!$F$1:$F$999"), C$1, INDIRECT("'"&amp;$B10&amp;"'!$B$1:$B$999"))/VLOOKUP(C$1, Table1[#All],2, FALSE)</f>
        <v>0.82945117755008402</v>
      </c>
      <c r="D10" s="8">
        <f ca="1">SUMIF(INDIRECT("'"&amp;$B10&amp;"'!$F$1:$F$999"), D$1, INDIRECT("'"&amp;$B10&amp;"'!$B$1:$B$999"))/VLOOKUP(D$1, Table1[#All],2, FALSE)</f>
        <v>-1.3372250000000008</v>
      </c>
      <c r="E10" s="8">
        <f ca="1">SUMIF(INDIRECT("'"&amp;$B10&amp;"'!$F$1:$F$999"), E$1, INDIRECT("'"&amp;$B10&amp;"'!$B$1:$B$999"))/VLOOKUP(E$1, Table1[#All],2, FALSE)</f>
        <v>0</v>
      </c>
      <c r="F10" s="8">
        <f ca="1">SUMIF(INDIRECT("'"&amp;$B10&amp;"'!$F$1:$F$999"), F$1, INDIRECT("'"&amp;$B10&amp;"'!$B$1:$B$999"))/VLOOKUP(F$1, Table1[#All],2, FALSE)</f>
        <v>-0.96810000000000007</v>
      </c>
      <c r="G10" s="8">
        <f ca="1">SUMIF(INDIRECT("'"&amp;$B10&amp;"'!$F$1:$F$999"), G$1, INDIRECT("'"&amp;$B10&amp;"'!$B$1:$B$999"))/VLOOKUP(G$1, Table1[#All],2, FALSE)</f>
        <v>0</v>
      </c>
      <c r="H10" s="8">
        <f ca="1">SUMIF(INDIRECT("'"&amp;$B10&amp;"'!$F$1:$F$999"), H$1, INDIRECT("'"&amp;$B10&amp;"'!$B$1:$B$999"))/VLOOKUP(H$1, Table1[#All],2, FALSE)</f>
        <v>0</v>
      </c>
      <c r="I10" s="8">
        <f ca="1">SUMIF(INDIRECT("'"&amp;$B10&amp;"'!$F$1:$F$999"), I$1, INDIRECT("'"&amp;$B10&amp;"'!$B$1:$B$999"))/VLOOKUP(I$1, Table1[#All],2, FALSE)</f>
        <v>-0.47409999999999997</v>
      </c>
      <c r="J10" s="8">
        <f ca="1">SUMIF(INDIRECT("'"&amp;$B10&amp;"'!$F$1:$F$999"), J$1, INDIRECT("'"&amp;$B10&amp;"'!$B$1:$B$999"))/VLOOKUP(J$1, Table1[#All],2, FALSE)</f>
        <v>-1.0122</v>
      </c>
      <c r="K10" s="8">
        <f ca="1">SUMIF(INDIRECT("'"&amp;$B10&amp;"'!$F$1:$F$999"), K$1, INDIRECT("'"&amp;$B10&amp;"'!$B$1:$B$999"))/VLOOKUP(K$1, Table1[#All],2, FALSE)</f>
        <v>0</v>
      </c>
      <c r="L10" s="8">
        <f ca="1">SUMIF(INDIRECT("'"&amp;$B10&amp;"'!$F$1:$F$999"), L$1, INDIRECT("'"&amp;$B10&amp;"'!$B$1:$B$999"))/VLOOKUP(L$1, Table1[#All],2, FALSE)</f>
        <v>0</v>
      </c>
      <c r="M10" s="8">
        <f ca="1">SUMIF(INDIRECT("'"&amp;$B10&amp;"'!$F$1:$F$999"), M$1, INDIRECT("'"&amp;$B10&amp;"'!$B$1:$B$999"))/VLOOKUP(M$1, Table1[#All],2, FALSE)</f>
        <v>0</v>
      </c>
      <c r="N10" s="8">
        <f ca="1">SUMIF(INDIRECT("'"&amp;$B10&amp;"'!$F$1:$F$999"), N$1, INDIRECT("'"&amp;$B10&amp;"'!$B$1:$B$999"))/VLOOKUP(N$1, Table1[#All],2, FALSE)</f>
        <v>0</v>
      </c>
      <c r="O10" s="8">
        <f ca="1">SUMIF(INDIRECT("'"&amp;$B10&amp;"'!$F$1:$F$999"), O$1, INDIRECT("'"&amp;$B10&amp;"'!$B$1:$B$999"))/VLOOKUP(O$1, Table1[#All],2, FALSE)</f>
        <v>0</v>
      </c>
      <c r="P10" s="8">
        <f ca="1">SUMIF(INDIRECT("'"&amp;$B10&amp;"'!$F$1:$F$999"), P$1, INDIRECT("'"&amp;$B10&amp;"'!$B$1:$B$999"))/VLOOKUP(P$1, Table1[#All],2, FALSE)</f>
        <v>0</v>
      </c>
      <c r="Q10" s="8">
        <f ca="1">SUMIF(INDIRECT("'"&amp;$B10&amp;"'!$F$1:$F$999"), Q$1, INDIRECT("'"&amp;$B10&amp;"'!$B$1:$B$999"))/VLOOKUP(Q$1, Table1[#All],2, FALSE)</f>
        <v>0</v>
      </c>
      <c r="R10" s="8">
        <f ca="1">SUMIF(INDIRECT("'"&amp;$B10&amp;"'!$F$1:$F$999"), R$1, INDIRECT("'"&amp;$B10&amp;"'!$B$1:$B$999"))/VLOOKUP(R$1, Table1[#All],2, FALSE)</f>
        <v>0</v>
      </c>
      <c r="S10" s="8" t="e">
        <f ca="1">SUMIF(INDIRECT("'"&amp;$B10&amp;"'!$F$1:$F$999"), S$1, INDIRECT("'"&amp;$B10&amp;"'!$B$1:$B$999"))/VLOOKUP(S$1, Table1[#All],2, FALSE)</f>
        <v>#N/A</v>
      </c>
      <c r="T10" s="9">
        <f t="shared" ca="1" si="0"/>
        <v>2741.5000000000005</v>
      </c>
      <c r="V10" t="s">
        <v>140</v>
      </c>
      <c r="W10">
        <v>500</v>
      </c>
    </row>
    <row r="11" spans="1:23" x14ac:dyDescent="0.25">
      <c r="A11" s="13">
        <f t="shared" si="2"/>
        <v>43709</v>
      </c>
      <c r="B11" s="12" t="str">
        <f t="shared" si="1"/>
        <v>September 2019</v>
      </c>
      <c r="C11" s="8">
        <f ca="1">SUMIF(INDIRECT("'"&amp;$B11&amp;"'!$F$1:$F$999"), C$1, INDIRECT("'"&amp;$B11&amp;"'!$B$1:$B$999"))/VLOOKUP(C$1, Table1[#All],2, FALSE)</f>
        <v>0.82945117755008402</v>
      </c>
      <c r="D11" s="8">
        <f ca="1">SUMIF(INDIRECT("'"&amp;$B11&amp;"'!$F$1:$F$999"), D$1, INDIRECT("'"&amp;$B11&amp;"'!$B$1:$B$999"))/VLOOKUP(D$1, Table1[#All],2, FALSE)</f>
        <v>-1.1418000000000001</v>
      </c>
      <c r="E11" s="8">
        <f ca="1">SUMIF(INDIRECT("'"&amp;$B11&amp;"'!$F$1:$F$999"), E$1, INDIRECT("'"&amp;$B11&amp;"'!$B$1:$B$999"))/VLOOKUP(E$1, Table1[#All],2, FALSE)</f>
        <v>0</v>
      </c>
      <c r="F11" s="8">
        <f ca="1">SUMIF(INDIRECT("'"&amp;$B11&amp;"'!$F$1:$F$999"), F$1, INDIRECT("'"&amp;$B11&amp;"'!$B$1:$B$999"))/VLOOKUP(F$1, Table1[#All],2, FALSE)</f>
        <v>-2.4934000000000003</v>
      </c>
      <c r="G11" s="8">
        <f ca="1">SUMIF(INDIRECT("'"&amp;$B11&amp;"'!$F$1:$F$999"), G$1, INDIRECT("'"&amp;$B11&amp;"'!$B$1:$B$999"))/VLOOKUP(G$1, Table1[#All],2, FALSE)</f>
        <v>0</v>
      </c>
      <c r="H11" s="8">
        <f ca="1">SUMIF(INDIRECT("'"&amp;$B11&amp;"'!$F$1:$F$999"), H$1, INDIRECT("'"&amp;$B11&amp;"'!$B$1:$B$999"))/VLOOKUP(H$1, Table1[#All],2, FALSE)</f>
        <v>0.98624999999999996</v>
      </c>
      <c r="I11" s="8">
        <f ca="1">SUMIF(INDIRECT("'"&amp;$B11&amp;"'!$F$1:$F$999"), I$1, INDIRECT("'"&amp;$B11&amp;"'!$B$1:$B$999"))/VLOOKUP(I$1, Table1[#All],2, FALSE)</f>
        <v>-0.55320000000000003</v>
      </c>
      <c r="J11" s="8">
        <f ca="1">SUMIF(INDIRECT("'"&amp;$B11&amp;"'!$F$1:$F$999"), J$1, INDIRECT("'"&amp;$B11&amp;"'!$B$1:$B$999"))/VLOOKUP(J$1, Table1[#All],2, FALSE)</f>
        <v>-0.52100000000000002</v>
      </c>
      <c r="K11" s="8">
        <f ca="1">SUMIF(INDIRECT("'"&amp;$B11&amp;"'!$F$1:$F$999"), K$1, INDIRECT("'"&amp;$B11&amp;"'!$B$1:$B$999"))/VLOOKUP(K$1, Table1[#All],2, FALSE)</f>
        <v>0</v>
      </c>
      <c r="L11" s="8">
        <f ca="1">SUMIF(INDIRECT("'"&amp;$B11&amp;"'!$F$1:$F$999"), L$1, INDIRECT("'"&amp;$B11&amp;"'!$B$1:$B$999"))/VLOOKUP(L$1, Table1[#All],2, FALSE)</f>
        <v>0</v>
      </c>
      <c r="M11" s="8">
        <f ca="1">SUMIF(INDIRECT("'"&amp;$B11&amp;"'!$F$1:$F$999"), M$1, INDIRECT("'"&amp;$B11&amp;"'!$B$1:$B$999"))/VLOOKUP(M$1, Table1[#All],2, FALSE)</f>
        <v>0</v>
      </c>
      <c r="N11" s="8">
        <f ca="1">SUMIF(INDIRECT("'"&amp;$B11&amp;"'!$F$1:$F$999"), N$1, INDIRECT("'"&amp;$B11&amp;"'!$B$1:$B$999"))/VLOOKUP(N$1, Table1[#All],2, FALSE)</f>
        <v>0</v>
      </c>
      <c r="O11" s="8">
        <f ca="1">SUMIF(INDIRECT("'"&amp;$B11&amp;"'!$F$1:$F$999"), O$1, INDIRECT("'"&amp;$B11&amp;"'!$B$1:$B$999"))/VLOOKUP(O$1, Table1[#All],2, FALSE)</f>
        <v>0</v>
      </c>
      <c r="P11" s="8">
        <f ca="1">SUMIF(INDIRECT("'"&amp;$B11&amp;"'!$F$1:$F$999"), P$1, INDIRECT("'"&amp;$B11&amp;"'!$B$1:$B$999"))/VLOOKUP(P$1, Table1[#All],2, FALSE)</f>
        <v>0</v>
      </c>
      <c r="Q11" s="8">
        <f ca="1">SUMIF(INDIRECT("'"&amp;$B11&amp;"'!$F$1:$F$999"), Q$1, INDIRECT("'"&amp;$B11&amp;"'!$B$1:$B$999"))/VLOOKUP(Q$1, Table1[#All],2, FALSE)</f>
        <v>0</v>
      </c>
      <c r="R11" s="8">
        <f ca="1">SUMIF(INDIRECT("'"&amp;$B11&amp;"'!$F$1:$F$999"), R$1, INDIRECT("'"&amp;$B11&amp;"'!$B$1:$B$999"))/VLOOKUP(R$1, Table1[#All],2, FALSE)</f>
        <v>0</v>
      </c>
      <c r="S11" s="8" t="e">
        <f ca="1">SUMIF(INDIRECT("'"&amp;$B11&amp;"'!$F$1:$F$999"), S$1, INDIRECT("'"&amp;$B11&amp;"'!$B$1:$B$999"))/VLOOKUP(S$1, Table1[#All],2, FALSE)</f>
        <v>#N/A</v>
      </c>
      <c r="T11" s="9">
        <f t="shared" ca="1" si="0"/>
        <v>2980.8599999999997</v>
      </c>
      <c r="V11" s="1" t="s">
        <v>220</v>
      </c>
      <c r="W11">
        <f>SUM(W5:W10)</f>
        <v>2330</v>
      </c>
    </row>
    <row r="12" spans="1:23" x14ac:dyDescent="0.25">
      <c r="A12" s="13">
        <f t="shared" si="2"/>
        <v>43739</v>
      </c>
      <c r="B12" s="12" t="str">
        <f t="shared" si="1"/>
        <v>October 2019</v>
      </c>
      <c r="C12" s="8">
        <f ca="1">SUMIF(INDIRECT("'"&amp;$B12&amp;"'!$F$1:$F$999"), C$1, INDIRECT("'"&amp;$B12&amp;"'!$B$1:$B$999"))/VLOOKUP(C$1, Table1[#All],2, FALSE)</f>
        <v>1.2441767663251262</v>
      </c>
      <c r="D12" s="8">
        <f ca="1">SUMIF(INDIRECT("'"&amp;$B12&amp;"'!$F$1:$F$999"), D$1, INDIRECT("'"&amp;$B12&amp;"'!$B$1:$B$999"))/VLOOKUP(D$1, Table1[#All],2, FALSE)</f>
        <v>-1.0720499999999999</v>
      </c>
      <c r="E12" s="8">
        <f ca="1">SUMIF(INDIRECT("'"&amp;$B12&amp;"'!$F$1:$F$999"), E$1, INDIRECT("'"&amp;$B12&amp;"'!$B$1:$B$999"))/VLOOKUP(E$1, Table1[#All],2, FALSE)</f>
        <v>5.2188841201716733E-2</v>
      </c>
      <c r="F12" s="8">
        <f ca="1">SUMIF(INDIRECT("'"&amp;$B12&amp;"'!$F$1:$F$999"), F$1, INDIRECT("'"&amp;$B12&amp;"'!$B$1:$B$999"))/VLOOKUP(F$1, Table1[#All],2, FALSE)</f>
        <v>-3.3916999999999997</v>
      </c>
      <c r="G12" s="8">
        <f ca="1">SUMIF(INDIRECT("'"&amp;$B12&amp;"'!$F$1:$F$999"), G$1, INDIRECT("'"&amp;$B12&amp;"'!$B$1:$B$999"))/VLOOKUP(G$1, Table1[#All],2, FALSE)</f>
        <v>0</v>
      </c>
      <c r="H12" s="8">
        <f ca="1">SUMIF(INDIRECT("'"&amp;$B12&amp;"'!$F$1:$F$999"), H$1, INDIRECT("'"&amp;$B12&amp;"'!$B$1:$B$999"))/VLOOKUP(H$1, Table1[#All],2, FALSE)</f>
        <v>0.98624999999999996</v>
      </c>
      <c r="I12" s="8">
        <f ca="1">SUMIF(INDIRECT("'"&amp;$B12&amp;"'!$F$1:$F$999"), I$1, INDIRECT("'"&amp;$B12&amp;"'!$B$1:$B$999"))/VLOOKUP(I$1, Table1[#All],2, FALSE)</f>
        <v>-0.51960000000000006</v>
      </c>
      <c r="J12" s="8">
        <f ca="1">SUMIF(INDIRECT("'"&amp;$B12&amp;"'!$F$1:$F$999"), J$1, INDIRECT("'"&amp;$B12&amp;"'!$B$1:$B$999"))/VLOOKUP(J$1, Table1[#All],2, FALSE)</f>
        <v>-5.1239999999999997</v>
      </c>
      <c r="K12" s="8">
        <f ca="1">SUMIF(INDIRECT("'"&amp;$B12&amp;"'!$F$1:$F$999"), K$1, INDIRECT("'"&amp;$B12&amp;"'!$B$1:$B$999"))/VLOOKUP(K$1, Table1[#All],2, FALSE)</f>
        <v>0</v>
      </c>
      <c r="L12" s="8">
        <f ca="1">SUMIF(INDIRECT("'"&amp;$B12&amp;"'!$F$1:$F$999"), L$1, INDIRECT("'"&amp;$B12&amp;"'!$B$1:$B$999"))/VLOOKUP(L$1, Table1[#All],2, FALSE)</f>
        <v>0</v>
      </c>
      <c r="M12" s="8">
        <f ca="1">SUMIF(INDIRECT("'"&amp;$B12&amp;"'!$F$1:$F$999"), M$1, INDIRECT("'"&amp;$B12&amp;"'!$B$1:$B$999"))/VLOOKUP(M$1, Table1[#All],2, FALSE)</f>
        <v>0</v>
      </c>
      <c r="N12" s="8">
        <f ca="1">SUMIF(INDIRECT("'"&amp;$B12&amp;"'!$F$1:$F$999"), N$1, INDIRECT("'"&amp;$B12&amp;"'!$B$1:$B$999"))/VLOOKUP(N$1, Table1[#All],2, FALSE)</f>
        <v>0</v>
      </c>
      <c r="O12" s="8">
        <f ca="1">SUMIF(INDIRECT("'"&amp;$B12&amp;"'!$F$1:$F$999"), O$1, INDIRECT("'"&amp;$B12&amp;"'!$B$1:$B$999"))/VLOOKUP(O$1, Table1[#All],2, FALSE)</f>
        <v>0</v>
      </c>
      <c r="P12" s="8">
        <f ca="1">SUMIF(INDIRECT("'"&amp;$B12&amp;"'!$F$1:$F$999"), P$1, INDIRECT("'"&amp;$B12&amp;"'!$B$1:$B$999"))/VLOOKUP(P$1, Table1[#All],2, FALSE)</f>
        <v>0</v>
      </c>
      <c r="Q12" s="8">
        <f ca="1">SUMIF(INDIRECT("'"&amp;$B12&amp;"'!$F$1:$F$999"), Q$1, INDIRECT("'"&amp;$B12&amp;"'!$B$1:$B$999"))/VLOOKUP(Q$1, Table1[#All],2, FALSE)</f>
        <v>0</v>
      </c>
      <c r="R12" s="8">
        <f ca="1">SUMIF(INDIRECT("'"&amp;$B12&amp;"'!$F$1:$F$999"), R$1, INDIRECT("'"&amp;$B12&amp;"'!$B$1:$B$999"))/VLOOKUP(R$1, Table1[#All],2, FALSE)</f>
        <v>0</v>
      </c>
      <c r="S12" s="8" t="e">
        <f ca="1">SUMIF(INDIRECT("'"&amp;$B12&amp;"'!$F$1:$F$999"), S$1, INDIRECT("'"&amp;$B12&amp;"'!$B$1:$B$999"))/VLOOKUP(S$1, Table1[#All],2, FALSE)</f>
        <v>#N/A</v>
      </c>
      <c r="T12" s="9">
        <f t="shared" ca="1" si="0"/>
        <v>4455.2099999999991</v>
      </c>
    </row>
    <row r="13" spans="1:23" x14ac:dyDescent="0.25">
      <c r="A13" s="13">
        <f t="shared" si="2"/>
        <v>43770</v>
      </c>
      <c r="B13" s="12" t="str">
        <f t="shared" si="1"/>
        <v>November 2019</v>
      </c>
      <c r="C13" s="8">
        <f ca="1">SUMIF(INDIRECT("'"&amp;$B13&amp;"'!$F$1:$F$999"), C$1, INDIRECT("'"&amp;$B13&amp;"'!$B$1:$B$999"))/VLOOKUP(C$1, Table1[#All],2, FALSE)</f>
        <v>1.1116928238262731</v>
      </c>
      <c r="D13" s="8">
        <f ca="1">SUMIF(INDIRECT("'"&amp;$B13&amp;"'!$F$1:$F$999"), D$1, INDIRECT("'"&amp;$B13&amp;"'!$B$1:$B$999"))/VLOOKUP(D$1, Table1[#All],2, FALSE)</f>
        <v>-1.0245000000000004</v>
      </c>
      <c r="E13" s="8">
        <f ca="1">SUMIF(INDIRECT("'"&amp;$B13&amp;"'!$F$1:$F$999"), E$1, INDIRECT("'"&amp;$B13&amp;"'!$B$1:$B$999"))/VLOOKUP(E$1, Table1[#All],2, FALSE)</f>
        <v>0</v>
      </c>
      <c r="F13" s="8">
        <f ca="1">SUMIF(INDIRECT("'"&amp;$B13&amp;"'!$F$1:$F$999"), F$1, INDIRECT("'"&amp;$B13&amp;"'!$B$1:$B$999"))/VLOOKUP(F$1, Table1[#All],2, FALSE)</f>
        <v>-1.1315</v>
      </c>
      <c r="G13" s="8">
        <f ca="1">SUMIF(INDIRECT("'"&amp;$B13&amp;"'!$F$1:$F$999"), G$1, INDIRECT("'"&amp;$B13&amp;"'!$B$1:$B$999"))/VLOOKUP(G$1, Table1[#All],2, FALSE)</f>
        <v>0</v>
      </c>
      <c r="H13" s="8">
        <f ca="1">SUMIF(INDIRECT("'"&amp;$B13&amp;"'!$F$1:$F$999"), H$1, INDIRECT("'"&amp;$B13&amp;"'!$B$1:$B$999"))/VLOOKUP(H$1, Table1[#All],2, FALSE)</f>
        <v>-1.0811500000000001</v>
      </c>
      <c r="I13" s="8">
        <f ca="1">SUMIF(INDIRECT("'"&amp;$B13&amp;"'!$F$1:$F$999"), I$1, INDIRECT("'"&amp;$B13&amp;"'!$B$1:$B$999"))/VLOOKUP(I$1, Table1[#All],2, FALSE)</f>
        <v>-0.47229999999999994</v>
      </c>
      <c r="J13" s="8">
        <f ca="1">SUMIF(INDIRECT("'"&amp;$B13&amp;"'!$F$1:$F$999"), J$1, INDIRECT("'"&amp;$B13&amp;"'!$B$1:$B$999"))/VLOOKUP(J$1, Table1[#All],2, FALSE)</f>
        <v>-1.6920000000000002</v>
      </c>
      <c r="K13" s="8">
        <f ca="1">SUMIF(INDIRECT("'"&amp;$B13&amp;"'!$F$1:$F$999"), K$1, INDIRECT("'"&amp;$B13&amp;"'!$B$1:$B$999"))/VLOOKUP(K$1, Table1[#All],2, FALSE)</f>
        <v>0</v>
      </c>
      <c r="L13" s="8">
        <f ca="1">SUMIF(INDIRECT("'"&amp;$B13&amp;"'!$F$1:$F$999"), L$1, INDIRECT("'"&amp;$B13&amp;"'!$B$1:$B$999"))/VLOOKUP(L$1, Table1[#All],2, FALSE)</f>
        <v>0</v>
      </c>
      <c r="M13" s="8">
        <f ca="1">SUMIF(INDIRECT("'"&amp;$B13&amp;"'!$F$1:$F$999"), M$1, INDIRECT("'"&amp;$B13&amp;"'!$B$1:$B$999"))/VLOOKUP(M$1, Table1[#All],2, FALSE)</f>
        <v>0</v>
      </c>
      <c r="N13" s="8">
        <f ca="1">SUMIF(INDIRECT("'"&amp;$B13&amp;"'!$F$1:$F$999"), N$1, INDIRECT("'"&amp;$B13&amp;"'!$B$1:$B$999"))/VLOOKUP(N$1, Table1[#All],2, FALSE)</f>
        <v>0</v>
      </c>
      <c r="O13" s="8">
        <f ca="1">SUMIF(INDIRECT("'"&amp;$B13&amp;"'!$F$1:$F$999"), O$1, INDIRECT("'"&amp;$B13&amp;"'!$B$1:$B$999"))/VLOOKUP(O$1, Table1[#All],2, FALSE)</f>
        <v>0</v>
      </c>
      <c r="P13" s="8">
        <f ca="1">SUMIF(INDIRECT("'"&amp;$B13&amp;"'!$F$1:$F$999"), P$1, INDIRECT("'"&amp;$B13&amp;"'!$B$1:$B$999"))/VLOOKUP(P$1, Table1[#All],2, FALSE)</f>
        <v>0</v>
      </c>
      <c r="Q13" s="8">
        <f ca="1">SUMIF(INDIRECT("'"&amp;$B13&amp;"'!$F$1:$F$999"), Q$1, INDIRECT("'"&amp;$B13&amp;"'!$B$1:$B$999"))/VLOOKUP(Q$1, Table1[#All],2, FALSE)</f>
        <v>0</v>
      </c>
      <c r="R13" s="8">
        <f ca="1">SUMIF(INDIRECT("'"&amp;$B13&amp;"'!$F$1:$F$999"), R$1, INDIRECT("'"&amp;$B13&amp;"'!$B$1:$B$999"))/VLOOKUP(R$1, Table1[#All],2, FALSE)</f>
        <v>0</v>
      </c>
      <c r="S13" s="8" t="e">
        <f ca="1">SUMIF(INDIRECT("'"&amp;$B13&amp;"'!$F$1:$F$999"), S$1, INDIRECT("'"&amp;$B13&amp;"'!$B$1:$B$999"))/VLOOKUP(S$1, Table1[#All],2, FALSE)</f>
        <v>#N/A</v>
      </c>
      <c r="T13" s="9">
        <f t="shared" ca="1" si="0"/>
        <v>3830.9500000000016</v>
      </c>
      <c r="V13" t="s">
        <v>383</v>
      </c>
    </row>
    <row r="14" spans="1:23" x14ac:dyDescent="0.25">
      <c r="A14" s="13">
        <f t="shared" si="2"/>
        <v>43800</v>
      </c>
      <c r="B14" s="12" t="str">
        <f t="shared" si="1"/>
        <v>December 2019</v>
      </c>
      <c r="C14" s="8">
        <f ca="1">SUMIF(INDIRECT("'"&amp;$B14&amp;"'!$F$1:$F$999"), C$1, INDIRECT("'"&amp;$B14&amp;"'!$B$1:$B$999"))/VLOOKUP(C$1, Table1[#All],2, FALSE)</f>
        <v>0.81726946016210422</v>
      </c>
      <c r="D14" s="8">
        <f ca="1">SUMIF(INDIRECT("'"&amp;$B14&amp;"'!$F$1:$F$999"), D$1, INDIRECT("'"&amp;$B14&amp;"'!$B$1:$B$999"))/VLOOKUP(D$1, Table1[#All],2, FALSE)</f>
        <v>-1.0990250000000001</v>
      </c>
      <c r="E14" s="8">
        <f ca="1">SUMIF(INDIRECT("'"&amp;$B14&amp;"'!$F$1:$F$999"), E$1, INDIRECT("'"&amp;$B14&amp;"'!$B$1:$B$999"))/VLOOKUP(E$1, Table1[#All],2, FALSE)</f>
        <v>-0.1740343347639485</v>
      </c>
      <c r="F14" s="8">
        <f ca="1">SUMIF(INDIRECT("'"&amp;$B14&amp;"'!$F$1:$F$999"), F$1, INDIRECT("'"&amp;$B14&amp;"'!$B$1:$B$999"))/VLOOKUP(F$1, Table1[#All],2, FALSE)</f>
        <v>-3.3601999999999999</v>
      </c>
      <c r="G14" s="8">
        <f ca="1">SUMIF(INDIRECT("'"&amp;$B14&amp;"'!$F$1:$F$999"), G$1, INDIRECT("'"&amp;$B14&amp;"'!$B$1:$B$999"))/VLOOKUP(G$1, Table1[#All],2, FALSE)</f>
        <v>-1.1718000000000002</v>
      </c>
      <c r="H14" s="8">
        <f ca="1">SUMIF(INDIRECT("'"&amp;$B14&amp;"'!$F$1:$F$999"), H$1, INDIRECT("'"&amp;$B14&amp;"'!$B$1:$B$999"))/VLOOKUP(H$1, Table1[#All],2, FALSE)</f>
        <v>-3.4958</v>
      </c>
      <c r="I14" s="8">
        <f ca="1">SUMIF(INDIRECT("'"&amp;$B14&amp;"'!$F$1:$F$999"), I$1, INDIRECT("'"&amp;$B14&amp;"'!$B$1:$B$999"))/VLOOKUP(I$1, Table1[#All],2, FALSE)</f>
        <v>-0.4708</v>
      </c>
      <c r="J14" s="8">
        <f ca="1">SUMIF(INDIRECT("'"&amp;$B14&amp;"'!$F$1:$F$999"), J$1, INDIRECT("'"&amp;$B14&amp;"'!$B$1:$B$999"))/VLOOKUP(J$1, Table1[#All],2, FALSE)</f>
        <v>-5.4610000000000003</v>
      </c>
      <c r="K14" s="8">
        <f ca="1">SUMIF(INDIRECT("'"&amp;$B14&amp;"'!$F$1:$F$999"), K$1, INDIRECT("'"&amp;$B14&amp;"'!$B$1:$B$999"))/VLOOKUP(K$1, Table1[#All],2, FALSE)</f>
        <v>0</v>
      </c>
      <c r="L14" s="8">
        <f ca="1">SUMIF(INDIRECT("'"&amp;$B14&amp;"'!$F$1:$F$999"), L$1, INDIRECT("'"&amp;$B14&amp;"'!$B$1:$B$999"))/VLOOKUP(L$1, Table1[#All],2, FALSE)</f>
        <v>0</v>
      </c>
      <c r="M14" s="8">
        <f ca="1">SUMIF(INDIRECT("'"&amp;$B14&amp;"'!$F$1:$F$999"), M$1, INDIRECT("'"&amp;$B14&amp;"'!$B$1:$B$999"))/VLOOKUP(M$1, Table1[#All],2, FALSE)</f>
        <v>0</v>
      </c>
      <c r="N14" s="8">
        <f ca="1">SUMIF(INDIRECT("'"&amp;$B14&amp;"'!$F$1:$F$999"), N$1, INDIRECT("'"&amp;$B14&amp;"'!$B$1:$B$999"))/VLOOKUP(N$1, Table1[#All],2, FALSE)</f>
        <v>0</v>
      </c>
      <c r="O14" s="8">
        <f ca="1">SUMIF(INDIRECT("'"&amp;$B14&amp;"'!$F$1:$F$999"), O$1, INDIRECT("'"&amp;$B14&amp;"'!$B$1:$B$999"))/VLOOKUP(O$1, Table1[#All],2, FALSE)</f>
        <v>0</v>
      </c>
      <c r="P14" s="8">
        <f ca="1">SUMIF(INDIRECT("'"&amp;$B14&amp;"'!$F$1:$F$999"), P$1, INDIRECT("'"&amp;$B14&amp;"'!$B$1:$B$999"))/VLOOKUP(P$1, Table1[#All],2, FALSE)</f>
        <v>0</v>
      </c>
      <c r="Q14" s="8">
        <f ca="1">SUMIF(INDIRECT("'"&amp;$B14&amp;"'!$F$1:$F$999"), Q$1, INDIRECT("'"&amp;$B14&amp;"'!$B$1:$B$999"))/VLOOKUP(Q$1, Table1[#All],2, FALSE)</f>
        <v>0</v>
      </c>
      <c r="R14" s="8">
        <f ca="1">SUMIF(INDIRECT("'"&amp;$B14&amp;"'!$F$1:$F$999"), R$1, INDIRECT("'"&amp;$B14&amp;"'!$B$1:$B$999"))/VLOOKUP(R$1, Table1[#All],2, FALSE)</f>
        <v>0</v>
      </c>
      <c r="S14" s="8" t="e">
        <f ca="1">SUMIF(INDIRECT("'"&amp;$B14&amp;"'!$F$1:$F$999"), S$1, INDIRECT("'"&amp;$B14&amp;"'!$B$1:$B$999"))/VLOOKUP(S$1, Table1[#All],2, FALSE)</f>
        <v>#N/A</v>
      </c>
      <c r="T14" s="9">
        <f t="shared" ca="1" si="0"/>
        <v>1913.6399999999996</v>
      </c>
    </row>
    <row r="15" spans="1:23" x14ac:dyDescent="0.25">
      <c r="A15" s="13">
        <f t="shared" si="2"/>
        <v>43831</v>
      </c>
      <c r="B15" s="12" t="str">
        <f t="shared" si="1"/>
        <v>January 2020</v>
      </c>
      <c r="C15" s="8">
        <f ca="1">SUMIF(INDIRECT("'"&amp;$B15&amp;"'!$F$1:$F$999"), C$1, INDIRECT("'"&amp;$B15&amp;"'!$B$1:$B$999"))/VLOOKUP(C$1, Table1[#All],2, FALSE)</f>
        <v>0.79253326196666152</v>
      </c>
      <c r="D15" s="8">
        <f ca="1">SUMIF(INDIRECT("'"&amp;$B15&amp;"'!$F$1:$F$999"), D$1, INDIRECT("'"&amp;$B15&amp;"'!$B$1:$B$999"))/VLOOKUP(D$1, Table1[#All],2, FALSE)</f>
        <v>-0.98037500000000022</v>
      </c>
      <c r="E15" s="8">
        <f ca="1">SUMIF(INDIRECT("'"&amp;$B15&amp;"'!$F$1:$F$999"), E$1, INDIRECT("'"&amp;$B15&amp;"'!$B$1:$B$999"))/VLOOKUP(E$1, Table1[#All],2, FALSE)</f>
        <v>4.5064377682403435E-2</v>
      </c>
      <c r="F15" s="8">
        <f ca="1">SUMIF(INDIRECT("'"&amp;$B15&amp;"'!$F$1:$F$999"), F$1, INDIRECT("'"&amp;$B15&amp;"'!$B$1:$B$999"))/VLOOKUP(F$1, Table1[#All],2, FALSE)</f>
        <v>-1.2893999999999999</v>
      </c>
      <c r="G15" s="8">
        <f ca="1">SUMIF(INDIRECT("'"&amp;$B15&amp;"'!$F$1:$F$999"), G$1, INDIRECT("'"&amp;$B15&amp;"'!$B$1:$B$999"))/VLOOKUP(G$1, Table1[#All],2, FALSE)</f>
        <v>-0.1109</v>
      </c>
      <c r="H15" s="8">
        <f ca="1">SUMIF(INDIRECT("'"&amp;$B15&amp;"'!$F$1:$F$999"), H$1, INDIRECT("'"&amp;$B15&amp;"'!$B$1:$B$999"))/VLOOKUP(H$1, Table1[#All],2, FALSE)</f>
        <v>-3.1918500000000001</v>
      </c>
      <c r="I15" s="8">
        <f ca="1">SUMIF(INDIRECT("'"&amp;$B15&amp;"'!$F$1:$F$999"), I$1, INDIRECT("'"&amp;$B15&amp;"'!$B$1:$B$999"))/VLOOKUP(I$1, Table1[#All],2, FALSE)</f>
        <v>-9.1189000000000018</v>
      </c>
      <c r="J15" s="8">
        <f ca="1">SUMIF(INDIRECT("'"&amp;$B15&amp;"'!$F$1:$F$999"), J$1, INDIRECT("'"&amp;$B15&amp;"'!$B$1:$B$999"))/VLOOKUP(J$1, Table1[#All],2, FALSE)</f>
        <v>0</v>
      </c>
      <c r="K15" s="8">
        <f ca="1">SUMIF(INDIRECT("'"&amp;$B15&amp;"'!$F$1:$F$999"), K$1, INDIRECT("'"&amp;$B15&amp;"'!$B$1:$B$999"))/VLOOKUP(K$1, Table1[#All],2, FALSE)</f>
        <v>0</v>
      </c>
      <c r="L15" s="8">
        <f ca="1">SUMIF(INDIRECT("'"&amp;$B15&amp;"'!$F$1:$F$999"), L$1, INDIRECT("'"&amp;$B15&amp;"'!$B$1:$B$999"))/VLOOKUP(L$1, Table1[#All],2, FALSE)</f>
        <v>0</v>
      </c>
      <c r="M15" s="8">
        <f ca="1">SUMIF(INDIRECT("'"&amp;$B15&amp;"'!$F$1:$F$999"), M$1, INDIRECT("'"&amp;$B15&amp;"'!$B$1:$B$999"))/VLOOKUP(M$1, Table1[#All],2, FALSE)</f>
        <v>0</v>
      </c>
      <c r="N15" s="8">
        <f ca="1">SUMIF(INDIRECT("'"&amp;$B15&amp;"'!$F$1:$F$999"), N$1, INDIRECT("'"&amp;$B15&amp;"'!$B$1:$B$999"))/VLOOKUP(N$1, Table1[#All],2, FALSE)</f>
        <v>0</v>
      </c>
      <c r="O15" s="8">
        <f ca="1">SUMIF(INDIRECT("'"&amp;$B15&amp;"'!$F$1:$F$999"), O$1, INDIRECT("'"&amp;$B15&amp;"'!$B$1:$B$999"))/VLOOKUP(O$1, Table1[#All],2, FALSE)</f>
        <v>0</v>
      </c>
      <c r="P15" s="8">
        <f ca="1">SUMIF(INDIRECT("'"&amp;$B15&amp;"'!$F$1:$F$999"), P$1, INDIRECT("'"&amp;$B15&amp;"'!$B$1:$B$999"))/VLOOKUP(P$1, Table1[#All],2, FALSE)</f>
        <v>0</v>
      </c>
      <c r="Q15" s="8">
        <f ca="1">SUMIF(INDIRECT("'"&amp;$B15&amp;"'!$F$1:$F$999"), Q$1, INDIRECT("'"&amp;$B15&amp;"'!$B$1:$B$999"))/VLOOKUP(Q$1, Table1[#All],2, FALSE)</f>
        <v>0</v>
      </c>
      <c r="R15" s="8">
        <f ca="1">SUMIF(INDIRECT("'"&amp;$B15&amp;"'!$F$1:$F$999"), R$1, INDIRECT("'"&amp;$B15&amp;"'!$B$1:$B$999"))/VLOOKUP(R$1, Table1[#All],2, FALSE)</f>
        <v>0</v>
      </c>
      <c r="S15" s="8" t="e">
        <f ca="1">SUMIF(INDIRECT("'"&amp;$B15&amp;"'!$F$1:$F$999"), S$1, INDIRECT("'"&amp;$B15&amp;"'!$B$1:$B$999"))/VLOOKUP(S$1, Table1[#All],2, FALSE)</f>
        <v>#N/A</v>
      </c>
      <c r="T15" s="9">
        <f t="shared" ca="1" si="0"/>
        <v>1129.2799999999995</v>
      </c>
      <c r="V15" s="1" t="s">
        <v>216</v>
      </c>
      <c r="W15" s="1" t="s">
        <v>217</v>
      </c>
    </row>
    <row r="16" spans="1:23" x14ac:dyDescent="0.25">
      <c r="A16" s="13">
        <f t="shared" si="2"/>
        <v>43862</v>
      </c>
      <c r="B16" s="12" t="str">
        <f t="shared" si="1"/>
        <v>February 2020</v>
      </c>
      <c r="C16" s="8">
        <f ca="1">SUMIF(INDIRECT("'"&amp;$B16&amp;"'!$F$1:$F$999"), C$1, INDIRECT("'"&amp;$B16&amp;"'!$B$1:$B$999"))/VLOOKUP(C$1, Table1[#All],2, FALSE)</f>
        <v>0.82945117755008402</v>
      </c>
      <c r="D16" s="8">
        <f ca="1">SUMIF(INDIRECT("'"&amp;$B16&amp;"'!$F$1:$F$999"), D$1, INDIRECT("'"&amp;$B16&amp;"'!$B$1:$B$999"))/VLOOKUP(D$1, Table1[#All],2, FALSE)</f>
        <v>-1.033725</v>
      </c>
      <c r="E16" s="8">
        <f ca="1">SUMIF(INDIRECT("'"&amp;$B16&amp;"'!$F$1:$F$999"), E$1, INDIRECT("'"&amp;$B16&amp;"'!$B$1:$B$999"))/VLOOKUP(E$1, Table1[#All],2, FALSE)</f>
        <v>4.5064377682403435E-2</v>
      </c>
      <c r="F16" s="8">
        <f ca="1">SUMIF(INDIRECT("'"&amp;$B16&amp;"'!$F$1:$F$999"), F$1, INDIRECT("'"&amp;$B16&amp;"'!$B$1:$B$999"))/VLOOKUP(F$1, Table1[#All],2, FALSE)</f>
        <v>-2.0102000000000002</v>
      </c>
      <c r="G16" s="8">
        <f ca="1">SUMIF(INDIRECT("'"&amp;$B16&amp;"'!$F$1:$F$999"), G$1, INDIRECT("'"&amp;$B16&amp;"'!$B$1:$B$999"))/VLOOKUP(G$1, Table1[#All],2, FALSE)</f>
        <v>0</v>
      </c>
      <c r="H16" s="8">
        <f ca="1">SUMIF(INDIRECT("'"&amp;$B16&amp;"'!$F$1:$F$999"), H$1, INDIRECT("'"&amp;$B16&amp;"'!$B$1:$B$999"))/VLOOKUP(H$1, Table1[#All],2, FALSE)</f>
        <v>0.97730000000000006</v>
      </c>
      <c r="I16" s="8">
        <f ca="1">SUMIF(INDIRECT("'"&amp;$B16&amp;"'!$F$1:$F$999"), I$1, INDIRECT("'"&amp;$B16&amp;"'!$B$1:$B$999"))/VLOOKUP(I$1, Table1[#All],2, FALSE)</f>
        <v>-0.49380000000000002</v>
      </c>
      <c r="J16" s="8">
        <f ca="1">SUMIF(INDIRECT("'"&amp;$B16&amp;"'!$F$1:$F$999"), J$1, INDIRECT("'"&amp;$B16&amp;"'!$B$1:$B$999"))/VLOOKUP(J$1, Table1[#All],2, FALSE)</f>
        <v>-1.101</v>
      </c>
      <c r="K16" s="8">
        <f ca="1">SUMIF(INDIRECT("'"&amp;$B16&amp;"'!$F$1:$F$999"), K$1, INDIRECT("'"&amp;$B16&amp;"'!$B$1:$B$999"))/VLOOKUP(K$1, Table1[#All],2, FALSE)</f>
        <v>0</v>
      </c>
      <c r="L16" s="8">
        <f ca="1">SUMIF(INDIRECT("'"&amp;$B16&amp;"'!$F$1:$F$999"), L$1, INDIRECT("'"&amp;$B16&amp;"'!$B$1:$B$999"))/VLOOKUP(L$1, Table1[#All],2, FALSE)</f>
        <v>0</v>
      </c>
      <c r="M16" s="8">
        <f ca="1">SUMIF(INDIRECT("'"&amp;$B16&amp;"'!$F$1:$F$999"), M$1, INDIRECT("'"&amp;$B16&amp;"'!$B$1:$B$999"))/VLOOKUP(M$1, Table1[#All],2, FALSE)</f>
        <v>0</v>
      </c>
      <c r="N16" s="8">
        <f ca="1">SUMIF(INDIRECT("'"&amp;$B16&amp;"'!$F$1:$F$999"), N$1, INDIRECT("'"&amp;$B16&amp;"'!$B$1:$B$999"))/VLOOKUP(N$1, Table1[#All],2, FALSE)</f>
        <v>0</v>
      </c>
      <c r="O16" s="8">
        <f ca="1">SUMIF(INDIRECT("'"&amp;$B16&amp;"'!$F$1:$F$999"), O$1, INDIRECT("'"&amp;$B16&amp;"'!$B$1:$B$999"))/VLOOKUP(O$1, Table1[#All],2, FALSE)</f>
        <v>0</v>
      </c>
      <c r="P16" s="8">
        <f ca="1">SUMIF(INDIRECT("'"&amp;$B16&amp;"'!$F$1:$F$999"), P$1, INDIRECT("'"&amp;$B16&amp;"'!$B$1:$B$999"))/VLOOKUP(P$1, Table1[#All],2, FALSE)</f>
        <v>0</v>
      </c>
      <c r="Q16" s="8">
        <f ca="1">SUMIF(INDIRECT("'"&amp;$B16&amp;"'!$F$1:$F$999"), Q$1, INDIRECT("'"&amp;$B16&amp;"'!$B$1:$B$999"))/VLOOKUP(Q$1, Table1[#All],2, FALSE)</f>
        <v>0</v>
      </c>
      <c r="R16" s="8">
        <f ca="1">SUMIF(INDIRECT("'"&amp;$B16&amp;"'!$F$1:$F$999"), R$1, INDIRECT("'"&amp;$B16&amp;"'!$B$1:$B$999"))/VLOOKUP(R$1, Table1[#All],2, FALSE)</f>
        <v>0</v>
      </c>
      <c r="S16" s="8" t="e">
        <f ca="1">SUMIF(INDIRECT("'"&amp;$B16&amp;"'!$F$1:$F$999"), S$1, INDIRECT("'"&amp;$B16&amp;"'!$B$1:$B$999"))/VLOOKUP(S$1, Table1[#All],2, FALSE)</f>
        <v>#N/A</v>
      </c>
      <c r="T16" s="9">
        <f t="shared" ca="1" si="0"/>
        <v>2842.74</v>
      </c>
      <c r="V16" t="s">
        <v>1</v>
      </c>
      <c r="W16">
        <v>4184.96</v>
      </c>
    </row>
    <row r="17" spans="1:24" x14ac:dyDescent="0.25">
      <c r="A17" s="13">
        <f t="shared" si="2"/>
        <v>43891</v>
      </c>
      <c r="B17" s="12" t="str">
        <f t="shared" si="1"/>
        <v>March 2020</v>
      </c>
      <c r="C17" s="8">
        <f ca="1">SUMIF(INDIRECT("'"&amp;$B17&amp;"'!$F$1:$F$999"), C$1, INDIRECT("'"&amp;$B17&amp;"'!$B$1:$B$999"))/VLOOKUP(C$1, Table1[#All],2, FALSE)</f>
        <v>0.82945117755008402</v>
      </c>
      <c r="D17" s="8">
        <f ca="1">SUMIF(INDIRECT("'"&amp;$B17&amp;"'!$F$1:$F$999"), D$1, INDIRECT("'"&amp;$B17&amp;"'!$B$1:$B$999"))/VLOOKUP(D$1, Table1[#All],2, FALSE)</f>
        <v>-0.93627499999999997</v>
      </c>
      <c r="E17" s="8">
        <f ca="1">SUMIF(INDIRECT("'"&amp;$B17&amp;"'!$F$1:$F$999"), E$1, INDIRECT("'"&amp;$B17&amp;"'!$B$1:$B$999"))/VLOOKUP(E$1, Table1[#All],2, FALSE)</f>
        <v>1.0600858369098714E-3</v>
      </c>
      <c r="F17" s="8">
        <f ca="1">SUMIF(INDIRECT("'"&amp;$B17&amp;"'!$F$1:$F$999"), F$1, INDIRECT("'"&amp;$B17&amp;"'!$B$1:$B$999"))/VLOOKUP(F$1, Table1[#All],2, FALSE)</f>
        <v>-1.5717000000000001</v>
      </c>
      <c r="G17" s="8">
        <f ca="1">SUMIF(INDIRECT("'"&amp;$B17&amp;"'!$F$1:$F$999"), G$1, INDIRECT("'"&amp;$B17&amp;"'!$B$1:$B$999"))/VLOOKUP(G$1, Table1[#All],2, FALSE)</f>
        <v>-5.5399999999999998E-2</v>
      </c>
      <c r="H17" s="8">
        <f ca="1">SUMIF(INDIRECT("'"&amp;$B17&amp;"'!$F$1:$F$999"), H$1, INDIRECT("'"&amp;$B17&amp;"'!$B$1:$B$999"))/VLOOKUP(H$1, Table1[#All],2, FALSE)</f>
        <v>0</v>
      </c>
      <c r="I17" s="8">
        <f ca="1">SUMIF(INDIRECT("'"&amp;$B17&amp;"'!$F$1:$F$999"), I$1, INDIRECT("'"&amp;$B17&amp;"'!$B$1:$B$999"))/VLOOKUP(I$1, Table1[#All],2, FALSE)</f>
        <v>-4.4199999999999996E-2</v>
      </c>
      <c r="J17" s="8">
        <f ca="1">SUMIF(INDIRECT("'"&amp;$B17&amp;"'!$F$1:$F$999"), J$1, INDIRECT("'"&amp;$B17&amp;"'!$B$1:$B$999"))/VLOOKUP(J$1, Table1[#All],2, FALSE)</f>
        <v>0</v>
      </c>
      <c r="K17" s="8">
        <f ca="1">SUMIF(INDIRECT("'"&amp;$B17&amp;"'!$F$1:$F$999"), K$1, INDIRECT("'"&amp;$B17&amp;"'!$B$1:$B$999"))/VLOOKUP(K$1, Table1[#All],2, FALSE)</f>
        <v>0</v>
      </c>
      <c r="L17" s="8">
        <f ca="1">SUMIF(INDIRECT("'"&amp;$B17&amp;"'!$F$1:$F$999"), L$1, INDIRECT("'"&amp;$B17&amp;"'!$B$1:$B$999"))/VLOOKUP(L$1, Table1[#All],2, FALSE)</f>
        <v>0</v>
      </c>
      <c r="M17" s="8">
        <f ca="1">SUMIF(INDIRECT("'"&amp;$B17&amp;"'!$F$1:$F$999"), M$1, INDIRECT("'"&amp;$B17&amp;"'!$B$1:$B$999"))/VLOOKUP(M$1, Table1[#All],2, FALSE)</f>
        <v>0</v>
      </c>
      <c r="N17" s="8">
        <f ca="1">SUMIF(INDIRECT("'"&amp;$B17&amp;"'!$F$1:$F$999"), N$1, INDIRECT("'"&amp;$B17&amp;"'!$B$1:$B$999"))/VLOOKUP(N$1, Table1[#All],2, FALSE)</f>
        <v>0</v>
      </c>
      <c r="O17" s="8">
        <f ca="1">SUMIF(INDIRECT("'"&amp;$B17&amp;"'!$F$1:$F$999"), O$1, INDIRECT("'"&amp;$B17&amp;"'!$B$1:$B$999"))/VLOOKUP(O$1, Table1[#All],2, FALSE)</f>
        <v>0</v>
      </c>
      <c r="P17" s="8">
        <f ca="1">SUMIF(INDIRECT("'"&amp;$B17&amp;"'!$F$1:$F$999"), P$1, INDIRECT("'"&amp;$B17&amp;"'!$B$1:$B$999"))/VLOOKUP(P$1, Table1[#All],2, FALSE)</f>
        <v>0</v>
      </c>
      <c r="Q17" s="8">
        <f ca="1">SUMIF(INDIRECT("'"&amp;$B17&amp;"'!$F$1:$F$999"), Q$1, INDIRECT("'"&amp;$B17&amp;"'!$B$1:$B$999"))/VLOOKUP(Q$1, Table1[#All],2, FALSE)</f>
        <v>0</v>
      </c>
      <c r="R17" s="8">
        <f ca="1">SUMIF(INDIRECT("'"&amp;$B17&amp;"'!$F$1:$F$999"), R$1, INDIRECT("'"&amp;$B17&amp;"'!$B$1:$B$999"))/VLOOKUP(R$1, Table1[#All],2, FALSE)</f>
        <v>-0.50723076923076926</v>
      </c>
      <c r="S17" s="8" t="e">
        <f ca="1">SUMIF(INDIRECT("'"&amp;$B17&amp;"'!$F$1:$F$999"), S$1, INDIRECT("'"&amp;$B17&amp;"'!$B$1:$B$999"))/VLOOKUP(S$1, Table1[#All],2, FALSE)</f>
        <v>#N/A</v>
      </c>
      <c r="T17" s="9">
        <f t="shared" ca="1" si="0"/>
        <v>2861.1700000000005</v>
      </c>
      <c r="V17" t="s">
        <v>3</v>
      </c>
      <c r="W17">
        <v>400</v>
      </c>
    </row>
    <row r="18" spans="1:24" x14ac:dyDescent="0.25">
      <c r="A18" s="13">
        <f t="shared" si="2"/>
        <v>43922</v>
      </c>
      <c r="B18" s="12" t="str">
        <f t="shared" si="1"/>
        <v>April 2020</v>
      </c>
      <c r="C18" s="8">
        <f ca="1">SUMIF(INDIRECT("'"&amp;$B18&amp;"'!$F$1:$F$999"), C$1, INDIRECT("'"&amp;$B18&amp;"'!$B$1:$B$999"))/VLOOKUP(C$1, Table1[#All],2, FALSE)</f>
        <v>2.2794220255390729</v>
      </c>
      <c r="D18" s="8">
        <f ca="1">SUMIF(INDIRECT("'"&amp;$B18&amp;"'!$F$1:$F$999"), D$1, INDIRECT("'"&amp;$B18&amp;"'!$B$1:$B$999"))/VLOOKUP(D$1, Table1[#All],2, FALSE)</f>
        <v>-0.74087500000000006</v>
      </c>
      <c r="E18" s="8">
        <f ca="1">SUMIF(INDIRECT("'"&amp;$B18&amp;"'!$F$1:$F$999"), E$1, INDIRECT("'"&amp;$B18&amp;"'!$B$1:$B$999"))/VLOOKUP(E$1, Table1[#All],2, FALSE)</f>
        <v>0</v>
      </c>
      <c r="F18" s="8">
        <f ca="1">SUMIF(INDIRECT("'"&amp;$B18&amp;"'!$F$1:$F$999"), F$1, INDIRECT("'"&amp;$B18&amp;"'!$B$1:$B$999"))/VLOOKUP(F$1, Table1[#All],2, FALSE)</f>
        <v>-0.29859999999999998</v>
      </c>
      <c r="G18" s="8">
        <f ca="1">SUMIF(INDIRECT("'"&amp;$B18&amp;"'!$F$1:$F$999"), G$1, INDIRECT("'"&amp;$B18&amp;"'!$B$1:$B$999"))/VLOOKUP(G$1, Table1[#All],2, FALSE)</f>
        <v>0</v>
      </c>
      <c r="H18" s="8">
        <f ca="1">SUMIF(INDIRECT("'"&amp;$B18&amp;"'!$F$1:$F$999"), H$1, INDIRECT("'"&amp;$B18&amp;"'!$B$1:$B$999"))/VLOOKUP(H$1, Table1[#All],2, FALSE)</f>
        <v>2.58005</v>
      </c>
      <c r="I18" s="8">
        <f ca="1">SUMIF(INDIRECT("'"&amp;$B18&amp;"'!$F$1:$F$999"), I$1, INDIRECT("'"&amp;$B18&amp;"'!$B$1:$B$999"))/VLOOKUP(I$1, Table1[#All],2, FALSE)</f>
        <v>0</v>
      </c>
      <c r="J18" s="8">
        <f ca="1">SUMIF(INDIRECT("'"&amp;$B18&amp;"'!$F$1:$F$999"), J$1, INDIRECT("'"&amp;$B18&amp;"'!$B$1:$B$999"))/VLOOKUP(J$1, Table1[#All],2, FALSE)</f>
        <v>0</v>
      </c>
      <c r="K18" s="8">
        <f ca="1">SUMIF(INDIRECT("'"&amp;$B18&amp;"'!$F$1:$F$999"), K$1, INDIRECT("'"&amp;$B18&amp;"'!$B$1:$B$999"))/VLOOKUP(K$1, Table1[#All],2, FALSE)</f>
        <v>0</v>
      </c>
      <c r="L18" s="8">
        <f ca="1">SUMIF(INDIRECT("'"&amp;$B18&amp;"'!$F$1:$F$999"), L$1, INDIRECT("'"&amp;$B18&amp;"'!$B$1:$B$999"))/VLOOKUP(L$1, Table1[#All],2, FALSE)</f>
        <v>0</v>
      </c>
      <c r="M18" s="8">
        <f ca="1">SUMIF(INDIRECT("'"&amp;$B18&amp;"'!$F$1:$F$999"), M$1, INDIRECT("'"&amp;$B18&amp;"'!$B$1:$B$999"))/VLOOKUP(M$1, Table1[#All],2, FALSE)</f>
        <v>0</v>
      </c>
      <c r="N18" s="8">
        <f ca="1">SUMIF(INDIRECT("'"&amp;$B18&amp;"'!$F$1:$F$999"), N$1, INDIRECT("'"&amp;$B18&amp;"'!$B$1:$B$999"))/VLOOKUP(N$1, Table1[#All],2, FALSE)</f>
        <v>0</v>
      </c>
      <c r="O18" s="8">
        <f ca="1">SUMIF(INDIRECT("'"&amp;$B18&amp;"'!$F$1:$F$999"), O$1, INDIRECT("'"&amp;$B18&amp;"'!$B$1:$B$999"))/VLOOKUP(O$1, Table1[#All],2, FALSE)</f>
        <v>0</v>
      </c>
      <c r="P18" s="8">
        <f ca="1">SUMIF(INDIRECT("'"&amp;$B18&amp;"'!$F$1:$F$999"), P$1, INDIRECT("'"&amp;$B18&amp;"'!$B$1:$B$999"))/VLOOKUP(P$1, Table1[#All],2, FALSE)</f>
        <v>0</v>
      </c>
      <c r="Q18" s="8">
        <f ca="1">SUMIF(INDIRECT("'"&amp;$B18&amp;"'!$F$1:$F$999"), Q$1, INDIRECT("'"&amp;$B18&amp;"'!$B$1:$B$999"))/VLOOKUP(Q$1, Table1[#All],2, FALSE)</f>
        <v>0</v>
      </c>
      <c r="R18" s="8">
        <f ca="1">SUMIF(INDIRECT("'"&amp;$B18&amp;"'!$F$1:$F$999"), R$1, INDIRECT("'"&amp;$B18&amp;"'!$B$1:$B$999"))/VLOOKUP(R$1, Table1[#All],2, FALSE)</f>
        <v>-0.4367692307692308</v>
      </c>
      <c r="S18" s="8" t="e">
        <f ca="1">SUMIF(INDIRECT("'"&amp;$B18&amp;"'!$F$1:$F$999"), S$1, INDIRECT("'"&amp;$B18&amp;"'!$B$1:$B$999"))/VLOOKUP(S$1, Table1[#All],2, FALSE)</f>
        <v>#N/A</v>
      </c>
      <c r="T18" s="9">
        <f t="shared" ca="1" si="0"/>
        <v>9672.3100000000013</v>
      </c>
      <c r="V18" t="s">
        <v>6</v>
      </c>
      <c r="W18">
        <f>-W11</f>
        <v>-2330</v>
      </c>
      <c r="X18" s="1" t="s">
        <v>222</v>
      </c>
    </row>
    <row r="19" spans="1:24" x14ac:dyDescent="0.25">
      <c r="A19" s="13">
        <f t="shared" si="2"/>
        <v>43952</v>
      </c>
      <c r="B19" s="12" t="str">
        <f t="shared" si="1"/>
        <v>May 2020</v>
      </c>
      <c r="C19" s="8">
        <f ca="1">SUMIF(INDIRECT("'"&amp;$B19&amp;"'!$F$1:$F$999"), C$1, INDIRECT("'"&amp;$B19&amp;"'!$B$1:$B$999"))/VLOOKUP(C$1, Table1[#All],2, FALSE)</f>
        <v>0.84293278788805626</v>
      </c>
      <c r="D19" s="8">
        <f ca="1">SUMIF(INDIRECT("'"&amp;$B19&amp;"'!$F$1:$F$999"), D$1, INDIRECT("'"&amp;$B19&amp;"'!$B$1:$B$999"))/VLOOKUP(D$1, Table1[#All],2, FALSE)</f>
        <v>-1.679325</v>
      </c>
      <c r="E19" s="8">
        <f ca="1">SUMIF(INDIRECT("'"&amp;$B19&amp;"'!$F$1:$F$999"), E$1, INDIRECT("'"&amp;$B19&amp;"'!$B$1:$B$999"))/VLOOKUP(E$1, Table1[#All],2, FALSE)</f>
        <v>0</v>
      </c>
      <c r="F19" s="8">
        <f ca="1">SUMIF(INDIRECT("'"&amp;$B19&amp;"'!$F$1:$F$999"), F$1, INDIRECT("'"&amp;$B19&amp;"'!$B$1:$B$999"))/VLOOKUP(F$1, Table1[#All],2, FALSE)</f>
        <v>-1.0407</v>
      </c>
      <c r="G19" s="8">
        <f ca="1">SUMIF(INDIRECT("'"&amp;$B19&amp;"'!$F$1:$F$999"), G$1, INDIRECT("'"&amp;$B19&amp;"'!$B$1:$B$999"))/VLOOKUP(G$1, Table1[#All],2, FALSE)</f>
        <v>0</v>
      </c>
      <c r="H19" s="8">
        <f ca="1">SUMIF(INDIRECT("'"&amp;$B19&amp;"'!$F$1:$F$999"), H$1, INDIRECT("'"&amp;$B19&amp;"'!$B$1:$B$999"))/VLOOKUP(H$1, Table1[#All],2, FALSE)</f>
        <v>0</v>
      </c>
      <c r="I19" s="8">
        <f ca="1">SUMIF(INDIRECT("'"&amp;$B19&amp;"'!$F$1:$F$999"), I$1, INDIRECT("'"&amp;$B19&amp;"'!$B$1:$B$999"))/VLOOKUP(I$1, Table1[#All],2, FALSE)</f>
        <v>-0.441</v>
      </c>
      <c r="J19" s="8">
        <f ca="1">SUMIF(INDIRECT("'"&amp;$B19&amp;"'!$F$1:$F$999"), J$1, INDIRECT("'"&amp;$B19&amp;"'!$B$1:$B$999"))/VLOOKUP(J$1, Table1[#All],2, FALSE)</f>
        <v>0</v>
      </c>
      <c r="K19" s="8">
        <f ca="1">SUMIF(INDIRECT("'"&amp;$B19&amp;"'!$F$1:$F$999"), K$1, INDIRECT("'"&amp;$B19&amp;"'!$B$1:$B$999"))/VLOOKUP(K$1, Table1[#All],2, FALSE)</f>
        <v>0</v>
      </c>
      <c r="L19" s="8">
        <f ca="1">SUMIF(INDIRECT("'"&amp;$B19&amp;"'!$F$1:$F$999"), L$1, INDIRECT("'"&amp;$B19&amp;"'!$B$1:$B$999"))/VLOOKUP(L$1, Table1[#All],2, FALSE)</f>
        <v>0</v>
      </c>
      <c r="M19" s="8">
        <f ca="1">SUMIF(INDIRECT("'"&amp;$B19&amp;"'!$F$1:$F$999"), M$1, INDIRECT("'"&amp;$B19&amp;"'!$B$1:$B$999"))/VLOOKUP(M$1, Table1[#All],2, FALSE)</f>
        <v>0</v>
      </c>
      <c r="N19" s="8">
        <f ca="1">SUMIF(INDIRECT("'"&amp;$B19&amp;"'!$F$1:$F$999"), N$1, INDIRECT("'"&amp;$B19&amp;"'!$B$1:$B$999"))/VLOOKUP(N$1, Table1[#All],2, FALSE)</f>
        <v>0</v>
      </c>
      <c r="O19" s="8">
        <f ca="1">SUMIF(INDIRECT("'"&amp;$B19&amp;"'!$F$1:$F$999"), O$1, INDIRECT("'"&amp;$B19&amp;"'!$B$1:$B$999"))/VLOOKUP(O$1, Table1[#All],2, FALSE)</f>
        <v>0</v>
      </c>
      <c r="P19" s="8">
        <f ca="1">SUMIF(INDIRECT("'"&amp;$B19&amp;"'!$F$1:$F$999"), P$1, INDIRECT("'"&amp;$B19&amp;"'!$B$1:$B$999"))/VLOOKUP(P$1, Table1[#All],2, FALSE)</f>
        <v>0</v>
      </c>
      <c r="Q19" s="8">
        <f ca="1">SUMIF(INDIRECT("'"&amp;$B19&amp;"'!$F$1:$F$999"), Q$1, INDIRECT("'"&amp;$B19&amp;"'!$B$1:$B$999"))/VLOOKUP(Q$1, Table1[#All],2, FALSE)</f>
        <v>0</v>
      </c>
      <c r="R19" s="8">
        <f ca="1">SUMIF(INDIRECT("'"&amp;$B19&amp;"'!$F$1:$F$999"), R$1, INDIRECT("'"&amp;$B19&amp;"'!$B$1:$B$999"))/VLOOKUP(R$1, Table1[#All],2, FALSE)</f>
        <v>-0.4367692307692308</v>
      </c>
      <c r="S19" s="8" t="e">
        <f ca="1">SUMIF(INDIRECT("'"&amp;$B19&amp;"'!$F$1:$F$999"), S$1, INDIRECT("'"&amp;$B19&amp;"'!$B$1:$B$999"))/VLOOKUP(S$1, Table1[#All],2, FALSE)</f>
        <v>#N/A</v>
      </c>
      <c r="T19" s="9">
        <f t="shared" ca="1" si="0"/>
        <v>2650.9599999999991</v>
      </c>
      <c r="V19" t="s">
        <v>5</v>
      </c>
      <c r="W19">
        <v>100</v>
      </c>
    </row>
    <row r="20" spans="1:24" x14ac:dyDescent="0.25">
      <c r="A20" s="13">
        <f t="shared" si="2"/>
        <v>43983</v>
      </c>
      <c r="B20" s="12" t="str">
        <f t="shared" si="1"/>
        <v>June 2020</v>
      </c>
      <c r="C20" s="8">
        <f ca="1">SUMIF(INDIRECT("'"&amp;$B20&amp;"'!$F$1:$F$999"), C$1, INDIRECT("'"&amp;$B20&amp;"'!$B$1:$B$999"))/VLOOKUP(C$1, Table1[#All],2, FALSE)</f>
        <v>0.84293278788805626</v>
      </c>
      <c r="D20" s="8">
        <f ca="1">SUMIF(INDIRECT("'"&amp;$B20&amp;"'!$F$1:$F$999"), D$1, INDIRECT("'"&amp;$B20&amp;"'!$B$1:$B$999"))/VLOOKUP(D$1, Table1[#All],2, FALSE)</f>
        <v>-2.1377749999999995</v>
      </c>
      <c r="E20" s="8">
        <f ca="1">SUMIF(INDIRECT("'"&amp;$B20&amp;"'!$F$1:$F$999"), E$1, INDIRECT("'"&amp;$B20&amp;"'!$B$1:$B$999"))/VLOOKUP(E$1, Table1[#All],2, FALSE)</f>
        <v>0</v>
      </c>
      <c r="F20" s="8">
        <f ca="1">SUMIF(INDIRECT("'"&amp;$B20&amp;"'!$F$1:$F$999"), F$1, INDIRECT("'"&amp;$B20&amp;"'!$B$1:$B$999"))/VLOOKUP(F$1, Table1[#All],2, FALSE)</f>
        <v>-2.8543000000000003</v>
      </c>
      <c r="G20" s="8">
        <f ca="1">SUMIF(INDIRECT("'"&amp;$B20&amp;"'!$F$1:$F$999"), G$1, INDIRECT("'"&amp;$B20&amp;"'!$B$1:$B$999"))/VLOOKUP(G$1, Table1[#All],2, FALSE)</f>
        <v>0</v>
      </c>
      <c r="H20" s="8">
        <f ca="1">SUMIF(INDIRECT("'"&amp;$B20&amp;"'!$F$1:$F$999"), H$1, INDIRECT("'"&amp;$B20&amp;"'!$B$1:$B$999"))/VLOOKUP(H$1, Table1[#All],2, FALSE)</f>
        <v>0</v>
      </c>
      <c r="I20" s="8">
        <f ca="1">SUMIF(INDIRECT("'"&amp;$B20&amp;"'!$F$1:$F$999"), I$1, INDIRECT("'"&amp;$B20&amp;"'!$B$1:$B$999"))/VLOOKUP(I$1, Table1[#All],2, FALSE)</f>
        <v>-9.0999999999999998E-2</v>
      </c>
      <c r="J20" s="8">
        <f ca="1">SUMIF(INDIRECT("'"&amp;$B20&amp;"'!$F$1:$F$999"), J$1, INDIRECT("'"&amp;$B20&amp;"'!$B$1:$B$999"))/VLOOKUP(J$1, Table1[#All],2, FALSE)</f>
        <v>-4.1786000000000003</v>
      </c>
      <c r="K20" s="8">
        <f ca="1">SUMIF(INDIRECT("'"&amp;$B20&amp;"'!$F$1:$F$999"), K$1, INDIRECT("'"&amp;$B20&amp;"'!$B$1:$B$999"))/VLOOKUP(K$1, Table1[#All],2, FALSE)</f>
        <v>0</v>
      </c>
      <c r="L20" s="8">
        <f ca="1">SUMIF(INDIRECT("'"&amp;$B20&amp;"'!$F$1:$F$999"), L$1, INDIRECT("'"&amp;$B20&amp;"'!$B$1:$B$999"))/VLOOKUP(L$1, Table1[#All],2, FALSE)</f>
        <v>0</v>
      </c>
      <c r="M20" s="8">
        <f ca="1">SUMIF(INDIRECT("'"&amp;$B20&amp;"'!$F$1:$F$999"), M$1, INDIRECT("'"&amp;$B20&amp;"'!$B$1:$B$999"))/VLOOKUP(M$1, Table1[#All],2, FALSE)</f>
        <v>0</v>
      </c>
      <c r="N20" s="8">
        <f ca="1">SUMIF(INDIRECT("'"&amp;$B20&amp;"'!$F$1:$F$999"), N$1, INDIRECT("'"&amp;$B20&amp;"'!$B$1:$B$999"))/VLOOKUP(N$1, Table1[#All],2, FALSE)</f>
        <v>0</v>
      </c>
      <c r="O20" s="8">
        <f ca="1">SUMIF(INDIRECT("'"&amp;$B20&amp;"'!$F$1:$F$999"), O$1, INDIRECT("'"&amp;$B20&amp;"'!$B$1:$B$999"))/VLOOKUP(O$1, Table1[#All],2, FALSE)</f>
        <v>0</v>
      </c>
      <c r="P20" s="8">
        <f ca="1">SUMIF(INDIRECT("'"&amp;$B20&amp;"'!$F$1:$F$999"), P$1, INDIRECT("'"&amp;$B20&amp;"'!$B$1:$B$999"))/VLOOKUP(P$1, Table1[#All],2, FALSE)</f>
        <v>0</v>
      </c>
      <c r="Q20" s="8">
        <f ca="1">SUMIF(INDIRECT("'"&amp;$B20&amp;"'!$F$1:$F$999"), Q$1, INDIRECT("'"&amp;$B20&amp;"'!$B$1:$B$999"))/VLOOKUP(Q$1, Table1[#All],2, FALSE)</f>
        <v>0</v>
      </c>
      <c r="R20" s="8">
        <f ca="1">SUMIF(INDIRECT("'"&amp;$B20&amp;"'!$F$1:$F$999"), R$1, INDIRECT("'"&amp;$B20&amp;"'!$B$1:$B$999"))/VLOOKUP(R$1, Table1[#All],2, FALSE)</f>
        <v>-0.4367692307692308</v>
      </c>
      <c r="S20" s="8" t="e">
        <f ca="1">SUMIF(INDIRECT("'"&amp;$B20&amp;"'!$F$1:$F$999"), S$1, INDIRECT("'"&amp;$B20&amp;"'!$B$1:$B$999"))/VLOOKUP(S$1, Table1[#All],2, FALSE)</f>
        <v>#N/A</v>
      </c>
      <c r="T20" s="9">
        <f t="shared" ca="1" si="0"/>
        <v>2112.29</v>
      </c>
      <c r="V20" t="s">
        <v>2</v>
      </c>
      <c r="W20">
        <v>100</v>
      </c>
    </row>
    <row r="21" spans="1:24" x14ac:dyDescent="0.25">
      <c r="A21" s="13">
        <f t="shared" si="2"/>
        <v>44013</v>
      </c>
      <c r="B21" s="12" t="str">
        <f t="shared" si="1"/>
        <v>July 2020</v>
      </c>
      <c r="C21" s="8">
        <f ca="1">SUMIF(INDIRECT("'"&amp;$B21&amp;"'!$F$1:$F$999"), C$1, INDIRECT("'"&amp;$B21&amp;"'!$B$1:$B$999"))/VLOOKUP(C$1, Table1[#All],2, FALSE)</f>
        <v>0.97671662333690157</v>
      </c>
      <c r="D21" s="8">
        <f ca="1">SUMIF(INDIRECT("'"&amp;$B21&amp;"'!$F$1:$F$999"), D$1, INDIRECT("'"&amp;$B21&amp;"'!$B$1:$B$999"))/VLOOKUP(D$1, Table1[#All],2, FALSE)</f>
        <v>-3.2423750000000009</v>
      </c>
      <c r="E21" s="8">
        <f ca="1">SUMIF(INDIRECT("'"&amp;$B21&amp;"'!$F$1:$F$999"), E$1, INDIRECT("'"&amp;$B21&amp;"'!$B$1:$B$999"))/VLOOKUP(E$1, Table1[#All],2, FALSE)</f>
        <v>4.5064377682403435E-2</v>
      </c>
      <c r="F21" s="8">
        <f ca="1">SUMIF(INDIRECT("'"&amp;$B21&amp;"'!$F$1:$F$999"), F$1, INDIRECT("'"&amp;$B21&amp;"'!$B$1:$B$999"))/VLOOKUP(F$1, Table1[#All],2, FALSE)</f>
        <v>-0.51619999999999999</v>
      </c>
      <c r="G21" s="8">
        <f ca="1">SUMIF(INDIRECT("'"&amp;$B21&amp;"'!$F$1:$F$999"), G$1, INDIRECT("'"&amp;$B21&amp;"'!$B$1:$B$999"))/VLOOKUP(G$1, Table1[#All],2, FALSE)</f>
        <v>-2.0194999999999999</v>
      </c>
      <c r="H21" s="8">
        <f ca="1">SUMIF(INDIRECT("'"&amp;$B21&amp;"'!$F$1:$F$999"), H$1, INDIRECT("'"&amp;$B21&amp;"'!$B$1:$B$999"))/VLOOKUP(H$1, Table1[#All],2, FALSE)</f>
        <v>-1.4573999999999998</v>
      </c>
      <c r="I21" s="8">
        <f ca="1">SUMIF(INDIRECT("'"&amp;$B21&amp;"'!$F$1:$F$999"), I$1, INDIRECT("'"&amp;$B21&amp;"'!$B$1:$B$999"))/VLOOKUP(I$1, Table1[#All],2, FALSE)</f>
        <v>-4.6156000000000006</v>
      </c>
      <c r="J21" s="8">
        <f ca="1">SUMIF(INDIRECT("'"&amp;$B21&amp;"'!$F$1:$F$999"), J$1, INDIRECT("'"&amp;$B21&amp;"'!$B$1:$B$999"))/VLOOKUP(J$1, Table1[#All],2, FALSE)</f>
        <v>0</v>
      </c>
      <c r="K21" s="8">
        <f ca="1">SUMIF(INDIRECT("'"&amp;$B21&amp;"'!$F$1:$F$999"), K$1, INDIRECT("'"&amp;$B21&amp;"'!$B$1:$B$999"))/VLOOKUP(K$1, Table1[#All],2, FALSE)</f>
        <v>0</v>
      </c>
      <c r="L21" s="8">
        <f ca="1">SUMIF(INDIRECT("'"&amp;$B21&amp;"'!$F$1:$F$999"), L$1, INDIRECT("'"&amp;$B21&amp;"'!$B$1:$B$999"))/VLOOKUP(L$1, Table1[#All],2, FALSE)</f>
        <v>0</v>
      </c>
      <c r="M21" s="8">
        <f ca="1">SUMIF(INDIRECT("'"&amp;$B21&amp;"'!$F$1:$F$999"), M$1, INDIRECT("'"&amp;$B21&amp;"'!$B$1:$B$999"))/VLOOKUP(M$1, Table1[#All],2, FALSE)</f>
        <v>0</v>
      </c>
      <c r="N21" s="8">
        <f ca="1">SUMIF(INDIRECT("'"&amp;$B21&amp;"'!$F$1:$F$999"), N$1, INDIRECT("'"&amp;$B21&amp;"'!$B$1:$B$999"))/VLOOKUP(N$1, Table1[#All],2, FALSE)</f>
        <v>0</v>
      </c>
      <c r="O21" s="8">
        <f ca="1">SUMIF(INDIRECT("'"&amp;$B21&amp;"'!$F$1:$F$999"), O$1, INDIRECT("'"&amp;$B21&amp;"'!$B$1:$B$999"))/VLOOKUP(O$1, Table1[#All],2, FALSE)</f>
        <v>0</v>
      </c>
      <c r="P21" s="8">
        <f ca="1">SUMIF(INDIRECT("'"&amp;$B21&amp;"'!$F$1:$F$999"), P$1, INDIRECT("'"&amp;$B21&amp;"'!$B$1:$B$999"))/VLOOKUP(P$1, Table1[#All],2, FALSE)</f>
        <v>0</v>
      </c>
      <c r="Q21" s="8">
        <f ca="1">SUMIF(INDIRECT("'"&amp;$B21&amp;"'!$F$1:$F$999"), Q$1, INDIRECT("'"&amp;$B21&amp;"'!$B$1:$B$999"))/VLOOKUP(Q$1, Table1[#All],2, FALSE)</f>
        <v>0</v>
      </c>
      <c r="R21" s="8">
        <f ca="1">SUMIF(INDIRECT("'"&amp;$B21&amp;"'!$F$1:$F$999"), R$1, INDIRECT("'"&amp;$B21&amp;"'!$B$1:$B$999"))/VLOOKUP(R$1, Table1[#All],2, FALSE)</f>
        <v>-0.4367692307692308</v>
      </c>
      <c r="S21" s="8" t="e">
        <f ca="1">SUMIF(INDIRECT("'"&amp;$B21&amp;"'!$F$1:$F$999"), S$1, INDIRECT("'"&amp;$B21&amp;"'!$B$1:$B$999"))/VLOOKUP(S$1, Table1[#All],2, FALSE)</f>
        <v>#N/A</v>
      </c>
      <c r="T21" s="9">
        <f t="shared" ca="1" si="0"/>
        <v>1622.1799999999996</v>
      </c>
      <c r="V21" t="s">
        <v>11</v>
      </c>
      <c r="W21">
        <v>200</v>
      </c>
    </row>
    <row r="22" spans="1:24" x14ac:dyDescent="0.25">
      <c r="A22" s="13">
        <f t="shared" si="2"/>
        <v>44044</v>
      </c>
      <c r="B22" s="12" t="str">
        <f t="shared" si="1"/>
        <v>August 2020</v>
      </c>
      <c r="C22" s="8">
        <f ca="1">SUMIF(INDIRECT("'"&amp;$B22&amp;"'!$F$1:$F$999"), C$1, INDIRECT("'"&amp;$B22&amp;"'!$B$1:$B$999"))/VLOOKUP(C$1, Table1[#All],2, FALSE)</f>
        <v>1.2636703815568129</v>
      </c>
      <c r="D22" s="8">
        <f ca="1">SUMIF(INDIRECT("'"&amp;$B22&amp;"'!$F$1:$F$999"), D$1, INDIRECT("'"&amp;$B22&amp;"'!$B$1:$B$999"))/VLOOKUP(D$1, Table1[#All],2, FALSE)</f>
        <v>-2.8996250000000003</v>
      </c>
      <c r="E22" s="8">
        <f ca="1">SUMIF(INDIRECT("'"&amp;$B22&amp;"'!$F$1:$F$999"), E$1, INDIRECT("'"&amp;$B22&amp;"'!$B$1:$B$999"))/VLOOKUP(E$1, Table1[#All],2, FALSE)</f>
        <v>0</v>
      </c>
      <c r="F22" s="8">
        <f ca="1">SUMIF(INDIRECT("'"&amp;$B22&amp;"'!$F$1:$F$999"), F$1, INDIRECT("'"&amp;$B22&amp;"'!$B$1:$B$999"))/VLOOKUP(F$1, Table1[#All],2, FALSE)</f>
        <v>-1.2908000000000002</v>
      </c>
      <c r="G22" s="8">
        <f ca="1">SUMIF(INDIRECT("'"&amp;$B22&amp;"'!$F$1:$F$999"), G$1, INDIRECT("'"&amp;$B22&amp;"'!$B$1:$B$999"))/VLOOKUP(G$1, Table1[#All],2, FALSE)</f>
        <v>-25.038800000000002</v>
      </c>
      <c r="H22" s="8">
        <f ca="1">SUMIF(INDIRECT("'"&amp;$B22&amp;"'!$F$1:$F$999"), H$1, INDIRECT("'"&amp;$B22&amp;"'!$B$1:$B$999"))/VLOOKUP(H$1, Table1[#All],2, FALSE)</f>
        <v>-0.77244999999999986</v>
      </c>
      <c r="I22" s="8">
        <f ca="1">SUMIF(INDIRECT("'"&amp;$B22&amp;"'!$F$1:$F$999"), I$1, INDIRECT("'"&amp;$B22&amp;"'!$B$1:$B$999"))/VLOOKUP(I$1, Table1[#All],2, FALSE)</f>
        <v>-0.1963</v>
      </c>
      <c r="J22" s="8">
        <f ca="1">SUMIF(INDIRECT("'"&amp;$B22&amp;"'!$F$1:$F$999"), J$1, INDIRECT("'"&amp;$B22&amp;"'!$B$1:$B$999"))/VLOOKUP(J$1, Table1[#All],2, FALSE)</f>
        <v>-18.5136</v>
      </c>
      <c r="K22" s="8">
        <f ca="1">SUMIF(INDIRECT("'"&amp;$B22&amp;"'!$F$1:$F$999"), K$1, INDIRECT("'"&amp;$B22&amp;"'!$B$1:$B$999"))/VLOOKUP(K$1, Table1[#All],2, FALSE)</f>
        <v>0</v>
      </c>
      <c r="L22" s="8">
        <f ca="1">SUMIF(INDIRECT("'"&amp;$B22&amp;"'!$F$1:$F$999"), L$1, INDIRECT("'"&amp;$B22&amp;"'!$B$1:$B$999"))/VLOOKUP(L$1, Table1[#All],2, FALSE)</f>
        <v>0</v>
      </c>
      <c r="M22" s="8">
        <f ca="1">SUMIF(INDIRECT("'"&amp;$B22&amp;"'!$F$1:$F$999"), M$1, INDIRECT("'"&amp;$B22&amp;"'!$B$1:$B$999"))/VLOOKUP(M$1, Table1[#All],2, FALSE)</f>
        <v>0</v>
      </c>
      <c r="N22" s="8">
        <f ca="1">SUMIF(INDIRECT("'"&amp;$B22&amp;"'!$F$1:$F$999"), N$1, INDIRECT("'"&amp;$B22&amp;"'!$B$1:$B$999"))/VLOOKUP(N$1, Table1[#All],2, FALSE)</f>
        <v>0</v>
      </c>
      <c r="O22" s="8">
        <f ca="1">SUMIF(INDIRECT("'"&amp;$B22&amp;"'!$F$1:$F$999"), O$1, INDIRECT("'"&amp;$B22&amp;"'!$B$1:$B$999"))/VLOOKUP(O$1, Table1[#All],2, FALSE)</f>
        <v>0</v>
      </c>
      <c r="P22" s="8">
        <f ca="1">SUMIF(INDIRECT("'"&amp;$B22&amp;"'!$F$1:$F$999"), P$1, INDIRECT("'"&amp;$B22&amp;"'!$B$1:$B$999"))/VLOOKUP(P$1, Table1[#All],2, FALSE)</f>
        <v>0</v>
      </c>
      <c r="Q22" s="8">
        <f ca="1">SUMIF(INDIRECT("'"&amp;$B22&amp;"'!$F$1:$F$999"), Q$1, INDIRECT("'"&amp;$B22&amp;"'!$B$1:$B$999"))/VLOOKUP(Q$1, Table1[#All],2, FALSE)</f>
        <v>0</v>
      </c>
      <c r="R22" s="8">
        <f ca="1">SUMIF(INDIRECT("'"&amp;$B22&amp;"'!$F$1:$F$999"), R$1, INDIRECT("'"&amp;$B22&amp;"'!$B$1:$B$999"))/VLOOKUP(R$1, Table1[#All],2, FALSE)</f>
        <v>-0.82100000000000006</v>
      </c>
      <c r="S22" s="8" t="e">
        <f ca="1">SUMIF(INDIRECT("'"&amp;$B22&amp;"'!$F$1:$F$999"), S$1, INDIRECT("'"&amp;$B22&amp;"'!$B$1:$B$999"))/VLOOKUP(S$1, Table1[#All],2, FALSE)</f>
        <v>#N/A</v>
      </c>
      <c r="T22" s="9">
        <f t="shared" ca="1" si="0"/>
        <v>289.06999999999977</v>
      </c>
      <c r="V22" t="s">
        <v>7</v>
      </c>
      <c r="W22">
        <v>100</v>
      </c>
    </row>
    <row r="23" spans="1:24" x14ac:dyDescent="0.25">
      <c r="A23" s="13">
        <f t="shared" si="2"/>
        <v>44075</v>
      </c>
      <c r="B23" s="12" t="str">
        <f t="shared" si="1"/>
        <v>September 2020</v>
      </c>
      <c r="C23" s="8">
        <f ca="1">SUMIF(INDIRECT("'"&amp;$B23&amp;"'!$F$1:$F$999"), C$1, INDIRECT("'"&amp;$B23&amp;"'!$B$1:$B$999"))/VLOOKUP(C$1, Table1[#All],2, FALSE)</f>
        <v>1</v>
      </c>
      <c r="D23" s="8">
        <f ca="1">SUMIF(INDIRECT("'"&amp;$B23&amp;"'!$F$1:$F$999"), D$1, INDIRECT("'"&amp;$B23&amp;"'!$B$1:$B$999"))/VLOOKUP(D$1, Table1[#All],2, FALSE)</f>
        <v>-0.99689999999999979</v>
      </c>
      <c r="E23" s="8">
        <f ca="1">SUMIF(INDIRECT("'"&amp;$B23&amp;"'!$F$1:$F$999"), E$1, INDIRECT("'"&amp;$B23&amp;"'!$B$1:$B$999"))/VLOOKUP(E$1, Table1[#All],2, FALSE)</f>
        <v>0</v>
      </c>
      <c r="F23" s="8">
        <f ca="1">SUMIF(INDIRECT("'"&amp;$B23&amp;"'!$F$1:$F$999"), F$1, INDIRECT("'"&amp;$B23&amp;"'!$B$1:$B$999"))/VLOOKUP(F$1, Table1[#All],2, FALSE)</f>
        <v>-1.8180000000000001</v>
      </c>
      <c r="G23" s="8">
        <f ca="1">SUMIF(INDIRECT("'"&amp;$B23&amp;"'!$F$1:$F$999"), G$1, INDIRECT("'"&amp;$B23&amp;"'!$B$1:$B$999"))/VLOOKUP(G$1, Table1[#All],2, FALSE)</f>
        <v>0</v>
      </c>
      <c r="H23" s="8">
        <f ca="1">SUMIF(INDIRECT("'"&amp;$B23&amp;"'!$F$1:$F$999"), H$1, INDIRECT("'"&amp;$B23&amp;"'!$B$1:$B$999"))/VLOOKUP(H$1, Table1[#All],2, FALSE)</f>
        <v>9.0542999999999996</v>
      </c>
      <c r="I23" s="8">
        <f ca="1">SUMIF(INDIRECT("'"&amp;$B23&amp;"'!$F$1:$F$999"), I$1, INDIRECT("'"&amp;$B23&amp;"'!$B$1:$B$999"))/VLOOKUP(I$1, Table1[#All],2, FALSE)</f>
        <v>-0.35310000000000002</v>
      </c>
      <c r="J23" s="8">
        <f ca="1">SUMIF(INDIRECT("'"&amp;$B23&amp;"'!$F$1:$F$999"), J$1, INDIRECT("'"&amp;$B23&amp;"'!$B$1:$B$999"))/VLOOKUP(J$1, Table1[#All],2, FALSE)</f>
        <v>-0.67680000000000007</v>
      </c>
      <c r="K23" s="8">
        <f ca="1">SUMIF(INDIRECT("'"&amp;$B23&amp;"'!$F$1:$F$999"), K$1, INDIRECT("'"&amp;$B23&amp;"'!$B$1:$B$999"))/VLOOKUP(K$1, Table1[#All],2, FALSE)</f>
        <v>0</v>
      </c>
      <c r="L23" s="8">
        <f ca="1">SUMIF(INDIRECT("'"&amp;$B23&amp;"'!$F$1:$F$999"), L$1, INDIRECT("'"&amp;$B23&amp;"'!$B$1:$B$999"))/VLOOKUP(L$1, Table1[#All],2, FALSE)</f>
        <v>0</v>
      </c>
      <c r="M23" s="8">
        <f ca="1">SUMIF(INDIRECT("'"&amp;$B23&amp;"'!$F$1:$F$999"), M$1, INDIRECT("'"&amp;$B23&amp;"'!$B$1:$B$999"))/VLOOKUP(M$1, Table1[#All],2, FALSE)</f>
        <v>0</v>
      </c>
      <c r="N23" s="8">
        <f ca="1">SUMIF(INDIRECT("'"&amp;$B23&amp;"'!$F$1:$F$999"), N$1, INDIRECT("'"&amp;$B23&amp;"'!$B$1:$B$999"))/VLOOKUP(N$1, Table1[#All],2, FALSE)</f>
        <v>0</v>
      </c>
      <c r="O23" s="8">
        <f ca="1">SUMIF(INDIRECT("'"&amp;$B23&amp;"'!$F$1:$F$999"), O$1, INDIRECT("'"&amp;$B23&amp;"'!$B$1:$B$999"))/VLOOKUP(O$1, Table1[#All],2, FALSE)</f>
        <v>0</v>
      </c>
      <c r="P23" s="8">
        <f ca="1">SUMIF(INDIRECT("'"&amp;$B23&amp;"'!$F$1:$F$999"), P$1, INDIRECT("'"&amp;$B23&amp;"'!$B$1:$B$999"))/VLOOKUP(P$1, Table1[#All],2, FALSE)</f>
        <v>-1.6751428571428573</v>
      </c>
      <c r="Q23" s="8">
        <f ca="1">SUMIF(INDIRECT("'"&amp;$B23&amp;"'!$F$1:$F$999"), Q$1, INDIRECT("'"&amp;$B23&amp;"'!$B$1:$B$999"))/VLOOKUP(Q$1, Table1[#All],2, FALSE)</f>
        <v>-1</v>
      </c>
      <c r="R23" s="8">
        <f ca="1">SUMIF(INDIRECT("'"&amp;$B23&amp;"'!$F$1:$F$999"), R$1, INDIRECT("'"&amp;$B23&amp;"'!$B$1:$B$999"))/VLOOKUP(R$1, Table1[#All],2, FALSE)</f>
        <v>-0.4367692307692308</v>
      </c>
      <c r="S23" s="8" t="e">
        <f ca="1">SUMIF(INDIRECT("'"&amp;$B23&amp;"'!$F$1:$F$999"), S$1, INDIRECT("'"&amp;$B23&amp;"'!$B$1:$B$999"))/VLOOKUP(S$1, Table1[#All],2, FALSE)</f>
        <v>#N/A</v>
      </c>
      <c r="T23" s="9">
        <f t="shared" ca="1" si="0"/>
        <v>3973.4199999999992</v>
      </c>
      <c r="V23" t="s">
        <v>45</v>
      </c>
      <c r="W23">
        <v>50</v>
      </c>
    </row>
    <row r="24" spans="1:24" x14ac:dyDescent="0.25">
      <c r="A24" s="13">
        <f t="shared" si="2"/>
        <v>44105</v>
      </c>
      <c r="B24" s="12" t="str">
        <f t="shared" si="1"/>
        <v>October 2020</v>
      </c>
      <c r="C24" s="8">
        <f ca="1">SUMIF(INDIRECT("'"&amp;$B24&amp;"'!$F$1:$F$999"), C$1, INDIRECT("'"&amp;$B24&amp;"'!$B$1:$B$999"))/VLOOKUP(C$1, Table1[#All],2, FALSE)</f>
        <v>1</v>
      </c>
      <c r="D24" s="8">
        <f ca="1">SUMIF(INDIRECT("'"&amp;$B24&amp;"'!$F$1:$F$999"), D$1, INDIRECT("'"&amp;$B24&amp;"'!$B$1:$B$999"))/VLOOKUP(D$1, Table1[#All],2, FALSE)</f>
        <v>-1.5206500000000001</v>
      </c>
      <c r="E24" s="8">
        <f ca="1">SUMIF(INDIRECT("'"&amp;$B24&amp;"'!$F$1:$F$999"), E$1, INDIRECT("'"&amp;$B24&amp;"'!$B$1:$B$999"))/VLOOKUP(E$1, Table1[#All],2, FALSE)</f>
        <v>1.2875536480686695E-2</v>
      </c>
      <c r="F24" s="8">
        <f ca="1">SUMIF(INDIRECT("'"&amp;$B24&amp;"'!$F$1:$F$999"), F$1, INDIRECT("'"&amp;$B24&amp;"'!$B$1:$B$999"))/VLOOKUP(F$1, Table1[#All],2, FALSE)</f>
        <v>-0.6361</v>
      </c>
      <c r="G24" s="8">
        <f ca="1">SUMIF(INDIRECT("'"&amp;$B24&amp;"'!$F$1:$F$999"), G$1, INDIRECT("'"&amp;$B24&amp;"'!$B$1:$B$999"))/VLOOKUP(G$1, Table1[#All],2, FALSE)</f>
        <v>-1.1096999999999999</v>
      </c>
      <c r="H24" s="8">
        <f ca="1">SUMIF(INDIRECT("'"&amp;$B24&amp;"'!$F$1:$F$999"), H$1, INDIRECT("'"&amp;$B24&amp;"'!$B$1:$B$999"))/VLOOKUP(H$1, Table1[#All],2, FALSE)</f>
        <v>0.40395000000000003</v>
      </c>
      <c r="I24" s="8">
        <f ca="1">SUMIF(INDIRECT("'"&amp;$B24&amp;"'!$F$1:$F$999"), I$1, INDIRECT("'"&amp;$B24&amp;"'!$B$1:$B$999"))/VLOOKUP(I$1, Table1[#All],2, FALSE)</f>
        <v>-1.4268000000000001</v>
      </c>
      <c r="J24" s="8">
        <f ca="1">SUMIF(INDIRECT("'"&amp;$B24&amp;"'!$F$1:$F$999"), J$1, INDIRECT("'"&amp;$B24&amp;"'!$B$1:$B$999"))/VLOOKUP(J$1, Table1[#All],2, FALSE)</f>
        <v>-5.0111999999999997</v>
      </c>
      <c r="K24" s="8">
        <f ca="1">SUMIF(INDIRECT("'"&amp;$B24&amp;"'!$F$1:$F$999"), K$1, INDIRECT("'"&amp;$B24&amp;"'!$B$1:$B$999"))/VLOOKUP(K$1, Table1[#All],2, FALSE)</f>
        <v>0</v>
      </c>
      <c r="L24" s="8">
        <f ca="1">SUMIF(INDIRECT("'"&amp;$B24&amp;"'!$F$1:$F$999"), L$1, INDIRECT("'"&amp;$B24&amp;"'!$B$1:$B$999"))/VLOOKUP(L$1, Table1[#All],2, FALSE)</f>
        <v>0</v>
      </c>
      <c r="M24" s="8">
        <f ca="1">SUMIF(INDIRECT("'"&amp;$B24&amp;"'!$F$1:$F$999"), M$1, INDIRECT("'"&amp;$B24&amp;"'!$B$1:$B$999"))/VLOOKUP(M$1, Table1[#All],2, FALSE)</f>
        <v>0</v>
      </c>
      <c r="N24" s="8">
        <f ca="1">SUMIF(INDIRECT("'"&amp;$B24&amp;"'!$F$1:$F$999"), N$1, INDIRECT("'"&amp;$B24&amp;"'!$B$1:$B$999"))/VLOOKUP(N$1, Table1[#All],2, FALSE)</f>
        <v>0</v>
      </c>
      <c r="O24" s="8">
        <f ca="1">SUMIF(INDIRECT("'"&amp;$B24&amp;"'!$F$1:$F$999"), O$1, INDIRECT("'"&amp;$B24&amp;"'!$B$1:$B$999"))/VLOOKUP(O$1, Table1[#All],2, FALSE)</f>
        <v>0</v>
      </c>
      <c r="P24" s="8">
        <f ca="1">SUMIF(INDIRECT("'"&amp;$B24&amp;"'!$F$1:$F$999"), P$1, INDIRECT("'"&amp;$B24&amp;"'!$B$1:$B$999"))/VLOOKUP(P$1, Table1[#All],2, FALSE)</f>
        <v>-1.6875714285714285</v>
      </c>
      <c r="Q24" s="8">
        <f ca="1">SUMIF(INDIRECT("'"&amp;$B24&amp;"'!$F$1:$F$999"), Q$1, INDIRECT("'"&amp;$B24&amp;"'!$B$1:$B$999"))/VLOOKUP(Q$1, Table1[#All],2, FALSE)</f>
        <v>-1</v>
      </c>
      <c r="R24" s="8">
        <f ca="1">SUMIF(INDIRECT("'"&amp;$B24&amp;"'!$F$1:$F$999"), R$1, INDIRECT("'"&amp;$B24&amp;"'!$B$1:$B$999"))/VLOOKUP(R$1, Table1[#All],2, FALSE)</f>
        <v>-1.1883846153846154</v>
      </c>
      <c r="S24" s="8" t="e">
        <f ca="1">SUMIF(INDIRECT("'"&amp;$B24&amp;"'!$F$1:$F$999"), S$1, INDIRECT("'"&amp;$B24&amp;"'!$B$1:$B$999"))/VLOOKUP(S$1, Table1[#All],2, FALSE)</f>
        <v>#N/A</v>
      </c>
      <c r="T24" s="9">
        <f t="shared" ca="1" si="0"/>
        <v>1587.0499999999997</v>
      </c>
      <c r="V24" t="s">
        <v>116</v>
      </c>
      <c r="W24">
        <v>1</v>
      </c>
    </row>
    <row r="25" spans="1:24" x14ac:dyDescent="0.25">
      <c r="A25" s="13">
        <f t="shared" si="2"/>
        <v>44136</v>
      </c>
      <c r="B25" s="12" t="str">
        <f t="shared" si="1"/>
        <v>November 2020</v>
      </c>
      <c r="C25" s="8">
        <f ca="1">SUMIF(INDIRECT("'"&amp;$B25&amp;"'!$F$1:$F$999"), C$1, INDIRECT("'"&amp;$B25&amp;"'!$B$1:$B$999"))/VLOOKUP(C$1, Table1[#All],2, FALSE)</f>
        <v>1</v>
      </c>
      <c r="D25" s="8">
        <f ca="1">SUMIF(INDIRECT("'"&amp;$B25&amp;"'!$F$1:$F$999"), D$1, INDIRECT("'"&amp;$B25&amp;"'!$B$1:$B$999"))/VLOOKUP(D$1, Table1[#All],2, FALSE)</f>
        <v>-0.99847499999999978</v>
      </c>
      <c r="E25" s="8">
        <f ca="1">SUMIF(INDIRECT("'"&amp;$B25&amp;"'!$F$1:$F$999"), E$1, INDIRECT("'"&amp;$B25&amp;"'!$B$1:$B$999"))/VLOOKUP(E$1, Table1[#All],2, FALSE)</f>
        <v>0</v>
      </c>
      <c r="F25" s="8">
        <f ca="1">SUMIF(INDIRECT("'"&amp;$B25&amp;"'!$F$1:$F$999"), F$1, INDIRECT("'"&amp;$B25&amp;"'!$B$1:$B$999"))/VLOOKUP(F$1, Table1[#All],2, FALSE)</f>
        <v>-1.0774999999999999</v>
      </c>
      <c r="G25" s="8">
        <f ca="1">SUMIF(INDIRECT("'"&amp;$B25&amp;"'!$F$1:$F$999"), G$1, INDIRECT("'"&amp;$B25&amp;"'!$B$1:$B$999"))/VLOOKUP(G$1, Table1[#All],2, FALSE)</f>
        <v>-1.0318000000000001</v>
      </c>
      <c r="H25" s="8">
        <f ca="1">SUMIF(INDIRECT("'"&amp;$B25&amp;"'!$F$1:$F$999"), H$1, INDIRECT("'"&amp;$B25&amp;"'!$B$1:$B$999"))/VLOOKUP(H$1, Table1[#All],2, FALSE)</f>
        <v>-4.2988999999999997</v>
      </c>
      <c r="I25" s="8">
        <f ca="1">SUMIF(INDIRECT("'"&amp;$B25&amp;"'!$F$1:$F$999"), I$1, INDIRECT("'"&amp;$B25&amp;"'!$B$1:$B$999"))/VLOOKUP(I$1, Table1[#All],2, FALSE)</f>
        <v>-1.1625999999999999</v>
      </c>
      <c r="J25" s="8">
        <f ca="1">SUMIF(INDIRECT("'"&amp;$B25&amp;"'!$F$1:$F$999"), J$1, INDIRECT("'"&amp;$B25&amp;"'!$B$1:$B$999"))/VLOOKUP(J$1, Table1[#All],2, FALSE)</f>
        <v>-6.4132000000000007</v>
      </c>
      <c r="K25" s="8">
        <f ca="1">SUMIF(INDIRECT("'"&amp;$B25&amp;"'!$F$1:$F$999"), K$1, INDIRECT("'"&amp;$B25&amp;"'!$B$1:$B$999"))/VLOOKUP(K$1, Table1[#All],2, FALSE)</f>
        <v>0</v>
      </c>
      <c r="L25" s="8">
        <f ca="1">SUMIF(INDIRECT("'"&amp;$B25&amp;"'!$F$1:$F$999"), L$1, INDIRECT("'"&amp;$B25&amp;"'!$B$1:$B$999"))/VLOOKUP(L$1, Table1[#All],2, FALSE)</f>
        <v>0</v>
      </c>
      <c r="M25" s="8">
        <f ca="1">SUMIF(INDIRECT("'"&amp;$B25&amp;"'!$F$1:$F$999"), M$1, INDIRECT("'"&amp;$B25&amp;"'!$B$1:$B$999"))/VLOOKUP(M$1, Table1[#All],2, FALSE)</f>
        <v>0</v>
      </c>
      <c r="N25" s="8">
        <f ca="1">SUMIF(INDIRECT("'"&amp;$B25&amp;"'!$F$1:$F$999"), N$1, INDIRECT("'"&amp;$B25&amp;"'!$B$1:$B$999"))/VLOOKUP(N$1, Table1[#All],2, FALSE)</f>
        <v>0</v>
      </c>
      <c r="O25" s="8">
        <f ca="1">SUMIF(INDIRECT("'"&amp;$B25&amp;"'!$F$1:$F$999"), O$1, INDIRECT("'"&amp;$B25&amp;"'!$B$1:$B$999"))/VLOOKUP(O$1, Table1[#All],2, FALSE)</f>
        <v>0</v>
      </c>
      <c r="P25" s="8">
        <f ca="1">SUMIF(INDIRECT("'"&amp;$B25&amp;"'!$F$1:$F$999"), P$1, INDIRECT("'"&amp;$B25&amp;"'!$B$1:$B$999"))/VLOOKUP(P$1, Table1[#All],2, FALSE)</f>
        <v>-0.5714285714285714</v>
      </c>
      <c r="Q25" s="8">
        <f ca="1">SUMIF(INDIRECT("'"&amp;$B25&amp;"'!$F$1:$F$999"), Q$1, INDIRECT("'"&amp;$B25&amp;"'!$B$1:$B$999"))/VLOOKUP(Q$1, Table1[#All],2, FALSE)</f>
        <v>-1</v>
      </c>
      <c r="R25" s="8">
        <f ca="1">SUMIF(INDIRECT("'"&amp;$B25&amp;"'!$F$1:$F$999"), R$1, INDIRECT("'"&amp;$B25&amp;"'!$B$1:$B$999"))/VLOOKUP(R$1, Table1[#All],2, FALSE)</f>
        <v>-0.90600000000000003</v>
      </c>
      <c r="S25" s="8" t="e">
        <f ca="1">SUMIF(INDIRECT("'"&amp;$B25&amp;"'!$F$1:$F$999"), S$1, INDIRECT("'"&amp;$B25&amp;"'!$B$1:$B$999"))/VLOOKUP(S$1, Table1[#All],2, FALSE)</f>
        <v>#N/A</v>
      </c>
      <c r="T25" s="9">
        <f t="shared" ca="1" si="0"/>
        <v>920.16</v>
      </c>
      <c r="V25" t="s">
        <v>290</v>
      </c>
      <c r="W25">
        <v>10</v>
      </c>
    </row>
    <row r="26" spans="1:24" x14ac:dyDescent="0.25">
      <c r="A26" s="13">
        <f t="shared" si="2"/>
        <v>44166</v>
      </c>
      <c r="B26" s="12" t="str">
        <f t="shared" si="1"/>
        <v>December 2020</v>
      </c>
      <c r="C26" s="8">
        <f ca="1">SUMIF(INDIRECT("'"&amp;$B26&amp;"'!$F$1:$F$999"), C$1, INDIRECT("'"&amp;$B26&amp;"'!$B$1:$B$999"))/VLOOKUP(C$1, Table1[#All],2, FALSE)</f>
        <v>1</v>
      </c>
      <c r="D26" s="8">
        <f ca="1">SUMIF(INDIRECT("'"&amp;$B26&amp;"'!$F$1:$F$999"), D$1, INDIRECT("'"&amp;$B26&amp;"'!$B$1:$B$999"))/VLOOKUP(D$1, Table1[#All],2, FALSE)</f>
        <v>-1.4806499999999998</v>
      </c>
      <c r="E26" s="8">
        <f ca="1">SUMIF(INDIRECT("'"&amp;$B26&amp;"'!$F$1:$F$999"), E$1, INDIRECT("'"&amp;$B26&amp;"'!$B$1:$B$999"))/VLOOKUP(E$1, Table1[#All],2, FALSE)</f>
        <v>9.5802575107296131E-2</v>
      </c>
      <c r="F26" s="8">
        <f ca="1">SUMIF(INDIRECT("'"&amp;$B26&amp;"'!$F$1:$F$999"), F$1, INDIRECT("'"&amp;$B26&amp;"'!$B$1:$B$999"))/VLOOKUP(F$1, Table1[#All],2, FALSE)</f>
        <v>-0.47870000000000007</v>
      </c>
      <c r="G26" s="8">
        <f ca="1">SUMIF(INDIRECT("'"&amp;$B26&amp;"'!$F$1:$F$999"), G$1, INDIRECT("'"&amp;$B26&amp;"'!$B$1:$B$999"))/VLOOKUP(G$1, Table1[#All],2, FALSE)</f>
        <v>0</v>
      </c>
      <c r="H26" s="8">
        <f ca="1">SUMIF(INDIRECT("'"&amp;$B26&amp;"'!$F$1:$F$999"), H$1, INDIRECT("'"&amp;$B26&amp;"'!$B$1:$B$999"))/VLOOKUP(H$1, Table1[#All],2, FALSE)</f>
        <v>0</v>
      </c>
      <c r="I26" s="8">
        <f ca="1">SUMIF(INDIRECT("'"&amp;$B26&amp;"'!$F$1:$F$999"), I$1, INDIRECT("'"&amp;$B26&amp;"'!$B$1:$B$999"))/VLOOKUP(I$1, Table1[#All],2, FALSE)</f>
        <v>-5.3288000000000002</v>
      </c>
      <c r="J26" s="8">
        <f ca="1">SUMIF(INDIRECT("'"&amp;$B26&amp;"'!$F$1:$F$999"), J$1, INDIRECT("'"&amp;$B26&amp;"'!$B$1:$B$999"))/VLOOKUP(J$1, Table1[#All],2, FALSE)</f>
        <v>-3.8883999999999999</v>
      </c>
      <c r="K26" s="8">
        <f ca="1">SUMIF(INDIRECT("'"&amp;$B26&amp;"'!$F$1:$F$999"), K$1, INDIRECT("'"&amp;$B26&amp;"'!$B$1:$B$999"))/VLOOKUP(K$1, Table1[#All],2, FALSE)</f>
        <v>0</v>
      </c>
      <c r="L26" s="8">
        <f ca="1">SUMIF(INDIRECT("'"&amp;$B26&amp;"'!$F$1:$F$999"), L$1, INDIRECT("'"&amp;$B26&amp;"'!$B$1:$B$999"))/VLOOKUP(L$1, Table1[#All],2, FALSE)</f>
        <v>0</v>
      </c>
      <c r="M26" s="8">
        <f ca="1">SUMIF(INDIRECT("'"&amp;$B26&amp;"'!$F$1:$F$999"), M$1, INDIRECT("'"&amp;$B26&amp;"'!$B$1:$B$999"))/VLOOKUP(M$1, Table1[#All],2, FALSE)</f>
        <v>0</v>
      </c>
      <c r="N26" s="8">
        <f ca="1">SUMIF(INDIRECT("'"&amp;$B26&amp;"'!$F$1:$F$999"), N$1, INDIRECT("'"&amp;$B26&amp;"'!$B$1:$B$999"))/VLOOKUP(N$1, Table1[#All],2, FALSE)</f>
        <v>0</v>
      </c>
      <c r="O26" s="8">
        <f ca="1">SUMIF(INDIRECT("'"&amp;$B26&amp;"'!$F$1:$F$999"), O$1, INDIRECT("'"&amp;$B26&amp;"'!$B$1:$B$999"))/VLOOKUP(O$1, Table1[#All],2, FALSE)</f>
        <v>-0.26379999999999998</v>
      </c>
      <c r="P26" s="8">
        <f ca="1">SUMIF(INDIRECT("'"&amp;$B26&amp;"'!$F$1:$F$999"), P$1, INDIRECT("'"&amp;$B26&amp;"'!$B$1:$B$999"))/VLOOKUP(P$1, Table1[#All],2, FALSE)</f>
        <v>-1.9334285714285715</v>
      </c>
      <c r="Q26" s="8">
        <f ca="1">SUMIF(INDIRECT("'"&amp;$B26&amp;"'!$F$1:$F$999"), Q$1, INDIRECT("'"&amp;$B26&amp;"'!$B$1:$B$999"))/VLOOKUP(Q$1, Table1[#All],2, FALSE)</f>
        <v>-1</v>
      </c>
      <c r="R26" s="8">
        <f ca="1">SUMIF(INDIRECT("'"&amp;$B26&amp;"'!$F$1:$F$999"), R$1, INDIRECT("'"&amp;$B26&amp;"'!$B$1:$B$999"))/VLOOKUP(R$1, Table1[#All],2, FALSE)</f>
        <v>-1.2475384615384615</v>
      </c>
      <c r="S26" s="8" t="e">
        <f ca="1">SUMIF(INDIRECT("'"&amp;$B26&amp;"'!$F$1:$F$999"), S$1, INDIRECT("'"&amp;$B26&amp;"'!$B$1:$B$999"))/VLOOKUP(S$1, Table1[#All],2, FALSE)</f>
        <v>#N/A</v>
      </c>
      <c r="T26" s="9">
        <f t="shared" ca="1" si="0"/>
        <v>1083.5999999999995</v>
      </c>
      <c r="V26" t="s">
        <v>321</v>
      </c>
      <c r="W26">
        <v>100</v>
      </c>
    </row>
    <row r="27" spans="1:24" x14ac:dyDescent="0.25">
      <c r="A27" s="13">
        <f t="shared" si="2"/>
        <v>44197</v>
      </c>
      <c r="B27" s="12" t="str">
        <f t="shared" si="1"/>
        <v>January 2021</v>
      </c>
      <c r="C27" s="8">
        <f ca="1">SUMIF(INDIRECT("'"&amp;$B27&amp;"'!$F$1:$F$999"), C$1, INDIRECT("'"&amp;$B27&amp;"'!$B$1:$B$999"))/VLOOKUP(C$1, Table1[#All],2, FALSE)</f>
        <v>1.0016272556965895</v>
      </c>
      <c r="D27" s="8">
        <f ca="1">SUMIF(INDIRECT("'"&amp;$B27&amp;"'!$F$1:$F$999"), D$1, INDIRECT("'"&amp;$B27&amp;"'!$B$1:$B$999"))/VLOOKUP(D$1, Table1[#All],2, FALSE)</f>
        <v>-2.4589500000000002</v>
      </c>
      <c r="E27" s="8">
        <f ca="1">SUMIF(INDIRECT("'"&amp;$B27&amp;"'!$F$1:$F$999"), E$1, INDIRECT("'"&amp;$B27&amp;"'!$B$1:$B$999"))/VLOOKUP(E$1, Table1[#All],2, FALSE)</f>
        <v>8.5836909871244635E-3</v>
      </c>
      <c r="F27" s="8">
        <f ca="1">SUMIF(INDIRECT("'"&amp;$B27&amp;"'!$F$1:$F$999"), F$1, INDIRECT("'"&amp;$B27&amp;"'!$B$1:$B$999"))/VLOOKUP(F$1, Table1[#All],2, FALSE)</f>
        <v>-0.61809999999999998</v>
      </c>
      <c r="G27" s="8">
        <f ca="1">SUMIF(INDIRECT("'"&amp;$B27&amp;"'!$F$1:$F$999"), G$1, INDIRECT("'"&amp;$B27&amp;"'!$B$1:$B$999"))/VLOOKUP(G$1, Table1[#All],2, FALSE)</f>
        <v>0</v>
      </c>
      <c r="H27" s="8">
        <f ca="1">SUMIF(INDIRECT("'"&amp;$B27&amp;"'!$F$1:$F$999"), H$1, INDIRECT("'"&amp;$B27&amp;"'!$B$1:$B$999"))/VLOOKUP(H$1, Table1[#All],2, FALSE)</f>
        <v>0</v>
      </c>
      <c r="I27" s="8">
        <f ca="1">SUMIF(INDIRECT("'"&amp;$B27&amp;"'!$F$1:$F$999"), I$1, INDIRECT("'"&amp;$B27&amp;"'!$B$1:$B$999"))/VLOOKUP(I$1, Table1[#All],2, FALSE)</f>
        <v>-8.9861000000000004</v>
      </c>
      <c r="J27" s="8">
        <f ca="1">SUMIF(INDIRECT("'"&amp;$B27&amp;"'!$F$1:$F$999"), J$1, INDIRECT("'"&amp;$B27&amp;"'!$B$1:$B$999"))/VLOOKUP(J$1, Table1[#All],2, FALSE)</f>
        <v>-10.2498</v>
      </c>
      <c r="K27" s="8">
        <f ca="1">SUMIF(INDIRECT("'"&amp;$B27&amp;"'!$F$1:$F$999"), K$1, INDIRECT("'"&amp;$B27&amp;"'!$B$1:$B$999"))/VLOOKUP(K$1, Table1[#All],2, FALSE)</f>
        <v>0</v>
      </c>
      <c r="L27" s="8">
        <f ca="1">SUMIF(INDIRECT("'"&amp;$B27&amp;"'!$F$1:$F$999"), L$1, INDIRECT("'"&amp;$B27&amp;"'!$B$1:$B$999"))/VLOOKUP(L$1, Table1[#All],2, FALSE)</f>
        <v>-2</v>
      </c>
      <c r="M27" s="8">
        <f ca="1">SUMIF(INDIRECT("'"&amp;$B27&amp;"'!$F$1:$F$999"), M$1, INDIRECT("'"&amp;$B27&amp;"'!$B$1:$B$999"))/VLOOKUP(M$1, Table1[#All],2, FALSE)</f>
        <v>0</v>
      </c>
      <c r="N27" s="8">
        <f ca="1">SUMIF(INDIRECT("'"&amp;$B27&amp;"'!$F$1:$F$999"), N$1, INDIRECT("'"&amp;$B27&amp;"'!$B$1:$B$999"))/VLOOKUP(N$1, Table1[#All],2, FALSE)</f>
        <v>0</v>
      </c>
      <c r="O27" s="8">
        <f ca="1">SUMIF(INDIRECT("'"&amp;$B27&amp;"'!$F$1:$F$999"), O$1, INDIRECT("'"&amp;$B27&amp;"'!$B$1:$B$999"))/VLOOKUP(O$1, Table1[#All],2, FALSE)</f>
        <v>0</v>
      </c>
      <c r="P27" s="8">
        <f ca="1">SUMIF(INDIRECT("'"&amp;$B27&amp;"'!$F$1:$F$999"), P$1, INDIRECT("'"&amp;$B27&amp;"'!$B$1:$B$999"))/VLOOKUP(P$1, Table1[#All],2, FALSE)</f>
        <v>-2.7557142857142853</v>
      </c>
      <c r="Q27" s="8">
        <f ca="1">SUMIF(INDIRECT("'"&amp;$B27&amp;"'!$F$1:$F$999"), Q$1, INDIRECT("'"&amp;$B27&amp;"'!$B$1:$B$999"))/VLOOKUP(Q$1, Table1[#All],2, FALSE)</f>
        <v>-1.0458333333333334</v>
      </c>
      <c r="R27" s="8">
        <f ca="1">SUMIF(INDIRECT("'"&amp;$B27&amp;"'!$F$1:$F$999"), R$1, INDIRECT("'"&amp;$B27&amp;"'!$B$1:$B$999"))/VLOOKUP(R$1, Table1[#All],2, FALSE)</f>
        <v>-0.90600000000000003</v>
      </c>
      <c r="S27" s="8" t="e">
        <f ca="1">SUMIF(INDIRECT("'"&amp;$B27&amp;"'!$F$1:$F$999"), S$1, INDIRECT("'"&amp;$B27&amp;"'!$B$1:$B$999"))/VLOOKUP(S$1, Table1[#All],2, FALSE)</f>
        <v>#N/A</v>
      </c>
      <c r="T27" s="9">
        <f t="shared" ca="1" si="0"/>
        <v>-50.400000000000553</v>
      </c>
      <c r="V27" t="s">
        <v>99</v>
      </c>
      <c r="W27">
        <v>100</v>
      </c>
    </row>
    <row r="28" spans="1:24" x14ac:dyDescent="0.25">
      <c r="A28" s="13">
        <f t="shared" si="2"/>
        <v>44228</v>
      </c>
      <c r="B28" s="12" t="str">
        <f t="shared" si="1"/>
        <v>February 2021</v>
      </c>
      <c r="C28" s="8">
        <f ca="1">SUMIF(INDIRECT("'"&amp;$B28&amp;"'!$F$1:$F$999"), C$1, INDIRECT("'"&amp;$B28&amp;"'!$B$1:$B$999"))/VLOOKUP(C$1, Table1[#All],2, FALSE)</f>
        <v>1.0016272556965895</v>
      </c>
      <c r="D28" s="8">
        <f ca="1">SUMIF(INDIRECT("'"&amp;$B28&amp;"'!$F$1:$F$999"), D$1, INDIRECT("'"&amp;$B28&amp;"'!$B$1:$B$999"))/VLOOKUP(D$1, Table1[#All],2, FALSE)</f>
        <v>-1.2357</v>
      </c>
      <c r="E28" s="8">
        <f ca="1">SUMIF(INDIRECT("'"&amp;$B28&amp;"'!$F$1:$F$999"), E$1, INDIRECT("'"&amp;$B28&amp;"'!$B$1:$B$999"))/VLOOKUP(E$1, Table1[#All],2, FALSE)</f>
        <v>1.3733905579399141E-2</v>
      </c>
      <c r="F28" s="8">
        <f ca="1">SUMIF(INDIRECT("'"&amp;$B28&amp;"'!$F$1:$F$999"), F$1, INDIRECT("'"&amp;$B28&amp;"'!$B$1:$B$999"))/VLOOKUP(F$1, Table1[#All],2, FALSE)</f>
        <v>-2.3986000000000001</v>
      </c>
      <c r="G28" s="8">
        <f ca="1">SUMIF(INDIRECT("'"&amp;$B28&amp;"'!$F$1:$F$999"), G$1, INDIRECT("'"&amp;$B28&amp;"'!$B$1:$B$999"))/VLOOKUP(G$1, Table1[#All],2, FALSE)</f>
        <v>0</v>
      </c>
      <c r="H28" s="8">
        <f ca="1">SUMIF(INDIRECT("'"&amp;$B28&amp;"'!$F$1:$F$999"), H$1, INDIRECT("'"&amp;$B28&amp;"'!$B$1:$B$999"))/VLOOKUP(H$1, Table1[#All],2, FALSE)</f>
        <v>0.52395000000000003</v>
      </c>
      <c r="I28" s="8">
        <f ca="1">SUMIF(INDIRECT("'"&amp;$B28&amp;"'!$F$1:$F$999"), I$1, INDIRECT("'"&amp;$B28&amp;"'!$B$1:$B$999"))/VLOOKUP(I$1, Table1[#All],2, FALSE)</f>
        <v>-0.44909999999999994</v>
      </c>
      <c r="J28" s="8">
        <f ca="1">SUMIF(INDIRECT("'"&amp;$B28&amp;"'!$F$1:$F$999"), J$1, INDIRECT("'"&amp;$B28&amp;"'!$B$1:$B$999"))/VLOOKUP(J$1, Table1[#All],2, FALSE)</f>
        <v>-15.027999999999999</v>
      </c>
      <c r="K28" s="8">
        <f ca="1">SUMIF(INDIRECT("'"&amp;$B28&amp;"'!$F$1:$F$999"), K$1, INDIRECT("'"&amp;$B28&amp;"'!$B$1:$B$999"))/VLOOKUP(K$1, Table1[#All],2, FALSE)</f>
        <v>0</v>
      </c>
      <c r="L28" s="8">
        <f ca="1">SUMIF(INDIRECT("'"&amp;$B28&amp;"'!$F$1:$F$999"), L$1, INDIRECT("'"&amp;$B28&amp;"'!$B$1:$B$999"))/VLOOKUP(L$1, Table1[#All],2, FALSE)</f>
        <v>-0.47430000000000005</v>
      </c>
      <c r="M28" s="8">
        <f ca="1">SUMIF(INDIRECT("'"&amp;$B28&amp;"'!$F$1:$F$999"), M$1, INDIRECT("'"&amp;$B28&amp;"'!$B$1:$B$999"))/VLOOKUP(M$1, Table1[#All],2, FALSE)</f>
        <v>0</v>
      </c>
      <c r="N28" s="8">
        <f ca="1">SUMIF(INDIRECT("'"&amp;$B28&amp;"'!$F$1:$F$999"), N$1, INDIRECT("'"&amp;$B28&amp;"'!$B$1:$B$999"))/VLOOKUP(N$1, Table1[#All],2, FALSE)</f>
        <v>0</v>
      </c>
      <c r="O28" s="8">
        <f ca="1">SUMIF(INDIRECT("'"&amp;$B28&amp;"'!$F$1:$F$999"), O$1, INDIRECT("'"&amp;$B28&amp;"'!$B$1:$B$999"))/VLOOKUP(O$1, Table1[#All],2, FALSE)</f>
        <v>0</v>
      </c>
      <c r="P28" s="8">
        <f ca="1">SUMIF(INDIRECT("'"&amp;$B28&amp;"'!$F$1:$F$999"), P$1, INDIRECT("'"&amp;$B28&amp;"'!$B$1:$B$999"))/VLOOKUP(P$1, Table1[#All],2, FALSE)</f>
        <v>-1.7772857142857141</v>
      </c>
      <c r="Q28" s="8">
        <f ca="1">SUMIF(INDIRECT("'"&amp;$B28&amp;"'!$F$1:$F$999"), Q$1, INDIRECT("'"&amp;$B28&amp;"'!$B$1:$B$999"))/VLOOKUP(Q$1, Table1[#All],2, FALSE)</f>
        <v>-1</v>
      </c>
      <c r="R28" s="8">
        <f ca="1">SUMIF(INDIRECT("'"&amp;$B28&amp;"'!$F$1:$F$999"), R$1, INDIRECT("'"&amp;$B28&amp;"'!$B$1:$B$999"))/VLOOKUP(R$1, Table1[#All],2, FALSE)</f>
        <v>-0.90600000000000003</v>
      </c>
      <c r="S28" s="8" t="e">
        <f ca="1">SUMIF(INDIRECT("'"&amp;$B28&amp;"'!$F$1:$F$999"), S$1, INDIRECT("'"&amp;$B28&amp;"'!$B$1:$B$999"))/VLOOKUP(S$1, Table1[#All],2, FALSE)</f>
        <v>#N/A</v>
      </c>
      <c r="T28" s="9">
        <f t="shared" ca="1" si="0"/>
        <v>1244.49</v>
      </c>
      <c r="V28" t="s">
        <v>193</v>
      </c>
      <c r="W28">
        <v>50</v>
      </c>
    </row>
    <row r="29" spans="1:24" x14ac:dyDescent="0.25">
      <c r="A29" s="13">
        <f t="shared" si="2"/>
        <v>44256</v>
      </c>
      <c r="B29" s="12" t="str">
        <f t="shared" si="1"/>
        <v>March 2021</v>
      </c>
      <c r="C29" s="8">
        <f ca="1">SUMIF(INDIRECT("'"&amp;$B29&amp;"'!$F$1:$F$999"), C$1, INDIRECT("'"&amp;$B29&amp;"'!$B$1:$B$999"))/VLOOKUP(C$1, Table1[#All],2, FALSE)</f>
        <v>1.0016272556965895</v>
      </c>
      <c r="D29" s="8">
        <f ca="1">SUMIF(INDIRECT("'"&amp;$B29&amp;"'!$F$1:$F$999"), D$1, INDIRECT("'"&amp;$B29&amp;"'!$B$1:$B$999"))/VLOOKUP(D$1, Table1[#All],2, FALSE)</f>
        <v>-1.3982999999999997</v>
      </c>
      <c r="E29" s="8">
        <f ca="1">SUMIF(INDIRECT("'"&amp;$B29&amp;"'!$F$1:$F$999"), E$1, INDIRECT("'"&amp;$B29&amp;"'!$B$1:$B$999"))/VLOOKUP(E$1, Table1[#All],2, FALSE)</f>
        <v>0</v>
      </c>
      <c r="F29" s="8">
        <f ca="1">SUMIF(INDIRECT("'"&amp;$B29&amp;"'!$F$1:$F$999"), F$1, INDIRECT("'"&amp;$B29&amp;"'!$B$1:$B$999"))/VLOOKUP(F$1, Table1[#All],2, FALSE)</f>
        <v>-1.0455999999999999</v>
      </c>
      <c r="G29" s="8">
        <f ca="1">SUMIF(INDIRECT("'"&amp;$B29&amp;"'!$F$1:$F$999"), G$1, INDIRECT("'"&amp;$B29&amp;"'!$B$1:$B$999"))/VLOOKUP(G$1, Table1[#All],2, FALSE)</f>
        <v>-1.9422999999999999</v>
      </c>
      <c r="H29" s="8">
        <f ca="1">SUMIF(INDIRECT("'"&amp;$B29&amp;"'!$F$1:$F$999"), H$1, INDIRECT("'"&amp;$B29&amp;"'!$B$1:$B$999"))/VLOOKUP(H$1, Table1[#All],2, FALSE)</f>
        <v>0.27500000000000002</v>
      </c>
      <c r="I29" s="8">
        <f ca="1">SUMIF(INDIRECT("'"&amp;$B29&amp;"'!$F$1:$F$999"), I$1, INDIRECT("'"&amp;$B29&amp;"'!$B$1:$B$999"))/VLOOKUP(I$1, Table1[#All],2, FALSE)</f>
        <v>-0.88269999999999993</v>
      </c>
      <c r="J29" s="8">
        <f ca="1">SUMIF(INDIRECT("'"&amp;$B29&amp;"'!$F$1:$F$999"), J$1, INDIRECT("'"&amp;$B29&amp;"'!$B$1:$B$999"))/VLOOKUP(J$1, Table1[#All],2, FALSE)</f>
        <v>-1.7374000000000001</v>
      </c>
      <c r="K29" s="8">
        <f ca="1">SUMIF(INDIRECT("'"&amp;$B29&amp;"'!$F$1:$F$999"), K$1, INDIRECT("'"&amp;$B29&amp;"'!$B$1:$B$999"))/VLOOKUP(K$1, Table1[#All],2, FALSE)</f>
        <v>0</v>
      </c>
      <c r="L29" s="8">
        <f ca="1">SUMIF(INDIRECT("'"&amp;$B29&amp;"'!$F$1:$F$999"), L$1, INDIRECT("'"&amp;$B29&amp;"'!$B$1:$B$999"))/VLOOKUP(L$1, Table1[#All],2, FALSE)</f>
        <v>0</v>
      </c>
      <c r="M29" s="8">
        <f ca="1">SUMIF(INDIRECT("'"&amp;$B29&amp;"'!$F$1:$F$999"), M$1, INDIRECT("'"&amp;$B29&amp;"'!$B$1:$B$999"))/VLOOKUP(M$1, Table1[#All],2, FALSE)</f>
        <v>0</v>
      </c>
      <c r="N29" s="8">
        <f ca="1">SUMIF(INDIRECT("'"&amp;$B29&amp;"'!$F$1:$F$999"), N$1, INDIRECT("'"&amp;$B29&amp;"'!$B$1:$B$999"))/VLOOKUP(N$1, Table1[#All],2, FALSE)</f>
        <v>0</v>
      </c>
      <c r="O29" s="8">
        <f ca="1">SUMIF(INDIRECT("'"&amp;$B29&amp;"'!$F$1:$F$999"), O$1, INDIRECT("'"&amp;$B29&amp;"'!$B$1:$B$999"))/VLOOKUP(O$1, Table1[#All],2, FALSE)</f>
        <v>0</v>
      </c>
      <c r="P29" s="8">
        <f ca="1">SUMIF(INDIRECT("'"&amp;$B29&amp;"'!$F$1:$F$999"), P$1, INDIRECT("'"&amp;$B29&amp;"'!$B$1:$B$999"))/VLOOKUP(P$1, Table1[#All],2, FALSE)</f>
        <v>-1.8735714285714287</v>
      </c>
      <c r="Q29" s="8">
        <f ca="1">SUMIF(INDIRECT("'"&amp;$B29&amp;"'!$F$1:$F$999"), Q$1, INDIRECT("'"&amp;$B29&amp;"'!$B$1:$B$999"))/VLOOKUP(Q$1, Table1[#All],2, FALSE)</f>
        <v>-1</v>
      </c>
      <c r="R29" s="8">
        <f ca="1">SUMIF(INDIRECT("'"&amp;$B29&amp;"'!$F$1:$F$999"), R$1, INDIRECT("'"&amp;$B29&amp;"'!$B$1:$B$999"))/VLOOKUP(R$1, Table1[#All],2, FALSE)</f>
        <v>-0.90600000000000003</v>
      </c>
      <c r="S29" s="8" t="e">
        <f ca="1">SUMIF(INDIRECT("'"&amp;$B29&amp;"'!$F$1:$F$999"), S$1, INDIRECT("'"&amp;$B29&amp;"'!$B$1:$B$999"))/VLOOKUP(S$1, Table1[#All],2, FALSE)</f>
        <v>#N/A</v>
      </c>
      <c r="T29" s="9">
        <f t="shared" ca="1" si="0"/>
        <v>1764.5899999999997</v>
      </c>
      <c r="V29" t="s">
        <v>218</v>
      </c>
      <c r="W29">
        <v>-1</v>
      </c>
    </row>
    <row r="30" spans="1:24" x14ac:dyDescent="0.25">
      <c r="A30" s="13">
        <f t="shared" si="2"/>
        <v>44287</v>
      </c>
      <c r="B30" s="12" t="str">
        <f t="shared" si="1"/>
        <v>April 2021</v>
      </c>
      <c r="C30" s="8">
        <f ca="1">SUMIF(INDIRECT("'"&amp;$B30&amp;"'!$F$1:$F$999"), C$1, INDIRECT("'"&amp;$B30&amp;"'!$B$1:$B$999"))/VLOOKUP(C$1, Table1[#All],2, FALSE)</f>
        <v>1.1249832734363052</v>
      </c>
      <c r="D30" s="8">
        <f ca="1">SUMIF(INDIRECT("'"&amp;$B30&amp;"'!$F$1:$F$999"), D$1, INDIRECT("'"&amp;$B30&amp;"'!$B$1:$B$999"))/VLOOKUP(D$1, Table1[#All],2, FALSE)</f>
        <v>-1.6661750000000004</v>
      </c>
      <c r="E30" s="8">
        <f ca="1">SUMIF(INDIRECT("'"&amp;$B30&amp;"'!$F$1:$F$999"), E$1, INDIRECT("'"&amp;$B30&amp;"'!$B$1:$B$999"))/VLOOKUP(E$1, Table1[#All],2, FALSE)</f>
        <v>0.14430901287553649</v>
      </c>
      <c r="F30" s="8">
        <f ca="1">SUMIF(INDIRECT("'"&amp;$B30&amp;"'!$F$1:$F$999"), F$1, INDIRECT("'"&amp;$B30&amp;"'!$B$1:$B$999"))/VLOOKUP(F$1, Table1[#All],2, FALSE)</f>
        <v>-2.6833</v>
      </c>
      <c r="G30" s="8">
        <f ca="1">SUMIF(INDIRECT("'"&amp;$B30&amp;"'!$F$1:$F$999"), G$1, INDIRECT("'"&amp;$B30&amp;"'!$B$1:$B$999"))/VLOOKUP(G$1, Table1[#All],2, FALSE)</f>
        <v>-5.1166</v>
      </c>
      <c r="H30" s="8">
        <f ca="1">SUMIF(INDIRECT("'"&amp;$B30&amp;"'!$F$1:$F$999"), H$1, INDIRECT("'"&amp;$B30&amp;"'!$B$1:$B$999"))/VLOOKUP(H$1, Table1[#All],2, FALSE)</f>
        <v>-2.3765499999999999</v>
      </c>
      <c r="I30" s="8">
        <f ca="1">SUMIF(INDIRECT("'"&amp;$B30&amp;"'!$F$1:$F$999"), I$1, INDIRECT("'"&amp;$B30&amp;"'!$B$1:$B$999"))/VLOOKUP(I$1, Table1[#All],2, FALSE)</f>
        <v>-0.86640000000000006</v>
      </c>
      <c r="J30" s="8">
        <f ca="1">SUMIF(INDIRECT("'"&amp;$B30&amp;"'!$F$1:$F$999"), J$1, INDIRECT("'"&amp;$B30&amp;"'!$B$1:$B$999"))/VLOOKUP(J$1, Table1[#All],2, FALSE)</f>
        <v>-0.7974</v>
      </c>
      <c r="K30" s="8">
        <f ca="1">SUMIF(INDIRECT("'"&amp;$B30&amp;"'!$F$1:$F$999"), K$1, INDIRECT("'"&amp;$B30&amp;"'!$B$1:$B$999"))/VLOOKUP(K$1, Table1[#All],2, FALSE)</f>
        <v>0</v>
      </c>
      <c r="L30" s="8">
        <f ca="1">SUMIF(INDIRECT("'"&amp;$B30&amp;"'!$F$1:$F$999"), L$1, INDIRECT("'"&amp;$B30&amp;"'!$B$1:$B$999"))/VLOOKUP(L$1, Table1[#All],2, FALSE)</f>
        <v>-2.5</v>
      </c>
      <c r="M30" s="8">
        <f ca="1">SUMIF(INDIRECT("'"&amp;$B30&amp;"'!$F$1:$F$999"), M$1, INDIRECT("'"&amp;$B30&amp;"'!$B$1:$B$999"))/VLOOKUP(M$1, Table1[#All],2, FALSE)</f>
        <v>0</v>
      </c>
      <c r="N30" s="8">
        <f ca="1">SUMIF(INDIRECT("'"&amp;$B30&amp;"'!$F$1:$F$999"), N$1, INDIRECT("'"&amp;$B30&amp;"'!$B$1:$B$999"))/VLOOKUP(N$1, Table1[#All],2, FALSE)</f>
        <v>0</v>
      </c>
      <c r="O30" s="8">
        <f ca="1">SUMIF(INDIRECT("'"&amp;$B30&amp;"'!$F$1:$F$999"), O$1, INDIRECT("'"&amp;$B30&amp;"'!$B$1:$B$999"))/VLOOKUP(O$1, Table1[#All],2, FALSE)</f>
        <v>0</v>
      </c>
      <c r="P30" s="8">
        <f ca="1">SUMIF(INDIRECT("'"&amp;$B30&amp;"'!$F$1:$F$999"), P$1, INDIRECT("'"&amp;$B30&amp;"'!$B$1:$B$999"))/VLOOKUP(P$1, Table1[#All],2, FALSE)</f>
        <v>0</v>
      </c>
      <c r="Q30" s="8">
        <f ca="1">SUMIF(INDIRECT("'"&amp;$B30&amp;"'!$F$1:$F$999"), Q$1, INDIRECT("'"&amp;$B30&amp;"'!$B$1:$B$999"))/VLOOKUP(Q$1, Table1[#All],2, FALSE)</f>
        <v>-1</v>
      </c>
      <c r="R30" s="8">
        <f ca="1">SUMIF(INDIRECT("'"&amp;$B30&amp;"'!$F$1:$F$999"), R$1, INDIRECT("'"&amp;$B30&amp;"'!$B$1:$B$999"))/VLOOKUP(R$1, Table1[#All],2, FALSE)</f>
        <v>-0.90600000000000003</v>
      </c>
      <c r="S30" s="8" t="e">
        <f ca="1">SUMIF(INDIRECT("'"&amp;$B30&amp;"'!$F$1:$F$999"), S$1, INDIRECT("'"&amp;$B30&amp;"'!$B$1:$B$999"))/VLOOKUP(S$1, Table1[#All],2, FALSE)</f>
        <v>#N/A</v>
      </c>
      <c r="T30" s="9">
        <f t="shared" ca="1" si="0"/>
        <v>755.70999999999913</v>
      </c>
      <c r="V30" t="s">
        <v>104</v>
      </c>
      <c r="W30">
        <v>70</v>
      </c>
    </row>
    <row r="31" spans="1:24" x14ac:dyDescent="0.25">
      <c r="A31" s="13">
        <f t="shared" si="2"/>
        <v>44317</v>
      </c>
      <c r="B31" s="12" t="str">
        <f t="shared" si="1"/>
        <v>May 2021</v>
      </c>
      <c r="C31" s="8">
        <f ca="1">SUMIF(INDIRECT("'"&amp;$B31&amp;"'!$F$1:$F$999"), C$1, INDIRECT("'"&amp;$B31&amp;"'!$B$1:$B$999"))/VLOOKUP(C$1, Table1[#All],2, FALSE)</f>
        <v>1.0016272556965895</v>
      </c>
      <c r="D31" s="8">
        <f ca="1">SUMIF(INDIRECT("'"&amp;$B31&amp;"'!$F$1:$F$999"), D$1, INDIRECT("'"&amp;$B31&amp;"'!$B$1:$B$999"))/VLOOKUP(D$1, Table1[#All],2, FALSE)</f>
        <v>-2.6352749999999996</v>
      </c>
      <c r="E31" s="8">
        <f ca="1">SUMIF(INDIRECT("'"&amp;$B31&amp;"'!$F$1:$F$999"), E$1, INDIRECT("'"&amp;$B31&amp;"'!$B$1:$B$999"))/VLOOKUP(E$1, Table1[#All],2, FALSE)</f>
        <v>-1.5711244635193131</v>
      </c>
      <c r="F31" s="8">
        <f ca="1">SUMIF(INDIRECT("'"&amp;$B31&amp;"'!$F$1:$F$999"), F$1, INDIRECT("'"&amp;$B31&amp;"'!$B$1:$B$999"))/VLOOKUP(F$1, Table1[#All],2, FALSE)</f>
        <v>-0.45030000000000003</v>
      </c>
      <c r="G31" s="8">
        <f ca="1">SUMIF(INDIRECT("'"&amp;$B31&amp;"'!$F$1:$F$999"), G$1, INDIRECT("'"&amp;$B31&amp;"'!$B$1:$B$999"))/VLOOKUP(G$1, Table1[#All],2, FALSE)</f>
        <v>0</v>
      </c>
      <c r="H31" s="8">
        <f ca="1">SUMIF(INDIRECT("'"&amp;$B31&amp;"'!$F$1:$F$999"), H$1, INDIRECT("'"&amp;$B31&amp;"'!$B$1:$B$999"))/VLOOKUP(H$1, Table1[#All],2, FALSE)</f>
        <v>0</v>
      </c>
      <c r="I31" s="8">
        <f ca="1">SUMIF(INDIRECT("'"&amp;$B31&amp;"'!$F$1:$F$999"), I$1, INDIRECT("'"&amp;$B31&amp;"'!$B$1:$B$999"))/VLOOKUP(I$1, Table1[#All],2, FALSE)</f>
        <v>-1.1189</v>
      </c>
      <c r="J31" s="8">
        <f ca="1">SUMIF(INDIRECT("'"&amp;$B31&amp;"'!$F$1:$F$999"), J$1, INDIRECT("'"&amp;$B31&amp;"'!$B$1:$B$999"))/VLOOKUP(J$1, Table1[#All],2, FALSE)</f>
        <v>-5.9337999999999997</v>
      </c>
      <c r="K31" s="8">
        <f ca="1">SUMIF(INDIRECT("'"&amp;$B31&amp;"'!$F$1:$F$999"), K$1, INDIRECT("'"&amp;$B31&amp;"'!$B$1:$B$999"))/VLOOKUP(K$1, Table1[#All],2, FALSE)</f>
        <v>0</v>
      </c>
      <c r="L31" s="8">
        <f ca="1">SUMIF(INDIRECT("'"&amp;$B31&amp;"'!$F$1:$F$999"), L$1, INDIRECT("'"&amp;$B31&amp;"'!$B$1:$B$999"))/VLOOKUP(L$1, Table1[#All],2, FALSE)</f>
        <v>0</v>
      </c>
      <c r="M31" s="8">
        <f ca="1">SUMIF(INDIRECT("'"&amp;$B31&amp;"'!$F$1:$F$999"), M$1, INDIRECT("'"&amp;$B31&amp;"'!$B$1:$B$999"))/VLOOKUP(M$1, Table1[#All],2, FALSE)</f>
        <v>0</v>
      </c>
      <c r="N31" s="8">
        <f ca="1">SUMIF(INDIRECT("'"&amp;$B31&amp;"'!$F$1:$F$999"), N$1, INDIRECT("'"&amp;$B31&amp;"'!$B$1:$B$999"))/VLOOKUP(N$1, Table1[#All],2, FALSE)</f>
        <v>0</v>
      </c>
      <c r="O31" s="8">
        <f ca="1">SUMIF(INDIRECT("'"&amp;$B31&amp;"'!$F$1:$F$999"), O$1, INDIRECT("'"&amp;$B31&amp;"'!$B$1:$B$999"))/VLOOKUP(O$1, Table1[#All],2, FALSE)</f>
        <v>0</v>
      </c>
      <c r="P31" s="8">
        <f ca="1">SUMIF(INDIRECT("'"&amp;$B31&amp;"'!$F$1:$F$999"), P$1, INDIRECT("'"&amp;$B31&amp;"'!$B$1:$B$999"))/VLOOKUP(P$1, Table1[#All],2, FALSE)</f>
        <v>0</v>
      </c>
      <c r="Q31" s="8">
        <f ca="1">SUMIF(INDIRECT("'"&amp;$B31&amp;"'!$F$1:$F$999"), Q$1, INDIRECT("'"&amp;$B31&amp;"'!$B$1:$B$999"))/VLOOKUP(Q$1, Table1[#All],2, FALSE)</f>
        <v>-1</v>
      </c>
      <c r="R31" s="8">
        <f ca="1">SUMIF(INDIRECT("'"&amp;$B31&amp;"'!$F$1:$F$999"), R$1, INDIRECT("'"&amp;$B31&amp;"'!$B$1:$B$999"))/VLOOKUP(R$1, Table1[#All],2, FALSE)</f>
        <v>-0.90600000000000003</v>
      </c>
      <c r="S31" s="8" t="e">
        <f ca="1">SUMIF(INDIRECT("'"&amp;$B31&amp;"'!$F$1:$F$999"), S$1, INDIRECT("'"&amp;$B31&amp;"'!$B$1:$B$999"))/VLOOKUP(S$1, Table1[#All],2, FALSE)</f>
        <v>#N/A</v>
      </c>
      <c r="T31" s="9">
        <f t="shared" ca="1" si="0"/>
        <v>5026.9900000000007</v>
      </c>
      <c r="V31" t="s">
        <v>101</v>
      </c>
      <c r="W31">
        <v>1200</v>
      </c>
    </row>
    <row r="32" spans="1:24" x14ac:dyDescent="0.25">
      <c r="A32" s="13">
        <f t="shared" si="2"/>
        <v>44348</v>
      </c>
      <c r="B32" s="12" t="str">
        <f t="shared" si="1"/>
        <v>June 2021</v>
      </c>
      <c r="C32" s="8">
        <f ca="1">SUMIF(INDIRECT("'"&amp;$B32&amp;"'!$F$1:$F$999"), C$1, INDIRECT("'"&amp;$B32&amp;"'!$B$1:$B$999"))/VLOOKUP(C$1, Table1[#All],2, FALSE)</f>
        <v>1.018246291481878</v>
      </c>
      <c r="D32" s="8">
        <f ca="1">SUMIF(INDIRECT("'"&amp;$B32&amp;"'!$F$1:$F$999"), D$1, INDIRECT("'"&amp;$B32&amp;"'!$B$1:$B$999"))/VLOOKUP(D$1, Table1[#All],2, FALSE)</f>
        <v>-2.08325</v>
      </c>
      <c r="E32" s="8">
        <f ca="1">SUMIF(INDIRECT("'"&amp;$B32&amp;"'!$F$1:$F$999"), E$1, INDIRECT("'"&amp;$B32&amp;"'!$B$1:$B$999"))/VLOOKUP(E$1, Table1[#All],2, FALSE)</f>
        <v>8.3690987124463517E-2</v>
      </c>
      <c r="F32" s="8">
        <f ca="1">SUMIF(INDIRECT("'"&amp;$B32&amp;"'!$F$1:$F$999"), F$1, INDIRECT("'"&amp;$B32&amp;"'!$B$1:$B$999"))/VLOOKUP(F$1, Table1[#All],2, FALSE)</f>
        <v>-0.82700000000000018</v>
      </c>
      <c r="G32" s="8">
        <f ca="1">SUMIF(INDIRECT("'"&amp;$B32&amp;"'!$F$1:$F$999"), G$1, INDIRECT("'"&amp;$B32&amp;"'!$B$1:$B$999"))/VLOOKUP(G$1, Table1[#All],2, FALSE)</f>
        <v>0</v>
      </c>
      <c r="H32" s="8">
        <f ca="1">SUMIF(INDIRECT("'"&amp;$B32&amp;"'!$F$1:$F$999"), H$1, INDIRECT("'"&amp;$B32&amp;"'!$B$1:$B$999"))/VLOOKUP(H$1, Table1[#All],2, FALSE)</f>
        <v>0</v>
      </c>
      <c r="I32" s="8">
        <f ca="1">SUMIF(INDIRECT("'"&amp;$B32&amp;"'!$F$1:$F$999"), I$1, INDIRECT("'"&amp;$B32&amp;"'!$B$1:$B$999"))/VLOOKUP(I$1, Table1[#All],2, FALSE)</f>
        <v>-1.696</v>
      </c>
      <c r="J32" s="8">
        <f ca="1">SUMIF(INDIRECT("'"&amp;$B32&amp;"'!$F$1:$F$999"), J$1, INDIRECT("'"&amp;$B32&amp;"'!$B$1:$B$999"))/VLOOKUP(J$1, Table1[#All],2, FALSE)</f>
        <v>-2.1701999999999999</v>
      </c>
      <c r="K32" s="8">
        <f ca="1">SUMIF(INDIRECT("'"&amp;$B32&amp;"'!$F$1:$F$999"), K$1, INDIRECT("'"&amp;$B32&amp;"'!$B$1:$B$999"))/VLOOKUP(K$1, Table1[#All],2, FALSE)</f>
        <v>0</v>
      </c>
      <c r="L32" s="8">
        <f ca="1">SUMIF(INDIRECT("'"&amp;$B32&amp;"'!$F$1:$F$999"), L$1, INDIRECT("'"&amp;$B32&amp;"'!$B$1:$B$999"))/VLOOKUP(L$1, Table1[#All],2, FALSE)</f>
        <v>-2.5</v>
      </c>
      <c r="M32" s="8">
        <f ca="1">SUMIF(INDIRECT("'"&amp;$B32&amp;"'!$F$1:$F$999"), M$1, INDIRECT("'"&amp;$B32&amp;"'!$B$1:$B$999"))/VLOOKUP(M$1, Table1[#All],2, FALSE)</f>
        <v>0</v>
      </c>
      <c r="N32" s="8">
        <f ca="1">SUMIF(INDIRECT("'"&amp;$B32&amp;"'!$F$1:$F$999"), N$1, INDIRECT("'"&amp;$B32&amp;"'!$B$1:$B$999"))/VLOOKUP(N$1, Table1[#All],2, FALSE)</f>
        <v>0</v>
      </c>
      <c r="O32" s="8">
        <f ca="1">SUMIF(INDIRECT("'"&amp;$B32&amp;"'!$F$1:$F$999"), O$1, INDIRECT("'"&amp;$B32&amp;"'!$B$1:$B$999"))/VLOOKUP(O$1, Table1[#All],2, FALSE)</f>
        <v>0</v>
      </c>
      <c r="P32" s="8">
        <f ca="1">SUMIF(INDIRECT("'"&amp;$B32&amp;"'!$F$1:$F$999"), P$1, INDIRECT("'"&amp;$B32&amp;"'!$B$1:$B$999"))/VLOOKUP(P$1, Table1[#All],2, FALSE)</f>
        <v>-1.9698571428571428</v>
      </c>
      <c r="Q32" s="8">
        <f ca="1">SUMIF(INDIRECT("'"&amp;$B32&amp;"'!$F$1:$F$999"), Q$1, INDIRECT("'"&amp;$B32&amp;"'!$B$1:$B$999"))/VLOOKUP(Q$1, Table1[#All],2, FALSE)</f>
        <v>-1</v>
      </c>
      <c r="R32" s="8">
        <f ca="1">SUMIF(INDIRECT("'"&amp;$B32&amp;"'!$F$1:$F$999"), R$1, INDIRECT("'"&amp;$B32&amp;"'!$B$1:$B$999"))/VLOOKUP(R$1, Table1[#All],2, FALSE)</f>
        <v>-0.91392307692307695</v>
      </c>
      <c r="S32" s="8" t="e">
        <f ca="1">SUMIF(INDIRECT("'"&amp;$B32&amp;"'!$F$1:$F$999"), S$1, INDIRECT("'"&amp;$B32&amp;"'!$B$1:$B$999"))/VLOOKUP(S$1, Table1[#All],2, FALSE)</f>
        <v>#N/A</v>
      </c>
      <c r="T32" s="9">
        <f t="shared" ca="1" si="0"/>
        <v>1165.5100000000004</v>
      </c>
      <c r="V32" t="s">
        <v>258</v>
      </c>
      <c r="W32">
        <v>130</v>
      </c>
    </row>
    <row r="33" spans="1:23" x14ac:dyDescent="0.25">
      <c r="A33" s="13">
        <f t="shared" si="2"/>
        <v>44378</v>
      </c>
      <c r="B33" s="12" t="str">
        <f t="shared" si="1"/>
        <v>July 2021</v>
      </c>
      <c r="C33" s="8">
        <f ca="1">SUMIF(INDIRECT("'"&amp;$B33&amp;"'!$F$1:$F$999"), C$1, INDIRECT("'"&amp;$B33&amp;"'!$B$1:$B$999"))/VLOOKUP(C$1, Table1[#All],2, FALSE)</f>
        <v>1.043328968496712</v>
      </c>
      <c r="D33" s="8">
        <f ca="1">SUMIF(INDIRECT("'"&amp;$B33&amp;"'!$F$1:$F$999"), D$1, INDIRECT("'"&amp;$B33&amp;"'!$B$1:$B$999"))/VLOOKUP(D$1, Table1[#All],2, FALSE)</f>
        <v>-1.8609999999999998</v>
      </c>
      <c r="E33" s="8">
        <f ca="1">SUMIF(INDIRECT("'"&amp;$B33&amp;"'!$F$1:$F$999"), E$1, INDIRECT("'"&amp;$B33&amp;"'!$B$1:$B$999"))/VLOOKUP(E$1, Table1[#All],2, FALSE)</f>
        <v>-5.0343347639484975E-2</v>
      </c>
      <c r="F33" s="8">
        <f ca="1">SUMIF(INDIRECT("'"&amp;$B33&amp;"'!$F$1:$F$999"), F$1, INDIRECT("'"&amp;$B33&amp;"'!$B$1:$B$999"))/VLOOKUP(F$1, Table1[#All],2, FALSE)</f>
        <v>-3.3572000000000002</v>
      </c>
      <c r="G33" s="8">
        <f ca="1">SUMIF(INDIRECT("'"&amp;$B33&amp;"'!$F$1:$F$999"), G$1, INDIRECT("'"&amp;$B33&amp;"'!$B$1:$B$999"))/VLOOKUP(G$1, Table1[#All],2, FALSE)</f>
        <v>0</v>
      </c>
      <c r="H33" s="8">
        <f ca="1">SUMIF(INDIRECT("'"&amp;$B33&amp;"'!$F$1:$F$999"), H$1, INDIRECT("'"&amp;$B33&amp;"'!$B$1:$B$999"))/VLOOKUP(H$1, Table1[#All],2, FALSE)</f>
        <v>-2.4090500000000001</v>
      </c>
      <c r="I33" s="8">
        <f ca="1">SUMIF(INDIRECT("'"&amp;$B33&amp;"'!$F$1:$F$999"), I$1, INDIRECT("'"&amp;$B33&amp;"'!$B$1:$B$999"))/VLOOKUP(I$1, Table1[#All],2, FALSE)</f>
        <v>-0.59709999999999996</v>
      </c>
      <c r="J33" s="8">
        <f ca="1">SUMIF(INDIRECT("'"&amp;$B33&amp;"'!$F$1:$F$999"), J$1, INDIRECT("'"&amp;$B33&amp;"'!$B$1:$B$999"))/VLOOKUP(J$1, Table1[#All],2, FALSE)</f>
        <v>36.598199999999999</v>
      </c>
      <c r="K33" s="8">
        <f ca="1">SUMIF(INDIRECT("'"&amp;$B33&amp;"'!$F$1:$F$999"), K$1, INDIRECT("'"&amp;$B33&amp;"'!$B$1:$B$999"))/VLOOKUP(K$1, Table1[#All],2, FALSE)</f>
        <v>0</v>
      </c>
      <c r="L33" s="8">
        <f ca="1">SUMIF(INDIRECT("'"&amp;$B33&amp;"'!$F$1:$F$999"), L$1, INDIRECT("'"&amp;$B33&amp;"'!$B$1:$B$999"))/VLOOKUP(L$1, Table1[#All],2, FALSE)</f>
        <v>0</v>
      </c>
      <c r="M33" s="8">
        <f ca="1">SUMIF(INDIRECT("'"&amp;$B33&amp;"'!$F$1:$F$999"), M$1, INDIRECT("'"&amp;$B33&amp;"'!$B$1:$B$999"))/VLOOKUP(M$1, Table1[#All],2, FALSE)</f>
        <v>-1.4880000000000002</v>
      </c>
      <c r="N33" s="8">
        <f ca="1">SUMIF(INDIRECT("'"&amp;$B33&amp;"'!$F$1:$F$999"), N$1, INDIRECT("'"&amp;$B33&amp;"'!$B$1:$B$999"))/VLOOKUP(N$1, Table1[#All],2, FALSE)</f>
        <v>-154.76399999999998</v>
      </c>
      <c r="O33" s="8">
        <f ca="1">SUMIF(INDIRECT("'"&amp;$B33&amp;"'!$F$1:$F$999"), O$1, INDIRECT("'"&amp;$B33&amp;"'!$B$1:$B$999"))/VLOOKUP(O$1, Table1[#All],2, FALSE)</f>
        <v>0</v>
      </c>
      <c r="P33" s="8">
        <f ca="1">SUMIF(INDIRECT("'"&amp;$B33&amp;"'!$F$1:$F$999"), P$1, INDIRECT("'"&amp;$B33&amp;"'!$B$1:$B$999"))/VLOOKUP(P$1, Table1[#All],2, FALSE)</f>
        <v>0</v>
      </c>
      <c r="Q33" s="8">
        <f ca="1">SUMIF(INDIRECT("'"&amp;$B33&amp;"'!$F$1:$F$999"), Q$1, INDIRECT("'"&amp;$B33&amp;"'!$B$1:$B$999"))/VLOOKUP(Q$1, Table1[#All],2, FALSE)</f>
        <v>-1</v>
      </c>
      <c r="R33" s="8">
        <f ca="1">SUMIF(INDIRECT("'"&amp;$B33&amp;"'!$F$1:$F$999"), R$1, INDIRECT("'"&amp;$B33&amp;"'!$B$1:$B$999"))/VLOOKUP(R$1, Table1[#All],2, FALSE)</f>
        <v>-0.91392307692307695</v>
      </c>
      <c r="S33" s="8" t="e">
        <f ca="1">SUMIF(INDIRECT("'"&amp;$B33&amp;"'!$F$1:$F$999"), S$1, INDIRECT("'"&amp;$B33&amp;"'!$B$1:$B$999"))/VLOOKUP(S$1, Table1[#All],2, FALSE)</f>
        <v>#N/A</v>
      </c>
      <c r="T33" s="9">
        <f t="shared" ca="1" si="0"/>
        <v>1676.6099999999997</v>
      </c>
    </row>
    <row r="34" spans="1:23" x14ac:dyDescent="0.25">
      <c r="A34" s="13">
        <f t="shared" si="2"/>
        <v>44409</v>
      </c>
      <c r="B34" s="12" t="str">
        <f t="shared" si="1"/>
        <v>August 2021</v>
      </c>
      <c r="C34" s="8">
        <f ca="1">SUMIF(INDIRECT("'"&amp;$B34&amp;"'!$F$1:$F$999"), C$1, INDIRECT("'"&amp;$B34&amp;"'!$B$1:$B$999"))/VLOOKUP(C$1, Table1[#All],2, FALSE)</f>
        <v>1.043328968496712</v>
      </c>
      <c r="D34" s="8">
        <f ca="1">SUMIF(INDIRECT("'"&amp;$B34&amp;"'!$F$1:$F$999"), D$1, INDIRECT("'"&amp;$B34&amp;"'!$B$1:$B$999"))/VLOOKUP(D$1, Table1[#All],2, FALSE)</f>
        <v>-3.0609999999999995</v>
      </c>
      <c r="E34" s="8">
        <f ca="1">SUMIF(INDIRECT("'"&amp;$B34&amp;"'!$F$1:$F$999"), E$1, INDIRECT("'"&amp;$B34&amp;"'!$B$1:$B$999"))/VLOOKUP(E$1, Table1[#All],2, FALSE)</f>
        <v>-0.11424463519313305</v>
      </c>
      <c r="F34" s="8">
        <f ca="1">SUMIF(INDIRECT("'"&amp;$B34&amp;"'!$F$1:$F$999"), F$1, INDIRECT("'"&amp;$B34&amp;"'!$B$1:$B$999"))/VLOOKUP(F$1, Table1[#All],2, FALSE)</f>
        <v>-1.4091</v>
      </c>
      <c r="G34" s="8">
        <f ca="1">SUMIF(INDIRECT("'"&amp;$B34&amp;"'!$F$1:$F$999"), G$1, INDIRECT("'"&amp;$B34&amp;"'!$B$1:$B$999"))/VLOOKUP(G$1, Table1[#All],2, FALSE)</f>
        <v>0</v>
      </c>
      <c r="H34" s="8">
        <f ca="1">SUMIF(INDIRECT("'"&amp;$B34&amp;"'!$F$1:$F$999"), H$1, INDIRECT("'"&amp;$B34&amp;"'!$B$1:$B$999"))/VLOOKUP(H$1, Table1[#All],2, FALSE)</f>
        <v>0</v>
      </c>
      <c r="I34" s="8">
        <f ca="1">SUMIF(INDIRECT("'"&amp;$B34&amp;"'!$F$1:$F$999"), I$1, INDIRECT("'"&amp;$B34&amp;"'!$B$1:$B$999"))/VLOOKUP(I$1, Table1[#All],2, FALSE)</f>
        <v>-0.68500000000000005</v>
      </c>
      <c r="J34" s="8">
        <f ca="1">SUMIF(INDIRECT("'"&amp;$B34&amp;"'!$F$1:$F$999"), J$1, INDIRECT("'"&amp;$B34&amp;"'!$B$1:$B$999"))/VLOOKUP(J$1, Table1[#All],2, FALSE)</f>
        <v>-1.6203999999999998</v>
      </c>
      <c r="K34" s="8">
        <f ca="1">SUMIF(INDIRECT("'"&amp;$B34&amp;"'!$F$1:$F$999"), K$1, INDIRECT("'"&amp;$B34&amp;"'!$B$1:$B$999"))/VLOOKUP(K$1, Table1[#All],2, FALSE)</f>
        <v>0</v>
      </c>
      <c r="L34" s="8">
        <f ca="1">SUMIF(INDIRECT("'"&amp;$B34&amp;"'!$F$1:$F$999"), L$1, INDIRECT("'"&amp;$B34&amp;"'!$B$1:$B$999"))/VLOOKUP(L$1, Table1[#All],2, FALSE)</f>
        <v>0</v>
      </c>
      <c r="M34" s="8">
        <f ca="1">SUMIF(INDIRECT("'"&amp;$B34&amp;"'!$F$1:$F$999"), M$1, INDIRECT("'"&amp;$B34&amp;"'!$B$1:$B$999"))/VLOOKUP(M$1, Table1[#All],2, FALSE)</f>
        <v>0</v>
      </c>
      <c r="N34" s="8">
        <f ca="1">SUMIF(INDIRECT("'"&amp;$B34&amp;"'!$F$1:$F$999"), N$1, INDIRECT("'"&amp;$B34&amp;"'!$B$1:$B$999"))/VLOOKUP(N$1, Table1[#All],2, FALSE)</f>
        <v>0</v>
      </c>
      <c r="O34" s="8">
        <f ca="1">SUMIF(INDIRECT("'"&amp;$B34&amp;"'!$F$1:$F$999"), O$1, INDIRECT("'"&amp;$B34&amp;"'!$B$1:$B$999"))/VLOOKUP(O$1, Table1[#All],2, FALSE)</f>
        <v>0</v>
      </c>
      <c r="P34" s="8">
        <f ca="1">SUMIF(INDIRECT("'"&amp;$B34&amp;"'!$F$1:$F$999"), P$1, INDIRECT("'"&amp;$B34&amp;"'!$B$1:$B$999"))/VLOOKUP(P$1, Table1[#All],2, FALSE)</f>
        <v>0</v>
      </c>
      <c r="Q34" s="8">
        <f ca="1">SUMIF(INDIRECT("'"&amp;$B34&amp;"'!$F$1:$F$999"), Q$1, INDIRECT("'"&amp;$B34&amp;"'!$B$1:$B$999"))/VLOOKUP(Q$1, Table1[#All],2, FALSE)</f>
        <v>-1</v>
      </c>
      <c r="R34" s="8">
        <f ca="1">SUMIF(INDIRECT("'"&amp;$B34&amp;"'!$F$1:$F$999"), R$1, INDIRECT("'"&amp;$B34&amp;"'!$B$1:$B$999"))/VLOOKUP(R$1, Table1[#All],2, FALSE)</f>
        <v>-0.91392307692307695</v>
      </c>
      <c r="S34" s="8" t="e">
        <f ca="1">SUMIF(INDIRECT("'"&amp;$B34&amp;"'!$F$1:$F$999"), S$1, INDIRECT("'"&amp;$B34&amp;"'!$B$1:$B$999"))/VLOOKUP(S$1, Table1[#All],2, FALSE)</f>
        <v>#N/A</v>
      </c>
      <c r="T34" s="9">
        <f t="shared" ca="1" si="0"/>
        <v>1798.8399999999988</v>
      </c>
    </row>
    <row r="35" spans="1:23" x14ac:dyDescent="0.25">
      <c r="A35" s="13">
        <f t="shared" si="2"/>
        <v>44440</v>
      </c>
      <c r="B35" s="12" t="str">
        <f t="shared" si="1"/>
        <v>September 2021</v>
      </c>
      <c r="C35" s="8">
        <f ca="1">SUMIF(INDIRECT("'"&amp;$B35&amp;"'!$F$1:$F$999"), C$1, INDIRECT("'"&amp;$B35&amp;"'!$B$1:$B$999"))/VLOOKUP(C$1, Table1[#All],2, FALSE)</f>
        <v>1.0435488033338431</v>
      </c>
      <c r="D35" s="8">
        <f ca="1">SUMIF(INDIRECT("'"&amp;$B35&amp;"'!$F$1:$F$999"), D$1, INDIRECT("'"&amp;$B35&amp;"'!$B$1:$B$999"))/VLOOKUP(D$1, Table1[#All],2, FALSE)</f>
        <v>-2.5434750000000004</v>
      </c>
      <c r="E35" s="8">
        <f ca="1">SUMIF(INDIRECT("'"&amp;$B35&amp;"'!$F$1:$F$999"), E$1, INDIRECT("'"&amp;$B35&amp;"'!$B$1:$B$999"))/VLOOKUP(E$1, Table1[#All],2, FALSE)</f>
        <v>6.0343347639484979E-3</v>
      </c>
      <c r="F35" s="8">
        <f ca="1">SUMIF(INDIRECT("'"&amp;$B35&amp;"'!$F$1:$F$999"), F$1, INDIRECT("'"&amp;$B35&amp;"'!$B$1:$B$999"))/VLOOKUP(F$1, Table1[#All],2, FALSE)</f>
        <v>-0.70770000000000011</v>
      </c>
      <c r="G35" s="8">
        <f ca="1">SUMIF(INDIRECT("'"&amp;$B35&amp;"'!$F$1:$F$999"), G$1, INDIRECT("'"&amp;$B35&amp;"'!$B$1:$B$999"))/VLOOKUP(G$1, Table1[#All],2, FALSE)</f>
        <v>-7.7600000000000002E-2</v>
      </c>
      <c r="H35" s="8">
        <f ca="1">SUMIF(INDIRECT("'"&amp;$B35&amp;"'!$F$1:$F$999"), H$1, INDIRECT("'"&amp;$B35&amp;"'!$B$1:$B$999"))/VLOOKUP(H$1, Table1[#All],2, FALSE)</f>
        <v>0</v>
      </c>
      <c r="I35" s="8">
        <f ca="1">SUMIF(INDIRECT("'"&amp;$B35&amp;"'!$F$1:$F$999"), I$1, INDIRECT("'"&amp;$B35&amp;"'!$B$1:$B$999"))/VLOOKUP(I$1, Table1[#All],2, FALSE)</f>
        <v>-0.7177</v>
      </c>
      <c r="J35" s="8">
        <f ca="1">SUMIF(INDIRECT("'"&amp;$B35&amp;"'!$F$1:$F$999"), J$1, INDIRECT("'"&amp;$B35&amp;"'!$B$1:$B$999"))/VLOOKUP(J$1, Table1[#All],2, FALSE)</f>
        <v>-26.5138</v>
      </c>
      <c r="K35" s="8">
        <f ca="1">SUMIF(INDIRECT("'"&amp;$B35&amp;"'!$F$1:$F$999"), K$1, INDIRECT("'"&amp;$B35&amp;"'!$B$1:$B$999"))/VLOOKUP(K$1, Table1[#All],2, FALSE)</f>
        <v>0</v>
      </c>
      <c r="L35" s="8">
        <f ca="1">SUMIF(INDIRECT("'"&amp;$B35&amp;"'!$F$1:$F$999"), L$1, INDIRECT("'"&amp;$B35&amp;"'!$B$1:$B$999"))/VLOOKUP(L$1, Table1[#All],2, FALSE)</f>
        <v>-2.5</v>
      </c>
      <c r="M35" s="8">
        <f ca="1">SUMIF(INDIRECT("'"&amp;$B35&amp;"'!$F$1:$F$999"), M$1, INDIRECT("'"&amp;$B35&amp;"'!$B$1:$B$999"))/VLOOKUP(M$1, Table1[#All],2, FALSE)</f>
        <v>0</v>
      </c>
      <c r="N35" s="8">
        <f ca="1">SUMIF(INDIRECT("'"&amp;$B35&amp;"'!$F$1:$F$999"), N$1, INDIRECT("'"&amp;$B35&amp;"'!$B$1:$B$999"))/VLOOKUP(N$1, Table1[#All],2, FALSE)</f>
        <v>0</v>
      </c>
      <c r="O35" s="8">
        <f ca="1">SUMIF(INDIRECT("'"&amp;$B35&amp;"'!$F$1:$F$999"), O$1, INDIRECT("'"&amp;$B35&amp;"'!$B$1:$B$999"))/VLOOKUP(O$1, Table1[#All],2, FALSE)</f>
        <v>-0.73499999999999999</v>
      </c>
      <c r="P35" s="8">
        <f ca="1">SUMIF(INDIRECT("'"&amp;$B35&amp;"'!$F$1:$F$999"), P$1, INDIRECT("'"&amp;$B35&amp;"'!$B$1:$B$999"))/VLOOKUP(P$1, Table1[#All],2, FALSE)</f>
        <v>-0.32485714285714284</v>
      </c>
      <c r="Q35" s="8">
        <f ca="1">SUMIF(INDIRECT("'"&amp;$B35&amp;"'!$F$1:$F$999"), Q$1, INDIRECT("'"&amp;$B35&amp;"'!$B$1:$B$999"))/VLOOKUP(Q$1, Table1[#All],2, FALSE)</f>
        <v>-1.0291666666666666</v>
      </c>
      <c r="R35" s="8">
        <f ca="1">SUMIF(INDIRECT("'"&amp;$B35&amp;"'!$F$1:$F$999"), R$1, INDIRECT("'"&amp;$B35&amp;"'!$B$1:$B$999"))/VLOOKUP(R$1, Table1[#All],2, FALSE)</f>
        <v>-0.95661538461538465</v>
      </c>
      <c r="S35" s="8" t="e">
        <f ca="1">SUMIF(INDIRECT("'"&amp;$B35&amp;"'!$F$1:$F$999"), S$1, INDIRECT("'"&amp;$B35&amp;"'!$B$1:$B$999"))/VLOOKUP(S$1, Table1[#All],2, FALSE)</f>
        <v>#N/A</v>
      </c>
      <c r="T35" s="9">
        <f t="shared" ref="T35:T66" ca="1" si="3">SUM(INDIRECT("'"&amp;B35&amp;"'!B1:B999"))</f>
        <v>190.92000000000147</v>
      </c>
      <c r="V35" t="s">
        <v>105</v>
      </c>
      <c r="W35" t="s">
        <v>107</v>
      </c>
    </row>
    <row r="36" spans="1:23" x14ac:dyDescent="0.25">
      <c r="A36" s="13">
        <f t="shared" si="2"/>
        <v>44470</v>
      </c>
      <c r="B36" s="12" t="str">
        <f t="shared" si="1"/>
        <v>October 2021</v>
      </c>
      <c r="C36" s="8">
        <f ca="1">SUMIF(INDIRECT("'"&amp;$B36&amp;"'!$F$1:$F$999"), C$1, INDIRECT("'"&amp;$B36&amp;"'!$B$1:$B$999"))/VLOOKUP(C$1, Table1[#All],2, FALSE)</f>
        <v>1.0698453509710966</v>
      </c>
      <c r="D36" s="8">
        <f ca="1">SUMIF(INDIRECT("'"&amp;$B36&amp;"'!$F$1:$F$999"), D$1, INDIRECT("'"&amp;$B36&amp;"'!$B$1:$B$999"))/VLOOKUP(D$1, Table1[#All],2, FALSE)</f>
        <v>-2.0486750000000002</v>
      </c>
      <c r="E36" s="8">
        <f ca="1">SUMIF(INDIRECT("'"&amp;$B36&amp;"'!$F$1:$F$999"), E$1, INDIRECT("'"&amp;$B36&amp;"'!$B$1:$B$999"))/VLOOKUP(E$1, Table1[#All],2, FALSE)</f>
        <v>9.2746781115879886E-3</v>
      </c>
      <c r="F36" s="8">
        <f ca="1">SUMIF(INDIRECT("'"&amp;$B36&amp;"'!$F$1:$F$999"), F$1, INDIRECT("'"&amp;$B36&amp;"'!$B$1:$B$999"))/VLOOKUP(F$1, Table1[#All],2, FALSE)</f>
        <v>-0.5325000000000002</v>
      </c>
      <c r="G36" s="8">
        <f ca="1">SUMIF(INDIRECT("'"&amp;$B36&amp;"'!$F$1:$F$999"), G$1, INDIRECT("'"&amp;$B36&amp;"'!$B$1:$B$999"))/VLOOKUP(G$1, Table1[#All],2, FALSE)</f>
        <v>0</v>
      </c>
      <c r="H36" s="8">
        <f ca="1">SUMIF(INDIRECT("'"&amp;$B36&amp;"'!$F$1:$F$999"), H$1, INDIRECT("'"&amp;$B36&amp;"'!$B$1:$B$999"))/VLOOKUP(H$1, Table1[#All],2, FALSE)</f>
        <v>-0.99885000000000002</v>
      </c>
      <c r="I36" s="8">
        <f ca="1">SUMIF(INDIRECT("'"&amp;$B36&amp;"'!$F$1:$F$999"), I$1, INDIRECT("'"&amp;$B36&amp;"'!$B$1:$B$999"))/VLOOKUP(I$1, Table1[#All],2, FALSE)</f>
        <v>-1.2547999999999999</v>
      </c>
      <c r="J36" s="8">
        <f ca="1">SUMIF(INDIRECT("'"&amp;$B36&amp;"'!$F$1:$F$999"), J$1, INDIRECT("'"&amp;$B36&amp;"'!$B$1:$B$999"))/VLOOKUP(J$1, Table1[#All],2, FALSE)</f>
        <v>-3.4184000000000001</v>
      </c>
      <c r="K36" s="8">
        <f ca="1">SUMIF(INDIRECT("'"&amp;$B36&amp;"'!$F$1:$F$999"), K$1, INDIRECT("'"&amp;$B36&amp;"'!$B$1:$B$999"))/VLOOKUP(K$1, Table1[#All],2, FALSE)</f>
        <v>0</v>
      </c>
      <c r="L36" s="8">
        <f ca="1">SUMIF(INDIRECT("'"&amp;$B36&amp;"'!$F$1:$F$999"), L$1, INDIRECT("'"&amp;$B36&amp;"'!$B$1:$B$999"))/VLOOKUP(L$1, Table1[#All],2, FALSE)</f>
        <v>0</v>
      </c>
      <c r="M36" s="8">
        <f ca="1">SUMIF(INDIRECT("'"&amp;$B36&amp;"'!$F$1:$F$999"), M$1, INDIRECT("'"&amp;$B36&amp;"'!$B$1:$B$999"))/VLOOKUP(M$1, Table1[#All],2, FALSE)</f>
        <v>-1.62</v>
      </c>
      <c r="N36" s="8">
        <f ca="1">SUMIF(INDIRECT("'"&amp;$B36&amp;"'!$F$1:$F$999"), N$1, INDIRECT("'"&amp;$B36&amp;"'!$B$1:$B$999"))/VLOOKUP(N$1, Table1[#All],2, FALSE)</f>
        <v>0</v>
      </c>
      <c r="O36" s="8">
        <f ca="1">SUMIF(INDIRECT("'"&amp;$B36&amp;"'!$F$1:$F$999"), O$1, INDIRECT("'"&amp;$B36&amp;"'!$B$1:$B$999"))/VLOOKUP(O$1, Table1[#All],2, FALSE)</f>
        <v>0</v>
      </c>
      <c r="P36" s="8">
        <f ca="1">SUMIF(INDIRECT("'"&amp;$B36&amp;"'!$F$1:$F$999"), P$1, INDIRECT("'"&amp;$B36&amp;"'!$B$1:$B$999"))/VLOOKUP(P$1, Table1[#All],2, FALSE)</f>
        <v>-0.16500000000000001</v>
      </c>
      <c r="Q36" s="8">
        <f ca="1">SUMIF(INDIRECT("'"&amp;$B36&amp;"'!$F$1:$F$999"), Q$1, INDIRECT("'"&amp;$B36&amp;"'!$B$1:$B$999"))/VLOOKUP(Q$1, Table1[#All],2, FALSE)</f>
        <v>-1.0291666666666666</v>
      </c>
      <c r="R36" s="8">
        <f ca="1">SUMIF(INDIRECT("'"&amp;$B36&amp;"'!$F$1:$F$999"), R$1, INDIRECT("'"&amp;$B36&amp;"'!$B$1:$B$999"))/VLOOKUP(R$1, Table1[#All],2, FALSE)</f>
        <v>-0.97223076923076923</v>
      </c>
      <c r="S36" s="8" t="e">
        <f ca="1">SUMIF(INDIRECT("'"&amp;$B36&amp;"'!$F$1:$F$999"), S$1, INDIRECT("'"&amp;$B36&amp;"'!$B$1:$B$999"))/VLOOKUP(S$1, Table1[#All],2, FALSE)</f>
        <v>#N/A</v>
      </c>
      <c r="T36" s="9">
        <f t="shared" ca="1" si="3"/>
        <v>1551.8200000000011</v>
      </c>
      <c r="V36" s="3">
        <f ca="1">SUMIF(P2:P9999,"&lt;&gt;#REF!")</f>
        <v>-41.78642857142858</v>
      </c>
      <c r="W36" s="1">
        <f ca="1">V36/W11</f>
        <v>-1.7934089515634584E-2</v>
      </c>
    </row>
    <row r="37" spans="1:23" x14ac:dyDescent="0.25">
      <c r="A37" s="13">
        <f t="shared" si="2"/>
        <v>44501</v>
      </c>
      <c r="B37" s="12" t="str">
        <f t="shared" si="1"/>
        <v>November 2021</v>
      </c>
      <c r="C37" s="8">
        <f ca="1">SUMIF(INDIRECT("'"&amp;$B37&amp;"'!$F$1:$F$999"), C$1, INDIRECT("'"&amp;$B37&amp;"'!$B$1:$B$999"))/VLOOKUP(C$1, Table1[#All],2, FALSE)</f>
        <v>1.1196236045266861</v>
      </c>
      <c r="D37" s="8">
        <f ca="1">SUMIF(INDIRECT("'"&amp;$B37&amp;"'!$F$1:$F$999"), D$1, INDIRECT("'"&amp;$B37&amp;"'!$B$1:$B$999"))/VLOOKUP(D$1, Table1[#All],2, FALSE)</f>
        <v>-2.4487000000000005</v>
      </c>
      <c r="E37" s="8">
        <f ca="1">SUMIF(INDIRECT("'"&amp;$B37&amp;"'!$F$1:$F$999"), E$1, INDIRECT("'"&amp;$B37&amp;"'!$B$1:$B$999"))/VLOOKUP(E$1, Table1[#All],2, FALSE)</f>
        <v>9.090987124463519E-2</v>
      </c>
      <c r="F37" s="8">
        <f ca="1">SUMIF(INDIRECT("'"&amp;$B37&amp;"'!$F$1:$F$999"), F$1, INDIRECT("'"&amp;$B37&amp;"'!$B$1:$B$999"))/VLOOKUP(F$1, Table1[#All],2, FALSE)</f>
        <v>-1.8105000000000002</v>
      </c>
      <c r="G37" s="8">
        <f ca="1">SUMIF(INDIRECT("'"&amp;$B37&amp;"'!$F$1:$F$999"), G$1, INDIRECT("'"&amp;$B37&amp;"'!$B$1:$B$999"))/VLOOKUP(G$1, Table1[#All],2, FALSE)</f>
        <v>0</v>
      </c>
      <c r="H37" s="8">
        <f ca="1">SUMIF(INDIRECT("'"&amp;$B37&amp;"'!$F$1:$F$999"), H$1, INDIRECT("'"&amp;$B37&amp;"'!$B$1:$B$999"))/VLOOKUP(H$1, Table1[#All],2, FALSE)</f>
        <v>-1.0101500000000001</v>
      </c>
      <c r="I37" s="8">
        <f ca="1">SUMIF(INDIRECT("'"&amp;$B37&amp;"'!$F$1:$F$999"), I$1, INDIRECT("'"&amp;$B37&amp;"'!$B$1:$B$999"))/VLOOKUP(I$1, Table1[#All],2, FALSE)</f>
        <v>-1.5833999999999997</v>
      </c>
      <c r="J37" s="8">
        <f ca="1">SUMIF(INDIRECT("'"&amp;$B37&amp;"'!$F$1:$F$999"), J$1, INDIRECT("'"&amp;$B37&amp;"'!$B$1:$B$999"))/VLOOKUP(J$1, Table1[#All],2, FALSE)</f>
        <v>-0.78120000000000001</v>
      </c>
      <c r="K37" s="8">
        <f ca="1">SUMIF(INDIRECT("'"&amp;$B37&amp;"'!$F$1:$F$999"), K$1, INDIRECT("'"&amp;$B37&amp;"'!$B$1:$B$999"))/VLOOKUP(K$1, Table1[#All],2, FALSE)</f>
        <v>0</v>
      </c>
      <c r="L37" s="8">
        <f ca="1">SUMIF(INDIRECT("'"&amp;$B37&amp;"'!$F$1:$F$999"), L$1, INDIRECT("'"&amp;$B37&amp;"'!$B$1:$B$999"))/VLOOKUP(L$1, Table1[#All],2, FALSE)</f>
        <v>0</v>
      </c>
      <c r="M37" s="8">
        <f ca="1">SUMIF(INDIRECT("'"&amp;$B37&amp;"'!$F$1:$F$999"), M$1, INDIRECT("'"&amp;$B37&amp;"'!$B$1:$B$999"))/VLOOKUP(M$1, Table1[#All],2, FALSE)</f>
        <v>0</v>
      </c>
      <c r="N37" s="8">
        <f ca="1">SUMIF(INDIRECT("'"&amp;$B37&amp;"'!$F$1:$F$999"), N$1, INDIRECT("'"&amp;$B37&amp;"'!$B$1:$B$999"))/VLOOKUP(N$1, Table1[#All],2, FALSE)</f>
        <v>-19.231000000000002</v>
      </c>
      <c r="O37" s="8">
        <f ca="1">SUMIF(INDIRECT("'"&amp;$B37&amp;"'!$F$1:$F$999"), O$1, INDIRECT("'"&amp;$B37&amp;"'!$B$1:$B$999"))/VLOOKUP(O$1, Table1[#All],2, FALSE)</f>
        <v>-0.63</v>
      </c>
      <c r="P37" s="8">
        <f ca="1">SUMIF(INDIRECT("'"&amp;$B37&amp;"'!$F$1:$F$999"), P$1, INDIRECT("'"&amp;$B37&amp;"'!$B$1:$B$999"))/VLOOKUP(P$1, Table1[#All],2, FALSE)</f>
        <v>0</v>
      </c>
      <c r="Q37" s="8">
        <f ca="1">SUMIF(INDIRECT("'"&amp;$B37&amp;"'!$F$1:$F$999"), Q$1, INDIRECT("'"&amp;$B37&amp;"'!$B$1:$B$999"))/VLOOKUP(Q$1, Table1[#All],2, FALSE)</f>
        <v>-1.0291666666666666</v>
      </c>
      <c r="R37" s="8">
        <f ca="1">SUMIF(INDIRECT("'"&amp;$B37&amp;"'!$F$1:$F$999"), R$1, INDIRECT("'"&amp;$B37&amp;"'!$B$1:$B$999"))/VLOOKUP(R$1, Table1[#All],2, FALSE)</f>
        <v>-0.95661538461538465</v>
      </c>
      <c r="S37" s="8" t="e">
        <f ca="1">SUMIF(INDIRECT("'"&amp;$B37&amp;"'!$F$1:$F$999"), S$1, INDIRECT("'"&amp;$B37&amp;"'!$B$1:$B$999"))/VLOOKUP(S$1, Table1[#All],2, FALSE)</f>
        <v>#N/A</v>
      </c>
      <c r="T37" s="9">
        <f t="shared" ca="1" si="3"/>
        <v>1330.6299999999987</v>
      </c>
    </row>
    <row r="38" spans="1:23" x14ac:dyDescent="0.25">
      <c r="A38" s="13">
        <f t="shared" si="2"/>
        <v>44531</v>
      </c>
      <c r="B38" s="12" t="str">
        <f t="shared" si="1"/>
        <v>December 2021</v>
      </c>
      <c r="C38" s="8">
        <f ca="1">SUMIF(INDIRECT("'"&amp;$B38&amp;"'!$F$1:$F$999"), C$1, INDIRECT("'"&amp;$B38&amp;"'!$B$1:$B$999"))/VLOOKUP(C$1, Table1[#All],2, FALSE)</f>
        <v>1.1334755887750418</v>
      </c>
      <c r="D38" s="8">
        <f ca="1">SUMIF(INDIRECT("'"&amp;$B38&amp;"'!$F$1:$F$999"), D$1, INDIRECT("'"&amp;$B38&amp;"'!$B$1:$B$999"))/VLOOKUP(D$1, Table1[#All],2, FALSE)</f>
        <v>-2.9607249999999978</v>
      </c>
      <c r="E38" s="8">
        <f ca="1">SUMIF(INDIRECT("'"&amp;$B38&amp;"'!$F$1:$F$999"), E$1, INDIRECT("'"&amp;$B38&amp;"'!$B$1:$B$999"))/VLOOKUP(E$1, Table1[#All],2, FALSE)</f>
        <v>5.9527896995708153E-3</v>
      </c>
      <c r="F38" s="8">
        <f ca="1">SUMIF(INDIRECT("'"&amp;$B38&amp;"'!$F$1:$F$999"), F$1, INDIRECT("'"&amp;$B38&amp;"'!$B$1:$B$999"))/VLOOKUP(F$1, Table1[#All],2, FALSE)</f>
        <v>-0.86690000000000011</v>
      </c>
      <c r="G38" s="8">
        <f ca="1">SUMIF(INDIRECT("'"&amp;$B38&amp;"'!$F$1:$F$999"), G$1, INDIRECT("'"&amp;$B38&amp;"'!$B$1:$B$999"))/VLOOKUP(G$1, Table1[#All],2, FALSE)</f>
        <v>-0.22190000000000001</v>
      </c>
      <c r="H38" s="8">
        <f ca="1">SUMIF(INDIRECT("'"&amp;$B38&amp;"'!$F$1:$F$999"), H$1, INDIRECT("'"&amp;$B38&amp;"'!$B$1:$B$999"))/VLOOKUP(H$1, Table1[#All],2, FALSE)</f>
        <v>-2.6908499999999997</v>
      </c>
      <c r="I38" s="8">
        <f ca="1">SUMIF(INDIRECT("'"&amp;$B38&amp;"'!$F$1:$F$999"), I$1, INDIRECT("'"&amp;$B38&amp;"'!$B$1:$B$999"))/VLOOKUP(I$1, Table1[#All],2, FALSE)</f>
        <v>-1.1577000000000002</v>
      </c>
      <c r="J38" s="8">
        <f ca="1">SUMIF(INDIRECT("'"&amp;$B38&amp;"'!$F$1:$F$999"), J$1, INDIRECT("'"&amp;$B38&amp;"'!$B$1:$B$999"))/VLOOKUP(J$1, Table1[#All],2, FALSE)</f>
        <v>-1.571</v>
      </c>
      <c r="K38" s="8">
        <f ca="1">SUMIF(INDIRECT("'"&amp;$B38&amp;"'!$F$1:$F$999"), K$1, INDIRECT("'"&amp;$B38&amp;"'!$B$1:$B$999"))/VLOOKUP(K$1, Table1[#All],2, FALSE)</f>
        <v>0</v>
      </c>
      <c r="L38" s="8">
        <f ca="1">SUMIF(INDIRECT("'"&amp;$B38&amp;"'!$F$1:$F$999"), L$1, INDIRECT("'"&amp;$B38&amp;"'!$B$1:$B$999"))/VLOOKUP(L$1, Table1[#All],2, FALSE)</f>
        <v>0</v>
      </c>
      <c r="M38" s="8">
        <f ca="1">SUMIF(INDIRECT("'"&amp;$B38&amp;"'!$F$1:$F$999"), M$1, INDIRECT("'"&amp;$B38&amp;"'!$B$1:$B$999"))/VLOOKUP(M$1, Table1[#All],2, FALSE)</f>
        <v>0</v>
      </c>
      <c r="N38" s="8">
        <f ca="1">SUMIF(INDIRECT("'"&amp;$B38&amp;"'!$F$1:$F$999"), N$1, INDIRECT("'"&amp;$B38&amp;"'!$B$1:$B$999"))/VLOOKUP(N$1, Table1[#All],2, FALSE)</f>
        <v>0</v>
      </c>
      <c r="O38" s="8">
        <f ca="1">SUMIF(INDIRECT("'"&amp;$B38&amp;"'!$F$1:$F$999"), O$1, INDIRECT("'"&amp;$B38&amp;"'!$B$1:$B$999"))/VLOOKUP(O$1, Table1[#All],2, FALSE)</f>
        <v>-1.4905999999999997</v>
      </c>
      <c r="P38" s="8">
        <f ca="1">SUMIF(INDIRECT("'"&amp;$B38&amp;"'!$F$1:$F$999"), P$1, INDIRECT("'"&amp;$B38&amp;"'!$B$1:$B$999"))/VLOOKUP(P$1, Table1[#All],2, FALSE)</f>
        <v>-1.607</v>
      </c>
      <c r="Q38" s="8">
        <f ca="1">SUMIF(INDIRECT("'"&amp;$B38&amp;"'!$F$1:$F$999"), Q$1, INDIRECT("'"&amp;$B38&amp;"'!$B$1:$B$999"))/VLOOKUP(Q$1, Table1[#All],2, FALSE)</f>
        <v>-1.0291666666666666</v>
      </c>
      <c r="R38" s="8">
        <f ca="1">SUMIF(INDIRECT("'"&amp;$B38&amp;"'!$F$1:$F$999"), R$1, INDIRECT("'"&amp;$B38&amp;"'!$B$1:$B$999"))/VLOOKUP(R$1, Table1[#All],2, FALSE)</f>
        <v>-0.95661538461538465</v>
      </c>
      <c r="S38" s="8" t="e">
        <f ca="1">SUMIF(INDIRECT("'"&amp;$B38&amp;"'!$F$1:$F$999"), S$1, INDIRECT("'"&amp;$B38&amp;"'!$B$1:$B$999"))/VLOOKUP(S$1, Table1[#All],2, FALSE)</f>
        <v>#N/A</v>
      </c>
      <c r="T38" s="9">
        <f t="shared" ca="1" si="3"/>
        <v>1157.6399999999987</v>
      </c>
    </row>
    <row r="39" spans="1:23" x14ac:dyDescent="0.25">
      <c r="A39" s="13">
        <f t="shared" si="2"/>
        <v>44562</v>
      </c>
      <c r="B39" s="12" t="str">
        <f t="shared" si="1"/>
        <v>January 2022</v>
      </c>
      <c r="C39" s="8">
        <f ca="1">SUMIF(INDIRECT("'"&amp;$B39&amp;"'!$F$1:$F$999"), C$1, INDIRECT("'"&amp;$B39&amp;"'!$B$1:$B$999"))/VLOOKUP(C$1, Table1[#All],2, FALSE)</f>
        <v>1.7579666233369018</v>
      </c>
      <c r="D39" s="8">
        <f ca="1">SUMIF(INDIRECT("'"&amp;$B39&amp;"'!$F$1:$F$999"), D$1, INDIRECT("'"&amp;$B39&amp;"'!$B$1:$B$999"))/VLOOKUP(D$1, Table1[#All],2, FALSE)</f>
        <v>-3.1675249999999995</v>
      </c>
      <c r="E39" s="8">
        <f ca="1">SUMIF(INDIRECT("'"&amp;$B39&amp;"'!$F$1:$F$999"), E$1, INDIRECT("'"&amp;$B39&amp;"'!$B$1:$B$999"))/VLOOKUP(E$1, Table1[#All],2, FALSE)</f>
        <v>6.0901287553648065E-3</v>
      </c>
      <c r="F39" s="8">
        <f ca="1">SUMIF(INDIRECT("'"&amp;$B39&amp;"'!$F$1:$F$999"), F$1, INDIRECT("'"&amp;$B39&amp;"'!$B$1:$B$999"))/VLOOKUP(F$1, Table1[#All],2, FALSE)</f>
        <v>-1.8158000000000001</v>
      </c>
      <c r="G39" s="8">
        <f ca="1">SUMIF(INDIRECT("'"&amp;$B39&amp;"'!$F$1:$F$999"), G$1, INDIRECT("'"&amp;$B39&amp;"'!$B$1:$B$999"))/VLOOKUP(G$1, Table1[#All],2, FALSE)</f>
        <v>0</v>
      </c>
      <c r="H39" s="8">
        <f ca="1">SUMIF(INDIRECT("'"&amp;$B39&amp;"'!$F$1:$F$999"), H$1, INDIRECT("'"&amp;$B39&amp;"'!$B$1:$B$999"))/VLOOKUP(H$1, Table1[#All],2, FALSE)</f>
        <v>-20.631799999999998</v>
      </c>
      <c r="I39" s="8">
        <f ca="1">SUMIF(INDIRECT("'"&amp;$B39&amp;"'!$F$1:$F$999"), I$1, INDIRECT("'"&amp;$B39&amp;"'!$B$1:$B$999"))/VLOOKUP(I$1, Table1[#All],2, FALSE)</f>
        <v>-1.1552</v>
      </c>
      <c r="J39" s="8">
        <f ca="1">SUMIF(INDIRECT("'"&amp;$B39&amp;"'!$F$1:$F$999"), J$1, INDIRECT("'"&amp;$B39&amp;"'!$B$1:$B$999"))/VLOOKUP(J$1, Table1[#All],2, FALSE)</f>
        <v>-3.3968000000000003</v>
      </c>
      <c r="K39" s="8">
        <f ca="1">SUMIF(INDIRECT("'"&amp;$B39&amp;"'!$F$1:$F$999"), K$1, INDIRECT("'"&amp;$B39&amp;"'!$B$1:$B$999"))/VLOOKUP(K$1, Table1[#All],2, FALSE)</f>
        <v>0</v>
      </c>
      <c r="L39" s="8">
        <f ca="1">SUMIF(INDIRECT("'"&amp;$B39&amp;"'!$F$1:$F$999"), L$1, INDIRECT("'"&amp;$B39&amp;"'!$B$1:$B$999"))/VLOOKUP(L$1, Table1[#All],2, FALSE)</f>
        <v>0</v>
      </c>
      <c r="M39" s="8">
        <f ca="1">SUMIF(INDIRECT("'"&amp;$B39&amp;"'!$F$1:$F$999"), M$1, INDIRECT("'"&amp;$B39&amp;"'!$B$1:$B$999"))/VLOOKUP(M$1, Table1[#All],2, FALSE)</f>
        <v>0</v>
      </c>
      <c r="N39" s="8">
        <f ca="1">SUMIF(INDIRECT("'"&amp;$B39&amp;"'!$F$1:$F$999"), N$1, INDIRECT("'"&amp;$B39&amp;"'!$B$1:$B$999"))/VLOOKUP(N$1, Table1[#All],2, FALSE)</f>
        <v>0</v>
      </c>
      <c r="O39" s="8">
        <f ca="1">SUMIF(INDIRECT("'"&amp;$B39&amp;"'!$F$1:$F$999"), O$1, INDIRECT("'"&amp;$B39&amp;"'!$B$1:$B$999"))/VLOOKUP(O$1, Table1[#All],2, FALSE)</f>
        <v>0</v>
      </c>
      <c r="P39" s="8">
        <f ca="1">SUMIF(INDIRECT("'"&amp;$B39&amp;"'!$F$1:$F$999"), P$1, INDIRECT("'"&amp;$B39&amp;"'!$B$1:$B$999"))/VLOOKUP(P$1, Table1[#All],2, FALSE)</f>
        <v>0</v>
      </c>
      <c r="Q39" s="8">
        <f ca="1">SUMIF(INDIRECT("'"&amp;$B39&amp;"'!$F$1:$F$999"), Q$1, INDIRECT("'"&amp;$B39&amp;"'!$B$1:$B$999"))/VLOOKUP(Q$1, Table1[#All],2, FALSE)</f>
        <v>-1.0291666666666666</v>
      </c>
      <c r="R39" s="8">
        <f ca="1">SUMIF(INDIRECT("'"&amp;$B39&amp;"'!$F$1:$F$999"), R$1, INDIRECT("'"&amp;$B39&amp;"'!$B$1:$B$999"))/VLOOKUP(R$1, Table1[#All],2, FALSE)</f>
        <v>-0.95661538461538465</v>
      </c>
      <c r="S39" s="8" t="e">
        <f ca="1">SUMIF(INDIRECT("'"&amp;$B39&amp;"'!$F$1:$F$999"), S$1, INDIRECT("'"&amp;$B39&amp;"'!$B$1:$B$999"))/VLOOKUP(S$1, Table1[#All],2, FALSE)</f>
        <v>#N/A</v>
      </c>
      <c r="T39" s="9">
        <f t="shared" ca="1" si="3"/>
        <v>123.1599999999999</v>
      </c>
    </row>
    <row r="40" spans="1:23" x14ac:dyDescent="0.25">
      <c r="A40" s="13">
        <f t="shared" si="2"/>
        <v>44593</v>
      </c>
      <c r="B40" s="12" t="str">
        <f t="shared" si="1"/>
        <v>February 2022</v>
      </c>
      <c r="C40" s="8">
        <f ca="1">SUMIF(INDIRECT("'"&amp;$B40&amp;"'!$F$1:$F$999"), C$1, INDIRECT("'"&amp;$B40&amp;"'!$B$1:$B$999"))/VLOOKUP(C$1, Table1[#All],2, FALSE)</f>
        <v>1.0934991015445787</v>
      </c>
      <c r="D40" s="8">
        <f ca="1">SUMIF(INDIRECT("'"&amp;$B40&amp;"'!$F$1:$F$999"), D$1, INDIRECT("'"&amp;$B40&amp;"'!$B$1:$B$999"))/VLOOKUP(D$1, Table1[#All],2, FALSE)</f>
        <v>-2.7825250000000001</v>
      </c>
      <c r="E40" s="8">
        <f ca="1">SUMIF(INDIRECT("'"&amp;$B40&amp;"'!$F$1:$F$999"), E$1, INDIRECT("'"&amp;$B40&amp;"'!$B$1:$B$999"))/VLOOKUP(E$1, Table1[#All],2, FALSE)</f>
        <v>-6.366523605150215E-2</v>
      </c>
      <c r="F40" s="8">
        <f ca="1">SUMIF(INDIRECT("'"&amp;$B40&amp;"'!$F$1:$F$999"), F$1, INDIRECT("'"&amp;$B40&amp;"'!$B$1:$B$999"))/VLOOKUP(F$1, Table1[#All],2, FALSE)</f>
        <v>-1.4642999999999997</v>
      </c>
      <c r="G40" s="8">
        <f ca="1">SUMIF(INDIRECT("'"&amp;$B40&amp;"'!$F$1:$F$999"), G$1, INDIRECT("'"&amp;$B40&amp;"'!$B$1:$B$999"))/VLOOKUP(G$1, Table1[#All],2, FALSE)</f>
        <v>0</v>
      </c>
      <c r="H40" s="8">
        <f ca="1">SUMIF(INDIRECT("'"&amp;$B40&amp;"'!$F$1:$F$999"), H$1, INDIRECT("'"&amp;$B40&amp;"'!$B$1:$B$999"))/VLOOKUP(H$1, Table1[#All],2, FALSE)</f>
        <v>0</v>
      </c>
      <c r="I40" s="8">
        <f ca="1">SUMIF(INDIRECT("'"&amp;$B40&amp;"'!$F$1:$F$999"), I$1, INDIRECT("'"&amp;$B40&amp;"'!$B$1:$B$999"))/VLOOKUP(I$1, Table1[#All],2, FALSE)</f>
        <v>-1.2777000000000001</v>
      </c>
      <c r="J40" s="8">
        <f ca="1">SUMIF(INDIRECT("'"&amp;$B40&amp;"'!$F$1:$F$999"), J$1, INDIRECT("'"&amp;$B40&amp;"'!$B$1:$B$999"))/VLOOKUP(J$1, Table1[#All],2, FALSE)</f>
        <v>-1.0526</v>
      </c>
      <c r="K40" s="8">
        <f ca="1">SUMIF(INDIRECT("'"&amp;$B40&amp;"'!$F$1:$F$999"), K$1, INDIRECT("'"&amp;$B40&amp;"'!$B$1:$B$999"))/VLOOKUP(K$1, Table1[#All],2, FALSE)</f>
        <v>0</v>
      </c>
      <c r="L40" s="8">
        <f ca="1">SUMIF(INDIRECT("'"&amp;$B40&amp;"'!$F$1:$F$999"), L$1, INDIRECT("'"&amp;$B40&amp;"'!$B$1:$B$999"))/VLOOKUP(L$1, Table1[#All],2, FALSE)</f>
        <v>0</v>
      </c>
      <c r="M40" s="8">
        <f ca="1">SUMIF(INDIRECT("'"&amp;$B40&amp;"'!$F$1:$F$999"), M$1, INDIRECT("'"&amp;$B40&amp;"'!$B$1:$B$999"))/VLOOKUP(M$1, Table1[#All],2, FALSE)</f>
        <v>0</v>
      </c>
      <c r="N40" s="8">
        <f ca="1">SUMIF(INDIRECT("'"&amp;$B40&amp;"'!$F$1:$F$999"), N$1, INDIRECT("'"&amp;$B40&amp;"'!$B$1:$B$999"))/VLOOKUP(N$1, Table1[#All],2, FALSE)</f>
        <v>0</v>
      </c>
      <c r="O40" s="8">
        <f ca="1">SUMIF(INDIRECT("'"&amp;$B40&amp;"'!$F$1:$F$999"), O$1, INDIRECT("'"&amp;$B40&amp;"'!$B$1:$B$999"))/VLOOKUP(O$1, Table1[#All],2, FALSE)</f>
        <v>0</v>
      </c>
      <c r="P40" s="8">
        <f ca="1">SUMIF(INDIRECT("'"&amp;$B40&amp;"'!$F$1:$F$999"), P$1, INDIRECT("'"&amp;$B40&amp;"'!$B$1:$B$999"))/VLOOKUP(P$1, Table1[#All],2, FALSE)</f>
        <v>-0.11914285714285715</v>
      </c>
      <c r="Q40" s="8">
        <f ca="1">SUMIF(INDIRECT("'"&amp;$B40&amp;"'!$F$1:$F$999"), Q$1, INDIRECT("'"&amp;$B40&amp;"'!$B$1:$B$999"))/VLOOKUP(Q$1, Table1[#All],2, FALSE)</f>
        <v>-1.0291666666666666</v>
      </c>
      <c r="R40" s="8">
        <f ca="1">SUMIF(INDIRECT("'"&amp;$B40&amp;"'!$F$1:$F$999"), R$1, INDIRECT("'"&amp;$B40&amp;"'!$B$1:$B$999"))/VLOOKUP(R$1, Table1[#All],2, FALSE)</f>
        <v>-0.91653846153846164</v>
      </c>
      <c r="S40" s="8" t="e">
        <f ca="1">SUMIF(INDIRECT("'"&amp;$B40&amp;"'!$F$1:$F$999"), S$1, INDIRECT("'"&amp;$B40&amp;"'!$B$1:$B$999"))/VLOOKUP(S$1, Table1[#All],2, FALSE)</f>
        <v>#N/A</v>
      </c>
      <c r="T40" s="9">
        <f t="shared" ca="1" si="3"/>
        <v>1922.2599999999995</v>
      </c>
    </row>
    <row r="41" spans="1:23" x14ac:dyDescent="0.25">
      <c r="A41" s="13">
        <f t="shared" si="2"/>
        <v>44621</v>
      </c>
      <c r="B41" s="12" t="str">
        <f t="shared" si="1"/>
        <v>March 2022</v>
      </c>
      <c r="C41" s="8">
        <f ca="1">SUMIF(INDIRECT("'"&amp;$B41&amp;"'!$F$1:$F$999"), C$1, INDIRECT("'"&amp;$B41&amp;"'!$B$1:$B$999"))/VLOOKUP(C$1, Table1[#All],2, FALSE)</f>
        <v>0.90880438522709894</v>
      </c>
      <c r="D41" s="8">
        <f ca="1">SUMIF(INDIRECT("'"&amp;$B41&amp;"'!$F$1:$F$999"), D$1, INDIRECT("'"&amp;$B41&amp;"'!$B$1:$B$999"))/VLOOKUP(D$1, Table1[#All],2, FALSE)</f>
        <v>-1.7619499999999999</v>
      </c>
      <c r="E41" s="8">
        <f ca="1">SUMIF(INDIRECT("'"&amp;$B41&amp;"'!$F$1:$F$999"), E$1, INDIRECT("'"&amp;$B41&amp;"'!$B$1:$B$999"))/VLOOKUP(E$1, Table1[#All],2, FALSE)</f>
        <v>0.89261802575107307</v>
      </c>
      <c r="F41" s="8">
        <f ca="1">SUMIF(INDIRECT("'"&amp;$B41&amp;"'!$F$1:$F$999"), F$1, INDIRECT("'"&amp;$B41&amp;"'!$B$1:$B$999"))/VLOOKUP(F$1, Table1[#All],2, FALSE)</f>
        <v>-1.2818000000000001</v>
      </c>
      <c r="G41" s="8">
        <f ca="1">SUMIF(INDIRECT("'"&amp;$B41&amp;"'!$F$1:$F$999"), G$1, INDIRECT("'"&amp;$B41&amp;"'!$B$1:$B$999"))/VLOOKUP(G$1, Table1[#All],2, FALSE)</f>
        <v>0</v>
      </c>
      <c r="H41" s="8">
        <f ca="1">SUMIF(INDIRECT("'"&amp;$B41&amp;"'!$F$1:$F$999"), H$1, INDIRECT("'"&amp;$B41&amp;"'!$B$1:$B$999"))/VLOOKUP(H$1, Table1[#All],2, FALSE)</f>
        <v>0.99885000000000002</v>
      </c>
      <c r="I41" s="8">
        <f ca="1">SUMIF(INDIRECT("'"&amp;$B41&amp;"'!$F$1:$F$999"), I$1, INDIRECT("'"&amp;$B41&amp;"'!$B$1:$B$999"))/VLOOKUP(I$1, Table1[#All],2, FALSE)</f>
        <v>0</v>
      </c>
      <c r="J41" s="8">
        <f ca="1">SUMIF(INDIRECT("'"&amp;$B41&amp;"'!$F$1:$F$999"), J$1, INDIRECT("'"&amp;$B41&amp;"'!$B$1:$B$999"))/VLOOKUP(J$1, Table1[#All],2, FALSE)</f>
        <v>0</v>
      </c>
      <c r="K41" s="8">
        <f ca="1">SUMIF(INDIRECT("'"&amp;$B41&amp;"'!$F$1:$F$999"), K$1, INDIRECT("'"&amp;$B41&amp;"'!$B$1:$B$999"))/VLOOKUP(K$1, Table1[#All],2, FALSE)</f>
        <v>0</v>
      </c>
      <c r="L41" s="8">
        <f ca="1">SUMIF(INDIRECT("'"&amp;$B41&amp;"'!$F$1:$F$999"), L$1, INDIRECT("'"&amp;$B41&amp;"'!$B$1:$B$999"))/VLOOKUP(L$1, Table1[#All],2, FALSE)</f>
        <v>0</v>
      </c>
      <c r="M41" s="8">
        <f ca="1">SUMIF(INDIRECT("'"&amp;$B41&amp;"'!$F$1:$F$999"), M$1, INDIRECT("'"&amp;$B41&amp;"'!$B$1:$B$999"))/VLOOKUP(M$1, Table1[#All],2, FALSE)</f>
        <v>-0.84</v>
      </c>
      <c r="N41" s="8">
        <f ca="1">SUMIF(INDIRECT("'"&amp;$B41&amp;"'!$F$1:$F$999"), N$1, INDIRECT("'"&amp;$B41&amp;"'!$B$1:$B$999"))/VLOOKUP(N$1, Table1[#All],2, FALSE)</f>
        <v>0</v>
      </c>
      <c r="O41" s="8">
        <f ca="1">SUMIF(INDIRECT("'"&amp;$B41&amp;"'!$F$1:$F$999"), O$1, INDIRECT("'"&amp;$B41&amp;"'!$B$1:$B$999"))/VLOOKUP(O$1, Table1[#All],2, FALSE)</f>
        <v>0</v>
      </c>
      <c r="P41" s="8">
        <f ca="1">SUMIF(INDIRECT("'"&amp;$B41&amp;"'!$F$1:$F$999"), P$1, INDIRECT("'"&amp;$B41&amp;"'!$B$1:$B$999"))/VLOOKUP(P$1, Table1[#All],2, FALSE)</f>
        <v>0</v>
      </c>
      <c r="Q41" s="8">
        <f ca="1">SUMIF(INDIRECT("'"&amp;$B41&amp;"'!$F$1:$F$999"), Q$1, INDIRECT("'"&amp;$B41&amp;"'!$B$1:$B$999"))/VLOOKUP(Q$1, Table1[#All],2, FALSE)</f>
        <v>-1.0291666666666666</v>
      </c>
      <c r="R41" s="8">
        <f ca="1">SUMIF(INDIRECT("'"&amp;$B41&amp;"'!$F$1:$F$999"), R$1, INDIRECT("'"&amp;$B41&amp;"'!$B$1:$B$999"))/VLOOKUP(R$1, Table1[#All],2, FALSE)</f>
        <v>0</v>
      </c>
      <c r="S41" s="8" t="e">
        <f ca="1">SUMIF(INDIRECT("'"&amp;$B41&amp;"'!$F$1:$F$999"), S$1, INDIRECT("'"&amp;$B41&amp;"'!$B$1:$B$999"))/VLOOKUP(S$1, Table1[#All],2, FALSE)</f>
        <v>#N/A</v>
      </c>
      <c r="T41" s="9">
        <f t="shared" ca="1" si="3"/>
        <v>-228.67999999999984</v>
      </c>
    </row>
    <row r="42" spans="1:23" x14ac:dyDescent="0.25">
      <c r="A42" s="13">
        <f t="shared" si="2"/>
        <v>44652</v>
      </c>
      <c r="B42" s="12" t="str">
        <f t="shared" si="1"/>
        <v>April 2022</v>
      </c>
      <c r="C42" s="8">
        <f ca="1">SUMIF(INDIRECT("'"&amp;$B42&amp;"'!$F$1:$F$999"), C$1, INDIRECT("'"&amp;$B42&amp;"'!$B$1:$B$999"))/VLOOKUP(C$1, Table1[#All],2, FALSE)</f>
        <v>0.94916797293164079</v>
      </c>
      <c r="D42" s="8">
        <f ca="1">SUMIF(INDIRECT("'"&amp;$B42&amp;"'!$F$1:$F$999"), D$1, INDIRECT("'"&amp;$B42&amp;"'!$B$1:$B$999"))/VLOOKUP(D$1, Table1[#All],2, FALSE)</f>
        <v>-1.63195</v>
      </c>
      <c r="E42" s="8">
        <f ca="1">SUMIF(INDIRECT("'"&amp;$B42&amp;"'!$F$1:$F$999"), E$1, INDIRECT("'"&amp;$B42&amp;"'!$B$1:$B$999"))/VLOOKUP(E$1, Table1[#All],2, FALSE)</f>
        <v>4.2918454935622317E-2</v>
      </c>
      <c r="F42" s="8">
        <f ca="1">SUMIF(INDIRECT("'"&amp;$B42&amp;"'!$F$1:$F$999"), F$1, INDIRECT("'"&amp;$B42&amp;"'!$B$1:$B$999"))/VLOOKUP(F$1, Table1[#All],2, FALSE)</f>
        <v>-3.4558999999999997</v>
      </c>
      <c r="G42" s="8">
        <f ca="1">SUMIF(INDIRECT("'"&amp;$B42&amp;"'!$F$1:$F$999"), G$1, INDIRECT("'"&amp;$B42&amp;"'!$B$1:$B$999"))/VLOOKUP(G$1, Table1[#All],2, FALSE)</f>
        <v>0</v>
      </c>
      <c r="H42" s="8">
        <f ca="1">SUMIF(INDIRECT("'"&amp;$B42&amp;"'!$F$1:$F$999"), H$1, INDIRECT("'"&amp;$B42&amp;"'!$B$1:$B$999"))/VLOOKUP(H$1, Table1[#All],2, FALSE)</f>
        <v>0</v>
      </c>
      <c r="I42" s="8">
        <f ca="1">SUMIF(INDIRECT("'"&amp;$B42&amp;"'!$F$1:$F$999"), I$1, INDIRECT("'"&amp;$B42&amp;"'!$B$1:$B$999"))/VLOOKUP(I$1, Table1[#All],2, FALSE)</f>
        <v>-2.1048</v>
      </c>
      <c r="J42" s="8">
        <f ca="1">SUMIF(INDIRECT("'"&amp;$B42&amp;"'!$F$1:$F$999"), J$1, INDIRECT("'"&amp;$B42&amp;"'!$B$1:$B$999"))/VLOOKUP(J$1, Table1[#All],2, FALSE)</f>
        <v>-7.7725999999999997</v>
      </c>
      <c r="K42" s="8">
        <f ca="1">SUMIF(INDIRECT("'"&amp;$B42&amp;"'!$F$1:$F$999"), K$1, INDIRECT("'"&amp;$B42&amp;"'!$B$1:$B$999"))/VLOOKUP(K$1, Table1[#All],2, FALSE)</f>
        <v>0</v>
      </c>
      <c r="L42" s="8">
        <f ca="1">SUMIF(INDIRECT("'"&amp;$B42&amp;"'!$F$1:$F$999"), L$1, INDIRECT("'"&amp;$B42&amp;"'!$B$1:$B$999"))/VLOOKUP(L$1, Table1[#All],2, FALSE)</f>
        <v>0</v>
      </c>
      <c r="M42" s="8">
        <f ca="1">SUMIF(INDIRECT("'"&amp;$B42&amp;"'!$F$1:$F$999"), M$1, INDIRECT("'"&amp;$B42&amp;"'!$B$1:$B$999"))/VLOOKUP(M$1, Table1[#All],2, FALSE)</f>
        <v>-1.3875</v>
      </c>
      <c r="N42" s="8">
        <f ca="1">SUMIF(INDIRECT("'"&amp;$B42&amp;"'!$F$1:$F$999"), N$1, INDIRECT("'"&amp;$B42&amp;"'!$B$1:$B$999"))/VLOOKUP(N$1, Table1[#All],2, FALSE)</f>
        <v>0</v>
      </c>
      <c r="O42" s="8">
        <f ca="1">SUMIF(INDIRECT("'"&amp;$B42&amp;"'!$F$1:$F$999"), O$1, INDIRECT("'"&amp;$B42&amp;"'!$B$1:$B$999"))/VLOOKUP(O$1, Table1[#All],2, FALSE)</f>
        <v>0</v>
      </c>
      <c r="P42" s="8">
        <f ca="1">SUMIF(INDIRECT("'"&amp;$B42&amp;"'!$F$1:$F$999"), P$1, INDIRECT("'"&amp;$B42&amp;"'!$B$1:$B$999"))/VLOOKUP(P$1, Table1[#All],2, FALSE)</f>
        <v>-1.1509999999999998</v>
      </c>
      <c r="Q42" s="8">
        <f ca="1">SUMIF(INDIRECT("'"&amp;$B42&amp;"'!$F$1:$F$999"), Q$1, INDIRECT("'"&amp;$B42&amp;"'!$B$1:$B$999"))/VLOOKUP(Q$1, Table1[#All],2, FALSE)</f>
        <v>-1.0291666666666666</v>
      </c>
      <c r="R42" s="8">
        <f ca="1">SUMIF(INDIRECT("'"&amp;$B42&amp;"'!$F$1:$F$999"), R$1, INDIRECT("'"&amp;$B42&amp;"'!$B$1:$B$999"))/VLOOKUP(R$1, Table1[#All],2, FALSE)</f>
        <v>-1.8817692307692306</v>
      </c>
      <c r="S42" s="8" t="e">
        <f ca="1">SUMIF(INDIRECT("'"&amp;$B42&amp;"'!$F$1:$F$999"), S$1, INDIRECT("'"&amp;$B42&amp;"'!$B$1:$B$999"))/VLOOKUP(S$1, Table1[#All],2, FALSE)</f>
        <v>#N/A</v>
      </c>
      <c r="T42" s="9">
        <f t="shared" ca="1" si="3"/>
        <v>3161.5299999999979</v>
      </c>
    </row>
    <row r="43" spans="1:23" x14ac:dyDescent="0.25">
      <c r="A43" s="13">
        <f t="shared" si="2"/>
        <v>44682</v>
      </c>
      <c r="B43" s="12" t="str">
        <f t="shared" si="1"/>
        <v>May 2022</v>
      </c>
      <c r="C43" s="8">
        <f ca="1">SUMIF(INDIRECT("'"&amp;$B43&amp;"'!$F$1:$F$999"), C$1, INDIRECT("'"&amp;$B43&amp;"'!$B$1:$B$999"))/VLOOKUP(C$1, Table1[#All],2, FALSE)</f>
        <v>0.95041290717235039</v>
      </c>
      <c r="D43" s="8">
        <f ca="1">SUMIF(INDIRECT("'"&amp;$B43&amp;"'!$F$1:$F$999"), D$1, INDIRECT("'"&amp;$B43&amp;"'!$B$1:$B$999"))/VLOOKUP(D$1, Table1[#All],2, FALSE)</f>
        <v>-1.9918750000000001</v>
      </c>
      <c r="E43" s="8">
        <f ca="1">SUMIF(INDIRECT("'"&amp;$B43&amp;"'!$F$1:$F$999"), E$1, INDIRECT("'"&amp;$B43&amp;"'!$B$1:$B$999"))/VLOOKUP(E$1, Table1[#All],2, FALSE)</f>
        <v>0</v>
      </c>
      <c r="F43" s="8">
        <f ca="1">SUMIF(INDIRECT("'"&amp;$B43&amp;"'!$F$1:$F$999"), F$1, INDIRECT("'"&amp;$B43&amp;"'!$B$1:$B$999"))/VLOOKUP(F$1, Table1[#All],2, FALSE)</f>
        <v>-3.7131999999999992</v>
      </c>
      <c r="G43" s="8">
        <f ca="1">SUMIF(INDIRECT("'"&amp;$B43&amp;"'!$F$1:$F$999"), G$1, INDIRECT("'"&amp;$B43&amp;"'!$B$1:$B$999"))/VLOOKUP(G$1, Table1[#All],2, FALSE)</f>
        <v>-0.1109</v>
      </c>
      <c r="H43" s="8">
        <f ca="1">SUMIF(INDIRECT("'"&amp;$B43&amp;"'!$F$1:$F$999"), H$1, INDIRECT("'"&amp;$B43&amp;"'!$B$1:$B$999"))/VLOOKUP(H$1, Table1[#All],2, FALSE)</f>
        <v>0.5</v>
      </c>
      <c r="I43" s="8">
        <f ca="1">SUMIF(INDIRECT("'"&amp;$B43&amp;"'!$F$1:$F$999"), I$1, INDIRECT("'"&amp;$B43&amp;"'!$B$1:$B$999"))/VLOOKUP(I$1, Table1[#All],2, FALSE)</f>
        <v>-1.5255000000000001</v>
      </c>
      <c r="J43" s="8">
        <f ca="1">SUMIF(INDIRECT("'"&amp;$B43&amp;"'!$F$1:$F$999"), J$1, INDIRECT("'"&amp;$B43&amp;"'!$B$1:$B$999"))/VLOOKUP(J$1, Table1[#All],2, FALSE)</f>
        <v>-2.5146000000000002</v>
      </c>
      <c r="K43" s="8">
        <f ca="1">SUMIF(INDIRECT("'"&amp;$B43&amp;"'!$F$1:$F$999"), K$1, INDIRECT("'"&amp;$B43&amp;"'!$B$1:$B$999"))/VLOOKUP(K$1, Table1[#All],2, FALSE)</f>
        <v>0</v>
      </c>
      <c r="L43" s="8">
        <f ca="1">SUMIF(INDIRECT("'"&amp;$B43&amp;"'!$F$1:$F$999"), L$1, INDIRECT("'"&amp;$B43&amp;"'!$B$1:$B$999"))/VLOOKUP(L$1, Table1[#All],2, FALSE)</f>
        <v>0</v>
      </c>
      <c r="M43" s="8">
        <f ca="1">SUMIF(INDIRECT("'"&amp;$B43&amp;"'!$F$1:$F$999"), M$1, INDIRECT("'"&amp;$B43&amp;"'!$B$1:$B$999"))/VLOOKUP(M$1, Table1[#All],2, FALSE)</f>
        <v>-2.1088</v>
      </c>
      <c r="N43" s="8">
        <f ca="1">SUMIF(INDIRECT("'"&amp;$B43&amp;"'!$F$1:$F$999"), N$1, INDIRECT("'"&amp;$B43&amp;"'!$B$1:$B$999"))/VLOOKUP(N$1, Table1[#All],2, FALSE)</f>
        <v>0</v>
      </c>
      <c r="O43" s="8">
        <f ca="1">SUMIF(INDIRECT("'"&amp;$B43&amp;"'!$F$1:$F$999"), O$1, INDIRECT("'"&amp;$B43&amp;"'!$B$1:$B$999"))/VLOOKUP(O$1, Table1[#All],2, FALSE)</f>
        <v>0</v>
      </c>
      <c r="P43" s="8">
        <f ca="1">SUMIF(INDIRECT("'"&amp;$B43&amp;"'!$F$1:$F$999"), P$1, INDIRECT("'"&amp;$B43&amp;"'!$B$1:$B$999"))/VLOOKUP(P$1, Table1[#All],2, FALSE)</f>
        <v>-0.77828571428571425</v>
      </c>
      <c r="Q43" s="8">
        <f ca="1">SUMIF(INDIRECT("'"&amp;$B43&amp;"'!$F$1:$F$999"), Q$1, INDIRECT("'"&amp;$B43&amp;"'!$B$1:$B$999"))/VLOOKUP(Q$1, Table1[#All],2, FALSE)</f>
        <v>-1.0291666666666666</v>
      </c>
      <c r="R43" s="8">
        <f ca="1">SUMIF(INDIRECT("'"&amp;$B43&amp;"'!$F$1:$F$999"), R$1, INDIRECT("'"&amp;$B43&amp;"'!$B$1:$B$999"))/VLOOKUP(R$1, Table1[#All],2, FALSE)</f>
        <v>-0.94676923076923081</v>
      </c>
      <c r="S43" s="8" t="e">
        <f ca="1">SUMIF(INDIRECT("'"&amp;$B43&amp;"'!$F$1:$F$999"), S$1, INDIRECT("'"&amp;$B43&amp;"'!$B$1:$B$999"))/VLOOKUP(S$1, Table1[#All],2, FALSE)</f>
        <v>#N/A</v>
      </c>
      <c r="T43" s="9">
        <f t="shared" ca="1" si="3"/>
        <v>996.55999999999972</v>
      </c>
    </row>
    <row r="44" spans="1:23" x14ac:dyDescent="0.25">
      <c r="A44" s="13">
        <f t="shared" si="2"/>
        <v>44713</v>
      </c>
      <c r="B44" s="12" t="str">
        <f t="shared" si="1"/>
        <v>June 2022</v>
      </c>
      <c r="C44" s="8">
        <f ca="1">SUMIF(INDIRECT("'"&amp;$B44&amp;"'!$F$1:$F$999"), C$1, INDIRECT("'"&amp;$B44&amp;"'!$B$1:$B$999"))/VLOOKUP(C$1, Table1[#All],2, FALSE)</f>
        <v>1.4274879568741397</v>
      </c>
      <c r="D44" s="8">
        <f ca="1">SUMIF(INDIRECT("'"&amp;$B44&amp;"'!$F$1:$F$999"), D$1, INDIRECT("'"&amp;$B44&amp;"'!$B$1:$B$999"))/VLOOKUP(D$1, Table1[#All],2, FALSE)</f>
        <v>-2.4609000000000001</v>
      </c>
      <c r="E44" s="8">
        <f ca="1">SUMIF(INDIRECT("'"&amp;$B44&amp;"'!$F$1:$F$999"), E$1, INDIRECT("'"&amp;$B44&amp;"'!$B$1:$B$999"))/VLOOKUP(E$1, Table1[#All],2, FALSE)</f>
        <v>-1.9098712446351931E-2</v>
      </c>
      <c r="F44" s="8">
        <f ca="1">SUMIF(INDIRECT("'"&amp;$B44&amp;"'!$F$1:$F$999"), F$1, INDIRECT("'"&amp;$B44&amp;"'!$B$1:$B$999"))/VLOOKUP(F$1, Table1[#All],2, FALSE)</f>
        <v>-2.8856000000000002</v>
      </c>
      <c r="G44" s="8">
        <f ca="1">SUMIF(INDIRECT("'"&amp;$B44&amp;"'!$F$1:$F$999"), G$1, INDIRECT("'"&amp;$B44&amp;"'!$B$1:$B$999"))/VLOOKUP(G$1, Table1[#All],2, FALSE)</f>
        <v>0</v>
      </c>
      <c r="H44" s="8">
        <f ca="1">SUMIF(INDIRECT("'"&amp;$B44&amp;"'!$F$1:$F$999"), H$1, INDIRECT("'"&amp;$B44&amp;"'!$B$1:$B$999"))/VLOOKUP(H$1, Table1[#All],2, FALSE)</f>
        <v>-1.37E-2</v>
      </c>
      <c r="I44" s="8">
        <f ca="1">SUMIF(INDIRECT("'"&amp;$B44&amp;"'!$F$1:$F$999"), I$1, INDIRECT("'"&amp;$B44&amp;"'!$B$1:$B$999"))/VLOOKUP(I$1, Table1[#All],2, FALSE)</f>
        <v>-1.4949000000000001</v>
      </c>
      <c r="J44" s="8">
        <f ca="1">SUMIF(INDIRECT("'"&amp;$B44&amp;"'!$F$1:$F$999"), J$1, INDIRECT("'"&amp;$B44&amp;"'!$B$1:$B$999"))/VLOOKUP(J$1, Table1[#All],2, FALSE)</f>
        <v>-1.3759999999999999</v>
      </c>
      <c r="K44" s="8">
        <f ca="1">SUMIF(INDIRECT("'"&amp;$B44&amp;"'!$F$1:$F$999"), K$1, INDIRECT("'"&amp;$B44&amp;"'!$B$1:$B$999"))/VLOOKUP(K$1, Table1[#All],2, FALSE)</f>
        <v>0</v>
      </c>
      <c r="L44" s="8">
        <f ca="1">SUMIF(INDIRECT("'"&amp;$B44&amp;"'!$F$1:$F$999"), L$1, INDIRECT("'"&amp;$B44&amp;"'!$B$1:$B$999"))/VLOOKUP(L$1, Table1[#All],2, FALSE)</f>
        <v>0</v>
      </c>
      <c r="M44" s="8">
        <f ca="1">SUMIF(INDIRECT("'"&amp;$B44&amp;"'!$F$1:$F$999"), M$1, INDIRECT("'"&amp;$B44&amp;"'!$B$1:$B$999"))/VLOOKUP(M$1, Table1[#All],2, FALSE)</f>
        <v>0</v>
      </c>
      <c r="N44" s="8">
        <f ca="1">SUMIF(INDIRECT("'"&amp;$B44&amp;"'!$F$1:$F$999"), N$1, INDIRECT("'"&amp;$B44&amp;"'!$B$1:$B$999"))/VLOOKUP(N$1, Table1[#All],2, FALSE)</f>
        <v>0</v>
      </c>
      <c r="O44" s="8">
        <f ca="1">SUMIF(INDIRECT("'"&amp;$B44&amp;"'!$F$1:$F$999"), O$1, INDIRECT("'"&amp;$B44&amp;"'!$B$1:$B$999"))/VLOOKUP(O$1, Table1[#All],2, FALSE)</f>
        <v>0</v>
      </c>
      <c r="P44" s="8">
        <f ca="1">SUMIF(INDIRECT("'"&amp;$B44&amp;"'!$F$1:$F$999"), P$1, INDIRECT("'"&amp;$B44&amp;"'!$B$1:$B$999"))/VLOOKUP(P$1, Table1[#All],2, FALSE)</f>
        <v>-0.89957142857142858</v>
      </c>
      <c r="Q44" s="8">
        <f ca="1">SUMIF(INDIRECT("'"&amp;$B44&amp;"'!$F$1:$F$999"), Q$1, INDIRECT("'"&amp;$B44&amp;"'!$B$1:$B$999"))/VLOOKUP(Q$1, Table1[#All],2, FALSE)</f>
        <v>-1.0291666666666666</v>
      </c>
      <c r="R44" s="8">
        <f ca="1">SUMIF(INDIRECT("'"&amp;$B44&amp;"'!$F$1:$F$999"), R$1, INDIRECT("'"&amp;$B44&amp;"'!$B$1:$B$999"))/VLOOKUP(R$1, Table1[#All],2, FALSE)</f>
        <v>-1.0622307692307693</v>
      </c>
      <c r="S44" s="8" t="e">
        <f ca="1">SUMIF(INDIRECT("'"&amp;$B44&amp;"'!$F$1:$F$999"), S$1, INDIRECT("'"&amp;$B44&amp;"'!$B$1:$B$999"))/VLOOKUP(S$1, Table1[#All],2, FALSE)</f>
        <v>#N/A</v>
      </c>
      <c r="T44" s="9">
        <f t="shared" ca="1" si="3"/>
        <v>3088.4699999999993</v>
      </c>
    </row>
    <row r="45" spans="1:23" x14ac:dyDescent="0.25">
      <c r="A45" s="13">
        <f t="shared" si="2"/>
        <v>44743</v>
      </c>
      <c r="B45" s="12" t="str">
        <f t="shared" si="1"/>
        <v>July 2022</v>
      </c>
      <c r="C45" s="8">
        <f ca="1">SUMIF(INDIRECT("'"&amp;$B45&amp;"'!$F$1:$F$999"), C$1, INDIRECT("'"&amp;$B45&amp;"'!$B$1:$B$999"))/VLOOKUP(C$1, Table1[#All],2, FALSE)</f>
        <v>0.96274994265178149</v>
      </c>
      <c r="D45" s="8">
        <f ca="1">SUMIF(INDIRECT("'"&amp;$B45&amp;"'!$F$1:$F$999"), D$1, INDIRECT("'"&amp;$B45&amp;"'!$B$1:$B$999"))/VLOOKUP(D$1, Table1[#All],2, FALSE)</f>
        <v>-2.7144749999999989</v>
      </c>
      <c r="E45" s="8">
        <f ca="1">SUMIF(INDIRECT("'"&amp;$B45&amp;"'!$F$1:$F$999"), E$1, INDIRECT("'"&amp;$B45&amp;"'!$B$1:$B$999"))/VLOOKUP(E$1, Table1[#All],2, FALSE)</f>
        <v>0</v>
      </c>
      <c r="F45" s="8">
        <f ca="1">SUMIF(INDIRECT("'"&amp;$B45&amp;"'!$F$1:$F$999"), F$1, INDIRECT("'"&amp;$B45&amp;"'!$B$1:$B$999"))/VLOOKUP(F$1, Table1[#All],2, FALSE)</f>
        <v>-1.3213999999999999</v>
      </c>
      <c r="G45" s="8">
        <f ca="1">SUMIF(INDIRECT("'"&amp;$B45&amp;"'!$F$1:$F$999"), G$1, INDIRECT("'"&amp;$B45&amp;"'!$B$1:$B$999"))/VLOOKUP(G$1, Table1[#All],2, FALSE)</f>
        <v>0</v>
      </c>
      <c r="H45" s="8">
        <f ca="1">SUMIF(INDIRECT("'"&amp;$B45&amp;"'!$F$1:$F$999"), H$1, INDIRECT("'"&amp;$B45&amp;"'!$B$1:$B$999"))/VLOOKUP(H$1, Table1[#All],2, FALSE)</f>
        <v>0</v>
      </c>
      <c r="I45" s="8">
        <f ca="1">SUMIF(INDIRECT("'"&amp;$B45&amp;"'!$F$1:$F$999"), I$1, INDIRECT("'"&amp;$B45&amp;"'!$B$1:$B$999"))/VLOOKUP(I$1, Table1[#All],2, FALSE)</f>
        <v>-1.5370000000000001</v>
      </c>
      <c r="J45" s="8">
        <f ca="1">SUMIF(INDIRECT("'"&amp;$B45&amp;"'!$F$1:$F$999"), J$1, INDIRECT("'"&amp;$B45&amp;"'!$B$1:$B$999"))/VLOOKUP(J$1, Table1[#All],2, FALSE)</f>
        <v>-6.8412000000000015</v>
      </c>
      <c r="K45" s="8">
        <f ca="1">SUMIF(INDIRECT("'"&amp;$B45&amp;"'!$F$1:$F$999"), K$1, INDIRECT("'"&amp;$B45&amp;"'!$B$1:$B$999"))/VLOOKUP(K$1, Table1[#All],2, FALSE)</f>
        <v>0</v>
      </c>
      <c r="L45" s="8">
        <f ca="1">SUMIF(INDIRECT("'"&amp;$B45&amp;"'!$F$1:$F$999"), L$1, INDIRECT("'"&amp;$B45&amp;"'!$B$1:$B$999"))/VLOOKUP(L$1, Table1[#All],2, FALSE)</f>
        <v>0</v>
      </c>
      <c r="M45" s="8">
        <f ca="1">SUMIF(INDIRECT("'"&amp;$B45&amp;"'!$F$1:$F$999"), M$1, INDIRECT("'"&amp;$B45&amp;"'!$B$1:$B$999"))/VLOOKUP(M$1, Table1[#All],2, FALSE)</f>
        <v>0</v>
      </c>
      <c r="N45" s="8">
        <f ca="1">SUMIF(INDIRECT("'"&amp;$B45&amp;"'!$F$1:$F$999"), N$1, INDIRECT("'"&amp;$B45&amp;"'!$B$1:$B$999"))/VLOOKUP(N$1, Table1[#All],2, FALSE)</f>
        <v>-0.316</v>
      </c>
      <c r="O45" s="8">
        <f ca="1">SUMIF(INDIRECT("'"&amp;$B45&amp;"'!$F$1:$F$999"), O$1, INDIRECT("'"&amp;$B45&amp;"'!$B$1:$B$999"))/VLOOKUP(O$1, Table1[#All],2, FALSE)</f>
        <v>0</v>
      </c>
      <c r="P45" s="8">
        <f ca="1">SUMIF(INDIRECT("'"&amp;$B45&amp;"'!$F$1:$F$999"), P$1, INDIRECT("'"&amp;$B45&amp;"'!$B$1:$B$999"))/VLOOKUP(P$1, Table1[#All],2, FALSE)</f>
        <v>-0.52100000000000002</v>
      </c>
      <c r="Q45" s="8">
        <f ca="1">SUMIF(INDIRECT("'"&amp;$B45&amp;"'!$F$1:$F$999"), Q$1, INDIRECT("'"&amp;$B45&amp;"'!$B$1:$B$999"))/VLOOKUP(Q$1, Table1[#All],2, FALSE)</f>
        <v>-1.0291666666666666</v>
      </c>
      <c r="R45" s="8">
        <f ca="1">SUMIF(INDIRECT("'"&amp;$B45&amp;"'!$F$1:$F$999"), R$1, INDIRECT("'"&amp;$B45&amp;"'!$B$1:$B$999"))/VLOOKUP(R$1, Table1[#All],2, FALSE)</f>
        <v>-0.93484615384615388</v>
      </c>
      <c r="S45" s="8" t="e">
        <f ca="1">SUMIF(INDIRECT("'"&amp;$B45&amp;"'!$F$1:$F$999"), S$1, INDIRECT("'"&amp;$B45&amp;"'!$B$1:$B$999"))/VLOOKUP(S$1, Table1[#All],2, FALSE)</f>
        <v>#N/A</v>
      </c>
      <c r="T45" s="9">
        <f t="shared" ca="1" si="3"/>
        <v>5422.5000000000009</v>
      </c>
    </row>
    <row r="46" spans="1:23" x14ac:dyDescent="0.25">
      <c r="A46" s="13">
        <f t="shared" si="2"/>
        <v>44774</v>
      </c>
      <c r="B46" s="12" t="str">
        <f t="shared" si="1"/>
        <v>August 2022</v>
      </c>
      <c r="C46" s="8">
        <f ca="1">SUMIF(INDIRECT("'"&amp;$B46&amp;"'!$F$1:$F$999"), C$1, INDIRECT("'"&amp;$B46&amp;"'!$B$1:$B$999"))/VLOOKUP(C$1, Table1[#All],2, FALSE)</f>
        <v>0.95165784141305998</v>
      </c>
      <c r="D46" s="8">
        <f ca="1">SUMIF(INDIRECT("'"&amp;$B46&amp;"'!$F$1:$F$999"), D$1, INDIRECT("'"&amp;$B46&amp;"'!$B$1:$B$999"))/VLOOKUP(D$1, Table1[#All],2, FALSE)</f>
        <v>-2.4488000000000008</v>
      </c>
      <c r="E46" s="8">
        <f ca="1">SUMIF(INDIRECT("'"&amp;$B46&amp;"'!$F$1:$F$999"), E$1, INDIRECT("'"&amp;$B46&amp;"'!$B$1:$B$999"))/VLOOKUP(E$1, Table1[#All],2, FALSE)</f>
        <v>-8.1201716738197437E-3</v>
      </c>
      <c r="F46" s="8">
        <f ca="1">SUMIF(INDIRECT("'"&amp;$B46&amp;"'!$F$1:$F$999"), F$1, INDIRECT("'"&amp;$B46&amp;"'!$B$1:$B$999"))/VLOOKUP(F$1, Table1[#All],2, FALSE)</f>
        <v>-1.6877000000000002</v>
      </c>
      <c r="G46" s="8">
        <f ca="1">SUMIF(INDIRECT("'"&amp;$B46&amp;"'!$F$1:$F$999"), G$1, INDIRECT("'"&amp;$B46&amp;"'!$B$1:$B$999"))/VLOOKUP(G$1, Table1[#All],2, FALSE)</f>
        <v>-1.1373</v>
      </c>
      <c r="H46" s="8">
        <f ca="1">SUMIF(INDIRECT("'"&amp;$B46&amp;"'!$F$1:$F$999"), H$1, INDIRECT("'"&amp;$B46&amp;"'!$B$1:$B$999"))/VLOOKUP(H$1, Table1[#All],2, FALSE)</f>
        <v>-2.2269000000000001</v>
      </c>
      <c r="I46" s="8">
        <f ca="1">SUMIF(INDIRECT("'"&amp;$B46&amp;"'!$F$1:$F$999"), I$1, INDIRECT("'"&amp;$B46&amp;"'!$B$1:$B$999"))/VLOOKUP(I$1, Table1[#All],2, FALSE)</f>
        <v>-1.0536000000000001</v>
      </c>
      <c r="J46" s="8">
        <f ca="1">SUMIF(INDIRECT("'"&amp;$B46&amp;"'!$F$1:$F$999"), J$1, INDIRECT("'"&amp;$B46&amp;"'!$B$1:$B$999"))/VLOOKUP(J$1, Table1[#All],2, FALSE)</f>
        <v>-4.2643999999999993</v>
      </c>
      <c r="K46" s="8">
        <f ca="1">SUMIF(INDIRECT("'"&amp;$B46&amp;"'!$F$1:$F$999"), K$1, INDIRECT("'"&amp;$B46&amp;"'!$B$1:$B$999"))/VLOOKUP(K$1, Table1[#All],2, FALSE)</f>
        <v>0</v>
      </c>
      <c r="L46" s="8">
        <f ca="1">SUMIF(INDIRECT("'"&amp;$B46&amp;"'!$F$1:$F$999"), L$1, INDIRECT("'"&amp;$B46&amp;"'!$B$1:$B$999"))/VLOOKUP(L$1, Table1[#All],2, FALSE)</f>
        <v>0</v>
      </c>
      <c r="M46" s="8">
        <f ca="1">SUMIF(INDIRECT("'"&amp;$B46&amp;"'!$F$1:$F$999"), M$1, INDIRECT("'"&amp;$B46&amp;"'!$B$1:$B$999"))/VLOOKUP(M$1, Table1[#All],2, FALSE)</f>
        <v>0</v>
      </c>
      <c r="N46" s="8">
        <f ca="1">SUMIF(INDIRECT("'"&amp;$B46&amp;"'!$F$1:$F$999"), N$1, INDIRECT("'"&amp;$B46&amp;"'!$B$1:$B$999"))/VLOOKUP(N$1, Table1[#All],2, FALSE)</f>
        <v>0</v>
      </c>
      <c r="O46" s="8">
        <f ca="1">SUMIF(INDIRECT("'"&amp;$B46&amp;"'!$F$1:$F$999"), O$1, INDIRECT("'"&amp;$B46&amp;"'!$B$1:$B$999"))/VLOOKUP(O$1, Table1[#All],2, FALSE)</f>
        <v>0</v>
      </c>
      <c r="P46" s="8">
        <f ca="1">SUMIF(INDIRECT("'"&amp;$B46&amp;"'!$F$1:$F$999"), P$1, INDIRECT("'"&amp;$B46&amp;"'!$B$1:$B$999"))/VLOOKUP(P$1, Table1[#All],2, FALSE)</f>
        <v>-0.9752857142857142</v>
      </c>
      <c r="Q46" s="8">
        <f ca="1">SUMIF(INDIRECT("'"&amp;$B46&amp;"'!$F$1:$F$999"), Q$1, INDIRECT("'"&amp;$B46&amp;"'!$B$1:$B$999"))/VLOOKUP(Q$1, Table1[#All],2, FALSE)</f>
        <v>-1.0291666666666666</v>
      </c>
      <c r="R46" s="8">
        <f ca="1">SUMIF(INDIRECT("'"&amp;$B46&amp;"'!$F$1:$F$999"), R$1, INDIRECT("'"&amp;$B46&amp;"'!$B$1:$B$999"))/VLOOKUP(R$1, Table1[#All],2, FALSE)</f>
        <v>-1.2763846153846155</v>
      </c>
      <c r="S46" s="8" t="e">
        <f ca="1">SUMIF(INDIRECT("'"&amp;$B46&amp;"'!$F$1:$F$999"), S$1, INDIRECT("'"&amp;$B46&amp;"'!$B$1:$B$999"))/VLOOKUP(S$1, Table1[#All],2, FALSE)</f>
        <v>#N/A</v>
      </c>
      <c r="T46" s="9">
        <f t="shared" ca="1" si="3"/>
        <v>506.38999999999874</v>
      </c>
    </row>
    <row r="47" spans="1:23" x14ac:dyDescent="0.25">
      <c r="A47" s="13">
        <f t="shared" si="2"/>
        <v>44805</v>
      </c>
      <c r="B47" s="12" t="str">
        <f t="shared" si="1"/>
        <v>September 2022</v>
      </c>
      <c r="C47" s="8">
        <f ca="1">SUMIF(INDIRECT("'"&amp;$B47&amp;"'!$F$1:$F$999"), C$1, INDIRECT("'"&amp;$B47&amp;"'!$B$1:$B$999"))/VLOOKUP(C$1, Table1[#All],2, FALSE)</f>
        <v>0.95420983713105978</v>
      </c>
      <c r="D47" s="8">
        <f ca="1">SUMIF(INDIRECT("'"&amp;$B47&amp;"'!$F$1:$F$999"), D$1, INDIRECT("'"&amp;$B47&amp;"'!$B$1:$B$999"))/VLOOKUP(D$1, Table1[#All],2, FALSE)</f>
        <v>-2.4880499999999999</v>
      </c>
      <c r="E47" s="8">
        <f ca="1">SUMIF(INDIRECT("'"&amp;$B47&amp;"'!$F$1:$F$999"), E$1, INDIRECT("'"&amp;$B47&amp;"'!$B$1:$B$999"))/VLOOKUP(E$1, Table1[#All],2, FALSE)</f>
        <v>1.0729613733905579E-2</v>
      </c>
      <c r="F47" s="8">
        <f ca="1">SUMIF(INDIRECT("'"&amp;$B47&amp;"'!$F$1:$F$999"), F$1, INDIRECT("'"&amp;$B47&amp;"'!$B$1:$B$999"))/VLOOKUP(F$1, Table1[#All],2, FALSE)</f>
        <v>-0.86650000000000005</v>
      </c>
      <c r="G47" s="8">
        <f ca="1">SUMIF(INDIRECT("'"&amp;$B47&amp;"'!$F$1:$F$999"), G$1, INDIRECT("'"&amp;$B47&amp;"'!$B$1:$B$999"))/VLOOKUP(G$1, Table1[#All],2, FALSE)</f>
        <v>0</v>
      </c>
      <c r="H47" s="8">
        <f ca="1">SUMIF(INDIRECT("'"&amp;$B47&amp;"'!$F$1:$F$999"), H$1, INDIRECT("'"&amp;$B47&amp;"'!$B$1:$B$999"))/VLOOKUP(H$1, Table1[#All],2, FALSE)</f>
        <v>-1.4236000000000002</v>
      </c>
      <c r="I47" s="8">
        <f ca="1">SUMIF(INDIRECT("'"&amp;$B47&amp;"'!$F$1:$F$999"), I$1, INDIRECT("'"&amp;$B47&amp;"'!$B$1:$B$999"))/VLOOKUP(I$1, Table1[#All],2, FALSE)</f>
        <v>-2.8015000000000003</v>
      </c>
      <c r="J47" s="8">
        <f ca="1">SUMIF(INDIRECT("'"&amp;$B47&amp;"'!$F$1:$F$999"), J$1, INDIRECT("'"&amp;$B47&amp;"'!$B$1:$B$999"))/VLOOKUP(J$1, Table1[#All],2, FALSE)</f>
        <v>-20.645599999999998</v>
      </c>
      <c r="K47" s="8">
        <f ca="1">SUMIF(INDIRECT("'"&amp;$B47&amp;"'!$F$1:$F$999"), K$1, INDIRECT("'"&amp;$B47&amp;"'!$B$1:$B$999"))/VLOOKUP(K$1, Table1[#All],2, FALSE)</f>
        <v>0</v>
      </c>
      <c r="L47" s="8">
        <f ca="1">SUMIF(INDIRECT("'"&amp;$B47&amp;"'!$F$1:$F$999"), L$1, INDIRECT("'"&amp;$B47&amp;"'!$B$1:$B$999"))/VLOOKUP(L$1, Table1[#All],2, FALSE)</f>
        <v>0</v>
      </c>
      <c r="M47" s="8">
        <f ca="1">SUMIF(INDIRECT("'"&amp;$B47&amp;"'!$F$1:$F$999"), M$1, INDIRECT("'"&amp;$B47&amp;"'!$B$1:$B$999"))/VLOOKUP(M$1, Table1[#All],2, FALSE)</f>
        <v>0</v>
      </c>
      <c r="N47" s="8">
        <f ca="1">SUMIF(INDIRECT("'"&amp;$B47&amp;"'!$F$1:$F$999"), N$1, INDIRECT("'"&amp;$B47&amp;"'!$B$1:$B$999"))/VLOOKUP(N$1, Table1[#All],2, FALSE)</f>
        <v>0</v>
      </c>
      <c r="O47" s="8">
        <f ca="1">SUMIF(INDIRECT("'"&amp;$B47&amp;"'!$F$1:$F$999"), O$1, INDIRECT("'"&amp;$B47&amp;"'!$B$1:$B$999"))/VLOOKUP(O$1, Table1[#All],2, FALSE)</f>
        <v>0</v>
      </c>
      <c r="P47" s="8">
        <f ca="1">SUMIF(INDIRECT("'"&amp;$B47&amp;"'!$F$1:$F$999"), P$1, INDIRECT("'"&amp;$B47&amp;"'!$B$1:$B$999"))/VLOOKUP(P$1, Table1[#All],2, FALSE)</f>
        <v>-0.88485714285714279</v>
      </c>
      <c r="Q47" s="8">
        <f ca="1">SUMIF(INDIRECT("'"&amp;$B47&amp;"'!$F$1:$F$999"), Q$1, INDIRECT("'"&amp;$B47&amp;"'!$B$1:$B$999"))/VLOOKUP(Q$1, Table1[#All],2, FALSE)</f>
        <v>-1.1041666666666667</v>
      </c>
      <c r="R47" s="8">
        <f ca="1">SUMIF(INDIRECT("'"&amp;$B47&amp;"'!$F$1:$F$999"), R$1, INDIRECT("'"&amp;$B47&amp;"'!$B$1:$B$999"))/VLOOKUP(R$1, Table1[#All],2, FALSE)</f>
        <v>-0.97753846153846158</v>
      </c>
      <c r="S47" s="8" t="e">
        <f ca="1">SUMIF(INDIRECT("'"&amp;$B47&amp;"'!$F$1:$F$999"), S$1, INDIRECT("'"&amp;$B47&amp;"'!$B$1:$B$999"))/VLOOKUP(S$1, Table1[#All],2, FALSE)</f>
        <v>#N/A</v>
      </c>
      <c r="T47" s="9">
        <f t="shared" ca="1" si="3"/>
        <v>-224.71000000000012</v>
      </c>
    </row>
    <row r="48" spans="1:23" x14ac:dyDescent="0.25">
      <c r="A48" s="13">
        <f t="shared" si="2"/>
        <v>44835</v>
      </c>
      <c r="B48" s="12" t="str">
        <f t="shared" si="1"/>
        <v>October 2022</v>
      </c>
      <c r="C48" s="8">
        <f ca="1">SUMIF(INDIRECT("'"&amp;$B48&amp;"'!$F$1:$F$999"), C$1, INDIRECT("'"&amp;$B48&amp;"'!$B$1:$B$999"))/VLOOKUP(C$1, Table1[#All],2, FALSE)</f>
        <v>0.95420266860376213</v>
      </c>
      <c r="D48" s="8">
        <f ca="1">SUMIF(INDIRECT("'"&amp;$B48&amp;"'!$F$1:$F$999"), D$1, INDIRECT("'"&amp;$B48&amp;"'!$B$1:$B$999"))/VLOOKUP(D$1, Table1[#All],2, FALSE)</f>
        <v>-2.3610749999999996</v>
      </c>
      <c r="E48" s="8">
        <f ca="1">SUMIF(INDIRECT("'"&amp;$B48&amp;"'!$F$1:$F$999"), E$1, INDIRECT("'"&amp;$B48&amp;"'!$B$1:$B$999"))/VLOOKUP(E$1, Table1[#All],2, FALSE)</f>
        <v>4.07725321888412E-2</v>
      </c>
      <c r="F48" s="8">
        <f ca="1">SUMIF(INDIRECT("'"&amp;$B48&amp;"'!$F$1:$F$999"), F$1, INDIRECT("'"&amp;$B48&amp;"'!$B$1:$B$999"))/VLOOKUP(F$1, Table1[#All],2, FALSE)</f>
        <v>-1.7467000000000001</v>
      </c>
      <c r="G48" s="8">
        <f ca="1">SUMIF(INDIRECT("'"&amp;$B48&amp;"'!$F$1:$F$999"), G$1, INDIRECT("'"&amp;$B48&amp;"'!$B$1:$B$999"))/VLOOKUP(G$1, Table1[#All],2, FALSE)</f>
        <v>-0.62919999999999998</v>
      </c>
      <c r="H48" s="8">
        <f ca="1">SUMIF(INDIRECT("'"&amp;$B48&amp;"'!$F$1:$F$999"), H$1, INDIRECT("'"&amp;$B48&amp;"'!$B$1:$B$999"))/VLOOKUP(H$1, Table1[#All],2, FALSE)</f>
        <v>0</v>
      </c>
      <c r="I48" s="8">
        <f ca="1">SUMIF(INDIRECT("'"&amp;$B48&amp;"'!$F$1:$F$999"), I$1, INDIRECT("'"&amp;$B48&amp;"'!$B$1:$B$999"))/VLOOKUP(I$1, Table1[#All],2, FALSE)</f>
        <v>-1.5167000000000002</v>
      </c>
      <c r="J48" s="8">
        <f ca="1">SUMIF(INDIRECT("'"&amp;$B48&amp;"'!$F$1:$F$999"), J$1, INDIRECT("'"&amp;$B48&amp;"'!$B$1:$B$999"))/VLOOKUP(J$1, Table1[#All],2, FALSE)</f>
        <v>-4</v>
      </c>
      <c r="K48" s="8">
        <f ca="1">SUMIF(INDIRECT("'"&amp;$B48&amp;"'!$F$1:$F$999"), K$1, INDIRECT("'"&amp;$B48&amp;"'!$B$1:$B$999"))/VLOOKUP(K$1, Table1[#All],2, FALSE)</f>
        <v>0</v>
      </c>
      <c r="L48" s="8">
        <f ca="1">SUMIF(INDIRECT("'"&amp;$B48&amp;"'!$F$1:$F$999"), L$1, INDIRECT("'"&amp;$B48&amp;"'!$B$1:$B$999"))/VLOOKUP(L$1, Table1[#All],2, FALSE)</f>
        <v>0</v>
      </c>
      <c r="M48" s="8">
        <f ca="1">SUMIF(INDIRECT("'"&amp;$B48&amp;"'!$F$1:$F$999"), M$1, INDIRECT("'"&amp;$B48&amp;"'!$B$1:$B$999"))/VLOOKUP(M$1, Table1[#All],2, FALSE)</f>
        <v>-1.6884999999999999</v>
      </c>
      <c r="N48" s="8">
        <f ca="1">SUMIF(INDIRECT("'"&amp;$B48&amp;"'!$F$1:$F$999"), N$1, INDIRECT("'"&amp;$B48&amp;"'!$B$1:$B$999"))/VLOOKUP(N$1, Table1[#All],2, FALSE)</f>
        <v>0</v>
      </c>
      <c r="O48" s="8">
        <f ca="1">SUMIF(INDIRECT("'"&amp;$B48&amp;"'!$F$1:$F$999"), O$1, INDIRECT("'"&amp;$B48&amp;"'!$B$1:$B$999"))/VLOOKUP(O$1, Table1[#All],2, FALSE)</f>
        <v>0</v>
      </c>
      <c r="P48" s="8">
        <f ca="1">SUMIF(INDIRECT("'"&amp;$B48&amp;"'!$F$1:$F$999"), P$1, INDIRECT("'"&amp;$B48&amp;"'!$B$1:$B$999"))/VLOOKUP(P$1, Table1[#All],2, FALSE)</f>
        <v>-0.91528571428571415</v>
      </c>
      <c r="Q48" s="8">
        <f ca="1">SUMIF(INDIRECT("'"&amp;$B48&amp;"'!$F$1:$F$999"), Q$1, INDIRECT("'"&amp;$B48&amp;"'!$B$1:$B$999"))/VLOOKUP(Q$1, Table1[#All],2, FALSE)</f>
        <v>-1.1041666666666667</v>
      </c>
      <c r="R48" s="8">
        <f ca="1">SUMIF(INDIRECT("'"&amp;$B48&amp;"'!$F$1:$F$999"), R$1, INDIRECT("'"&amp;$B48&amp;"'!$B$1:$B$999"))/VLOOKUP(R$1, Table1[#All],2, FALSE)</f>
        <v>-1.3617692307692308</v>
      </c>
      <c r="S48" s="8" t="e">
        <f ca="1">SUMIF(INDIRECT("'"&amp;$B48&amp;"'!$F$1:$F$999"), S$1, INDIRECT("'"&amp;$B48&amp;"'!$B$1:$B$999"))/VLOOKUP(S$1, Table1[#All],2, FALSE)</f>
        <v>#N/A</v>
      </c>
      <c r="T48" s="9">
        <f t="shared" ca="1" si="3"/>
        <v>634.76000000000056</v>
      </c>
    </row>
    <row r="49" spans="1:20" x14ac:dyDescent="0.25">
      <c r="A49" s="13">
        <f t="shared" si="2"/>
        <v>44866</v>
      </c>
      <c r="B49" s="12" t="str">
        <f t="shared" si="1"/>
        <v>November 2022</v>
      </c>
      <c r="C49" s="8">
        <f ca="1">SUMIF(INDIRECT("'"&amp;$B49&amp;"'!$F$1:$F$999"), C$1, INDIRECT("'"&amp;$B49&amp;"'!$B$1:$B$999"))/VLOOKUP(C$1, Table1[#All],2, FALSE)</f>
        <v>0.97233426364887598</v>
      </c>
      <c r="D49" s="8">
        <f ca="1">SUMIF(INDIRECT("'"&amp;$B49&amp;"'!$F$1:$F$999"), D$1, INDIRECT("'"&amp;$B49&amp;"'!$B$1:$B$999"))/VLOOKUP(D$1, Table1[#All],2, FALSE)</f>
        <v>-1.95085</v>
      </c>
      <c r="E49" s="8">
        <f ca="1">SUMIF(INDIRECT("'"&amp;$B49&amp;"'!$F$1:$F$999"), E$1, INDIRECT("'"&amp;$B49&amp;"'!$B$1:$B$999"))/VLOOKUP(E$1, Table1[#All],2, FALSE)</f>
        <v>8.7553648068669526E-2</v>
      </c>
      <c r="F49" s="8">
        <f ca="1">SUMIF(INDIRECT("'"&amp;$B49&amp;"'!$F$1:$F$999"), F$1, INDIRECT("'"&amp;$B49&amp;"'!$B$1:$B$999"))/VLOOKUP(F$1, Table1[#All],2, FALSE)</f>
        <v>-7.4209000000000005</v>
      </c>
      <c r="G49" s="8">
        <f ca="1">SUMIF(INDIRECT("'"&amp;$B49&amp;"'!$F$1:$F$999"), G$1, INDIRECT("'"&amp;$B49&amp;"'!$B$1:$B$999"))/VLOOKUP(G$1, Table1[#All],2, FALSE)</f>
        <v>0</v>
      </c>
      <c r="H49" s="8">
        <f ca="1">SUMIF(INDIRECT("'"&amp;$B49&amp;"'!$F$1:$F$999"), H$1, INDIRECT("'"&amp;$B49&amp;"'!$B$1:$B$999"))/VLOOKUP(H$1, Table1[#All],2, FALSE)</f>
        <v>-0.23579999999999998</v>
      </c>
      <c r="I49" s="8">
        <f ca="1">SUMIF(INDIRECT("'"&amp;$B49&amp;"'!$F$1:$F$999"), I$1, INDIRECT("'"&amp;$B49&amp;"'!$B$1:$B$999"))/VLOOKUP(I$1, Table1[#All],2, FALSE)</f>
        <v>-2.2715000000000001</v>
      </c>
      <c r="J49" s="8">
        <f ca="1">SUMIF(INDIRECT("'"&amp;$B49&amp;"'!$F$1:$F$999"), J$1, INDIRECT("'"&amp;$B49&amp;"'!$B$1:$B$999"))/VLOOKUP(J$1, Table1[#All],2, FALSE)</f>
        <v>-1.8096000000000001</v>
      </c>
      <c r="K49" s="8">
        <f ca="1">SUMIF(INDIRECT("'"&amp;$B49&amp;"'!$F$1:$F$999"), K$1, INDIRECT("'"&amp;$B49&amp;"'!$B$1:$B$999"))/VLOOKUP(K$1, Table1[#All],2, FALSE)</f>
        <v>0</v>
      </c>
      <c r="L49" s="8">
        <f ca="1">SUMIF(INDIRECT("'"&amp;$B49&amp;"'!$F$1:$F$999"), L$1, INDIRECT("'"&amp;$B49&amp;"'!$B$1:$B$999"))/VLOOKUP(L$1, Table1[#All],2, FALSE)</f>
        <v>0</v>
      </c>
      <c r="M49" s="8">
        <f ca="1">SUMIF(INDIRECT("'"&amp;$B49&amp;"'!$F$1:$F$999"), M$1, INDIRECT("'"&amp;$B49&amp;"'!$B$1:$B$999"))/VLOOKUP(M$1, Table1[#All],2, FALSE)</f>
        <v>0</v>
      </c>
      <c r="N49" s="8">
        <f ca="1">SUMIF(INDIRECT("'"&amp;$B49&amp;"'!$F$1:$F$999"), N$1, INDIRECT("'"&amp;$B49&amp;"'!$B$1:$B$999"))/VLOOKUP(N$1, Table1[#All],2, FALSE)</f>
        <v>0</v>
      </c>
      <c r="O49" s="8">
        <f ca="1">SUMIF(INDIRECT("'"&amp;$B49&amp;"'!$F$1:$F$999"), O$1, INDIRECT("'"&amp;$B49&amp;"'!$B$1:$B$999"))/VLOOKUP(O$1, Table1[#All],2, FALSE)</f>
        <v>-2.1830000000000003</v>
      </c>
      <c r="P49" s="8">
        <f ca="1">SUMIF(INDIRECT("'"&amp;$B49&amp;"'!$F$1:$F$999"), P$1, INDIRECT("'"&amp;$B49&amp;"'!$B$1:$B$999"))/VLOOKUP(P$1, Table1[#All],2, FALSE)</f>
        <v>-0.88771428571428568</v>
      </c>
      <c r="Q49" s="8">
        <f ca="1">SUMIF(INDIRECT("'"&amp;$B49&amp;"'!$F$1:$F$999"), Q$1, INDIRECT("'"&amp;$B49&amp;"'!$B$1:$B$999"))/VLOOKUP(Q$1, Table1[#All],2, FALSE)</f>
        <v>-1.1041666666666667</v>
      </c>
      <c r="R49" s="8">
        <f ca="1">SUMIF(INDIRECT("'"&amp;$B49&amp;"'!$F$1:$F$999"), R$1, INDIRECT("'"&amp;$B49&amp;"'!$B$1:$B$999"))/VLOOKUP(R$1, Table1[#All],2, FALSE)</f>
        <v>-0.93484615384615388</v>
      </c>
      <c r="S49" s="8" t="e">
        <f ca="1">SUMIF(INDIRECT("'"&amp;$B49&amp;"'!$F$1:$F$999"), S$1, INDIRECT("'"&amp;$B49&amp;"'!$B$1:$B$999"))/VLOOKUP(S$1, Table1[#All],2, FALSE)</f>
        <v>#N/A</v>
      </c>
      <c r="T49" s="9">
        <f t="shared" ca="1" si="3"/>
        <v>360.14000000000033</v>
      </c>
    </row>
    <row r="50" spans="1:20" x14ac:dyDescent="0.25">
      <c r="A50" s="13">
        <f t="shared" si="2"/>
        <v>44896</v>
      </c>
      <c r="B50" s="12" t="str">
        <f t="shared" si="1"/>
        <v>December 2022</v>
      </c>
      <c r="C50" s="8">
        <f ca="1">SUMIF(INDIRECT("'"&amp;$B50&amp;"'!$F$1:$F$999"), C$1, INDIRECT("'"&amp;$B50&amp;"'!$B$1:$B$999"))/VLOOKUP(C$1, Table1[#All],2, FALSE)</f>
        <v>1.563756881786206</v>
      </c>
      <c r="D50" s="8">
        <f ca="1">SUMIF(INDIRECT("'"&amp;$B50&amp;"'!$F$1:$F$999"), D$1, INDIRECT("'"&amp;$B50&amp;"'!$B$1:$B$999"))/VLOOKUP(D$1, Table1[#All],2, FALSE)</f>
        <v>-1.7065250000000005</v>
      </c>
      <c r="E50" s="8">
        <f ca="1">SUMIF(INDIRECT("'"&amp;$B50&amp;"'!$F$1:$F$999"), E$1, INDIRECT("'"&amp;$B50&amp;"'!$B$1:$B$999"))/VLOOKUP(E$1, Table1[#All],2, FALSE)</f>
        <v>5.5793991416309016E-2</v>
      </c>
      <c r="F50" s="8">
        <f ca="1">SUMIF(INDIRECT("'"&amp;$B50&amp;"'!$F$1:$F$999"), F$1, INDIRECT("'"&amp;$B50&amp;"'!$B$1:$B$999"))/VLOOKUP(F$1, Table1[#All],2, FALSE)</f>
        <v>-1.476</v>
      </c>
      <c r="G50" s="8">
        <f ca="1">SUMIF(INDIRECT("'"&amp;$B50&amp;"'!$F$1:$F$999"), G$1, INDIRECT("'"&amp;$B50&amp;"'!$B$1:$B$999"))/VLOOKUP(G$1, Table1[#All],2, FALSE)</f>
        <v>0</v>
      </c>
      <c r="H50" s="8">
        <f ca="1">SUMIF(INDIRECT("'"&amp;$B50&amp;"'!$F$1:$F$999"), H$1, INDIRECT("'"&amp;$B50&amp;"'!$B$1:$B$999"))/VLOOKUP(H$1, Table1[#All],2, FALSE)</f>
        <v>2.3829499999999997</v>
      </c>
      <c r="I50" s="8">
        <f ca="1">SUMIF(INDIRECT("'"&amp;$B50&amp;"'!$F$1:$F$999"), I$1, INDIRECT("'"&amp;$B50&amp;"'!$B$1:$B$999"))/VLOOKUP(I$1, Table1[#All],2, FALSE)</f>
        <v>-7.1541999999999994</v>
      </c>
      <c r="J50" s="8">
        <f ca="1">SUMIF(INDIRECT("'"&amp;$B50&amp;"'!$F$1:$F$999"), J$1, INDIRECT("'"&amp;$B50&amp;"'!$B$1:$B$999"))/VLOOKUP(J$1, Table1[#All],2, FALSE)</f>
        <v>-3.2168000000000001</v>
      </c>
      <c r="K50" s="8">
        <f ca="1">SUMIF(INDIRECT("'"&amp;$B50&amp;"'!$F$1:$F$999"), K$1, INDIRECT("'"&amp;$B50&amp;"'!$B$1:$B$999"))/VLOOKUP(K$1, Table1[#All],2, FALSE)</f>
        <v>0</v>
      </c>
      <c r="L50" s="8">
        <f ca="1">SUMIF(INDIRECT("'"&amp;$B50&amp;"'!$F$1:$F$999"), L$1, INDIRECT("'"&amp;$B50&amp;"'!$B$1:$B$999"))/VLOOKUP(L$1, Table1[#All],2, FALSE)</f>
        <v>0</v>
      </c>
      <c r="M50" s="8">
        <f ca="1">SUMIF(INDIRECT("'"&amp;$B50&amp;"'!$F$1:$F$999"), M$1, INDIRECT("'"&amp;$B50&amp;"'!$B$1:$B$999"))/VLOOKUP(M$1, Table1[#All],2, FALSE)</f>
        <v>0</v>
      </c>
      <c r="N50" s="8">
        <f ca="1">SUMIF(INDIRECT("'"&amp;$B50&amp;"'!$F$1:$F$999"), N$1, INDIRECT("'"&amp;$B50&amp;"'!$B$1:$B$999"))/VLOOKUP(N$1, Table1[#All],2, FALSE)</f>
        <v>0</v>
      </c>
      <c r="O50" s="8">
        <f ca="1">SUMIF(INDIRECT("'"&amp;$B50&amp;"'!$F$1:$F$999"), O$1, INDIRECT("'"&amp;$B50&amp;"'!$B$1:$B$999"))/VLOOKUP(O$1, Table1[#All],2, FALSE)</f>
        <v>-0.69920000000000004</v>
      </c>
      <c r="P50" s="8">
        <f ca="1">SUMIF(INDIRECT("'"&amp;$B50&amp;"'!$F$1:$F$999"), P$1, INDIRECT("'"&amp;$B50&amp;"'!$B$1:$B$999"))/VLOOKUP(P$1, Table1[#All],2, FALSE)</f>
        <v>-0.82228571428571429</v>
      </c>
      <c r="Q50" s="8">
        <f ca="1">SUMIF(INDIRECT("'"&amp;$B50&amp;"'!$F$1:$F$999"), Q$1, INDIRECT("'"&amp;$B50&amp;"'!$B$1:$B$999"))/VLOOKUP(Q$1, Table1[#All],2, FALSE)</f>
        <v>-1.1041666666666667</v>
      </c>
      <c r="R50" s="8">
        <f ca="1">SUMIF(INDIRECT("'"&amp;$B50&amp;"'!$F$1:$F$999"), R$1, INDIRECT("'"&amp;$B50&amp;"'!$B$1:$B$999"))/VLOOKUP(R$1, Table1[#All],2, FALSE)</f>
        <v>-0.93484615384615388</v>
      </c>
      <c r="S50" s="8" t="e">
        <f ca="1">SUMIF(INDIRECT("'"&amp;$B50&amp;"'!$F$1:$F$999"), S$1, INDIRECT("'"&amp;$B50&amp;"'!$B$1:$B$999"))/VLOOKUP(S$1, Table1[#All],2, FALSE)</f>
        <v>#N/A</v>
      </c>
      <c r="T50" s="9">
        <f t="shared" ca="1" si="3"/>
        <v>3645.3300000000017</v>
      </c>
    </row>
    <row r="51" spans="1:20" x14ac:dyDescent="0.25">
      <c r="A51" s="13">
        <f t="shared" si="2"/>
        <v>44927</v>
      </c>
      <c r="B51" s="12" t="str">
        <f t="shared" si="1"/>
        <v>January 2023</v>
      </c>
      <c r="C51" s="8">
        <f ca="1">SUMIF(INDIRECT("'"&amp;$B51&amp;"'!$F$1:$F$999"), C$1, INDIRECT("'"&amp;$B51&amp;"'!$B$1:$B$999"))/VLOOKUP(C$1, Table1[#All],2, FALSE)</f>
        <v>1.0267553333843096</v>
      </c>
      <c r="D51" s="8">
        <f ca="1">SUMIF(INDIRECT("'"&amp;$B51&amp;"'!$F$1:$F$999"), D$1, INDIRECT("'"&amp;$B51&amp;"'!$B$1:$B$999"))/VLOOKUP(D$1, Table1[#All],2, FALSE)</f>
        <v>-1.4295499999999999</v>
      </c>
      <c r="E51" s="8">
        <f ca="1">SUMIF(INDIRECT("'"&amp;$B51&amp;"'!$F$1:$F$999"), E$1, INDIRECT("'"&amp;$B51&amp;"'!$B$1:$B$999"))/VLOOKUP(E$1, Table1[#All],2, FALSE)</f>
        <v>-2.0793991416309013E-2</v>
      </c>
      <c r="F51" s="8">
        <f ca="1">SUMIF(INDIRECT("'"&amp;$B51&amp;"'!$F$1:$F$999"), F$1, INDIRECT("'"&amp;$B51&amp;"'!$B$1:$B$999"))/VLOOKUP(F$1, Table1[#All],2, FALSE)</f>
        <v>-0.15579999999999999</v>
      </c>
      <c r="G51" s="8">
        <f ca="1">SUMIF(INDIRECT("'"&amp;$B51&amp;"'!$F$1:$F$999"), G$1, INDIRECT("'"&amp;$B51&amp;"'!$B$1:$B$999"))/VLOOKUP(G$1, Table1[#All],2, FALSE)</f>
        <v>0</v>
      </c>
      <c r="H51" s="8">
        <f ca="1">SUMIF(INDIRECT("'"&amp;$B51&amp;"'!$F$1:$F$999"), H$1, INDIRECT("'"&amp;$B51&amp;"'!$B$1:$B$999"))/VLOOKUP(H$1, Table1[#All],2, FALSE)</f>
        <v>-7.6262499999999998</v>
      </c>
      <c r="I51" s="8">
        <f ca="1">SUMIF(INDIRECT("'"&amp;$B51&amp;"'!$F$1:$F$999"), I$1, INDIRECT("'"&amp;$B51&amp;"'!$B$1:$B$999"))/VLOOKUP(I$1, Table1[#All],2, FALSE)</f>
        <v>-2.0702000000000003</v>
      </c>
      <c r="J51" s="8">
        <f ca="1">SUMIF(INDIRECT("'"&amp;$B51&amp;"'!$F$1:$F$999"), J$1, INDIRECT("'"&amp;$B51&amp;"'!$B$1:$B$999"))/VLOOKUP(J$1, Table1[#All],2, FALSE)</f>
        <v>-7.640200000000001</v>
      </c>
      <c r="K51" s="8">
        <f ca="1">SUMIF(INDIRECT("'"&amp;$B51&amp;"'!$F$1:$F$999"), K$1, INDIRECT("'"&amp;$B51&amp;"'!$B$1:$B$999"))/VLOOKUP(K$1, Table1[#All],2, FALSE)</f>
        <v>0</v>
      </c>
      <c r="L51" s="8">
        <f ca="1">SUMIF(INDIRECT("'"&amp;$B51&amp;"'!$F$1:$F$999"), L$1, INDIRECT("'"&amp;$B51&amp;"'!$B$1:$B$999"))/VLOOKUP(L$1, Table1[#All],2, FALSE)</f>
        <v>0</v>
      </c>
      <c r="M51" s="8">
        <f ca="1">SUMIF(INDIRECT("'"&amp;$B51&amp;"'!$F$1:$F$999"), M$1, INDIRECT("'"&amp;$B51&amp;"'!$B$1:$B$999"))/VLOOKUP(M$1, Table1[#All],2, FALSE)</f>
        <v>0</v>
      </c>
      <c r="N51" s="8">
        <f ca="1">SUMIF(INDIRECT("'"&amp;$B51&amp;"'!$F$1:$F$999"), N$1, INDIRECT("'"&amp;$B51&amp;"'!$B$1:$B$999"))/VLOOKUP(N$1, Table1[#All],2, FALSE)</f>
        <v>-4.4139999999999997</v>
      </c>
      <c r="O51" s="8">
        <f ca="1">SUMIF(INDIRECT("'"&amp;$B51&amp;"'!$F$1:$F$999"), O$1, INDIRECT("'"&amp;$B51&amp;"'!$B$1:$B$999"))/VLOOKUP(O$1, Table1[#All],2, FALSE)</f>
        <v>0</v>
      </c>
      <c r="P51" s="8">
        <f ca="1">SUMIF(INDIRECT("'"&amp;$B51&amp;"'!$F$1:$F$999"), P$1, INDIRECT("'"&amp;$B51&amp;"'!$B$1:$B$999"))/VLOOKUP(P$1, Table1[#All],2, FALSE)</f>
        <v>-0.71299999999999997</v>
      </c>
      <c r="Q51" s="8">
        <f ca="1">SUMIF(INDIRECT("'"&amp;$B51&amp;"'!$F$1:$F$999"), Q$1, INDIRECT("'"&amp;$B51&amp;"'!$B$1:$B$999"))/VLOOKUP(Q$1, Table1[#All],2, FALSE)</f>
        <v>-1.1041666666666667</v>
      </c>
      <c r="R51" s="8">
        <f ca="1">SUMIF(INDIRECT("'"&amp;$B51&amp;"'!$F$1:$F$999"), R$1, INDIRECT("'"&amp;$B51&amp;"'!$B$1:$B$999"))/VLOOKUP(R$1, Table1[#All],2, FALSE)</f>
        <v>-0.93484615384615388</v>
      </c>
      <c r="S51" s="8" t="e">
        <f ca="1">SUMIF(INDIRECT("'"&amp;$B51&amp;"'!$F$1:$F$999"), S$1, INDIRECT("'"&amp;$B51&amp;"'!$B$1:$B$999"))/VLOOKUP(S$1, Table1[#All],2, FALSE)</f>
        <v>#N/A</v>
      </c>
      <c r="T51" s="9">
        <f t="shared" ca="1" si="3"/>
        <v>240.61999999999989</v>
      </c>
    </row>
    <row r="52" spans="1:20" x14ac:dyDescent="0.25">
      <c r="A52" s="13">
        <f t="shared" si="2"/>
        <v>44958</v>
      </c>
      <c r="B52" s="12" t="str">
        <f t="shared" si="1"/>
        <v>February 2023</v>
      </c>
      <c r="C52" s="8">
        <f ca="1">SUMIF(INDIRECT("'"&amp;$B52&amp;"'!$F$1:$F$999"), C$1, INDIRECT("'"&amp;$B52&amp;"'!$B$1:$B$999"))/VLOOKUP(C$1, Table1[#All],2, FALSE)</f>
        <v>1.0267601124025081</v>
      </c>
      <c r="D52" s="8">
        <f ca="1">SUMIF(INDIRECT("'"&amp;$B52&amp;"'!$F$1:$F$999"), D$1, INDIRECT("'"&amp;$B52&amp;"'!$B$1:$B$999"))/VLOOKUP(D$1, Table1[#All],2, FALSE)</f>
        <v>-3.5267999999999984</v>
      </c>
      <c r="E52" s="8">
        <f ca="1">SUMIF(INDIRECT("'"&amp;$B52&amp;"'!$F$1:$F$999"), E$1, INDIRECT("'"&amp;$B52&amp;"'!$B$1:$B$999"))/VLOOKUP(E$1, Table1[#All],2, FALSE)</f>
        <v>1.5236051502145923E-2</v>
      </c>
      <c r="F52" s="8">
        <f ca="1">SUMIF(INDIRECT("'"&amp;$B52&amp;"'!$F$1:$F$999"), F$1, INDIRECT("'"&amp;$B52&amp;"'!$B$1:$B$999"))/VLOOKUP(F$1, Table1[#All],2, FALSE)</f>
        <v>-2.6888999999999998</v>
      </c>
      <c r="G52" s="8">
        <f ca="1">SUMIF(INDIRECT("'"&amp;$B52&amp;"'!$F$1:$F$999"), G$1, INDIRECT("'"&amp;$B52&amp;"'!$B$1:$B$999"))/VLOOKUP(G$1, Table1[#All],2, FALSE)</f>
        <v>0</v>
      </c>
      <c r="H52" s="8">
        <f ca="1">SUMIF(INDIRECT("'"&amp;$B52&amp;"'!$F$1:$F$999"), H$1, INDIRECT("'"&amp;$B52&amp;"'!$B$1:$B$999"))/VLOOKUP(H$1, Table1[#All],2, FALSE)</f>
        <v>-0.3589</v>
      </c>
      <c r="I52" s="8">
        <f ca="1">SUMIF(INDIRECT("'"&amp;$B52&amp;"'!$F$1:$F$999"), I$1, INDIRECT("'"&amp;$B52&amp;"'!$B$1:$B$999"))/VLOOKUP(I$1, Table1[#All],2, FALSE)</f>
        <v>-1.2723</v>
      </c>
      <c r="J52" s="8">
        <f ca="1">SUMIF(INDIRECT("'"&amp;$B52&amp;"'!$F$1:$F$999"), J$1, INDIRECT("'"&amp;$B52&amp;"'!$B$1:$B$999"))/VLOOKUP(J$1, Table1[#All],2, FALSE)</f>
        <v>-4.4666000000000006</v>
      </c>
      <c r="K52" s="8">
        <f ca="1">SUMIF(INDIRECT("'"&amp;$B52&amp;"'!$F$1:$F$999"), K$1, INDIRECT("'"&amp;$B52&amp;"'!$B$1:$B$999"))/VLOOKUP(K$1, Table1[#All],2, FALSE)</f>
        <v>0</v>
      </c>
      <c r="L52" s="8">
        <f ca="1">SUMIF(INDIRECT("'"&amp;$B52&amp;"'!$F$1:$F$999"), L$1, INDIRECT("'"&amp;$B52&amp;"'!$B$1:$B$999"))/VLOOKUP(L$1, Table1[#All],2, FALSE)</f>
        <v>-5</v>
      </c>
      <c r="M52" s="8">
        <f ca="1">SUMIF(INDIRECT("'"&amp;$B52&amp;"'!$F$1:$F$999"), M$1, INDIRECT("'"&amp;$B52&amp;"'!$B$1:$B$999"))/VLOOKUP(M$1, Table1[#All],2, FALSE)</f>
        <v>-0.90599999999999992</v>
      </c>
      <c r="N52" s="8">
        <f ca="1">SUMIF(INDIRECT("'"&amp;$B52&amp;"'!$F$1:$F$999"), N$1, INDIRECT("'"&amp;$B52&amp;"'!$B$1:$B$999"))/VLOOKUP(N$1, Table1[#All],2, FALSE)</f>
        <v>0</v>
      </c>
      <c r="O52" s="8">
        <f ca="1">SUMIF(INDIRECT("'"&amp;$B52&amp;"'!$F$1:$F$999"), O$1, INDIRECT("'"&amp;$B52&amp;"'!$B$1:$B$999"))/VLOOKUP(O$1, Table1[#All],2, FALSE)</f>
        <v>0</v>
      </c>
      <c r="P52" s="8">
        <f ca="1">SUMIF(INDIRECT("'"&amp;$B52&amp;"'!$F$1:$F$999"), P$1, INDIRECT("'"&amp;$B52&amp;"'!$B$1:$B$999"))/VLOOKUP(P$1, Table1[#All],2, FALSE)</f>
        <v>-0.80085714285714293</v>
      </c>
      <c r="Q52" s="8">
        <f ca="1">SUMIF(INDIRECT("'"&amp;$B52&amp;"'!$F$1:$F$999"), Q$1, INDIRECT("'"&amp;$B52&amp;"'!$B$1:$B$999"))/VLOOKUP(Q$1, Table1[#All],2, FALSE)</f>
        <v>-1.1041666666666667</v>
      </c>
      <c r="R52" s="8">
        <f ca="1">SUMIF(INDIRECT("'"&amp;$B52&amp;"'!$F$1:$F$999"), R$1, INDIRECT("'"&amp;$B52&amp;"'!$B$1:$B$999"))/VLOOKUP(R$1, Table1[#All],2, FALSE)</f>
        <v>-1.3617692307692308</v>
      </c>
      <c r="S52" s="8" t="e">
        <f ca="1">SUMIF(INDIRECT("'"&amp;$B52&amp;"'!$F$1:$F$999"), S$1, INDIRECT("'"&amp;$B52&amp;"'!$B$1:$B$999"))/VLOOKUP(S$1, Table1[#All],2, FALSE)</f>
        <v>#N/A</v>
      </c>
      <c r="T52" s="9">
        <f t="shared" ca="1" si="3"/>
        <v>10.809999999999739</v>
      </c>
    </row>
    <row r="53" spans="1:20" x14ac:dyDescent="0.25">
      <c r="A53" s="13">
        <f t="shared" si="2"/>
        <v>44986</v>
      </c>
      <c r="B53" s="12" t="str">
        <f t="shared" si="1"/>
        <v>March 2023</v>
      </c>
      <c r="C53" s="8">
        <f ca="1">SUMIF(INDIRECT("'"&amp;$B53&amp;"'!$F$1:$F$999"), C$1, INDIRECT("'"&amp;$B53&amp;"'!$B$1:$B$999"))/VLOOKUP(C$1, Table1[#All],2, FALSE)</f>
        <v>0.94923726869551917</v>
      </c>
      <c r="D53" s="8">
        <f ca="1">SUMIF(INDIRECT("'"&amp;$B53&amp;"'!$F$1:$F$999"), D$1, INDIRECT("'"&amp;$B53&amp;"'!$B$1:$B$999"))/VLOOKUP(D$1, Table1[#All],2, FALSE)</f>
        <v>-4.574250000000001</v>
      </c>
      <c r="E53" s="8">
        <f ca="1">SUMIF(INDIRECT("'"&amp;$B53&amp;"'!$F$1:$F$999"), E$1, INDIRECT("'"&amp;$B53&amp;"'!$B$1:$B$999"))/VLOOKUP(E$1, Table1[#All],2, FALSE)</f>
        <v>-4.4034334763948524E-3</v>
      </c>
      <c r="F53" s="8">
        <f ca="1">SUMIF(INDIRECT("'"&amp;$B53&amp;"'!$F$1:$F$999"), F$1, INDIRECT("'"&amp;$B53&amp;"'!$B$1:$B$999"))/VLOOKUP(F$1, Table1[#All],2, FALSE)</f>
        <v>-10.5494</v>
      </c>
      <c r="G53" s="8">
        <f ca="1">SUMIF(INDIRECT("'"&amp;$B53&amp;"'!$F$1:$F$999"), G$1, INDIRECT("'"&amp;$B53&amp;"'!$B$1:$B$999"))/VLOOKUP(G$1, Table1[#All],2, FALSE)</f>
        <v>-0.22190000000000001</v>
      </c>
      <c r="H53" s="8">
        <f ca="1">SUMIF(INDIRECT("'"&amp;$B53&amp;"'!$F$1:$F$999"), H$1, INDIRECT("'"&amp;$B53&amp;"'!$B$1:$B$999"))/VLOOKUP(H$1, Table1[#All],2, FALSE)</f>
        <v>0</v>
      </c>
      <c r="I53" s="8">
        <f ca="1">SUMIF(INDIRECT("'"&amp;$B53&amp;"'!$F$1:$F$999"), I$1, INDIRECT("'"&amp;$B53&amp;"'!$B$1:$B$999"))/VLOOKUP(I$1, Table1[#All],2, FALSE)</f>
        <v>-2.1223000000000001</v>
      </c>
      <c r="J53" s="8">
        <f ca="1">SUMIF(INDIRECT("'"&amp;$B53&amp;"'!$F$1:$F$999"), J$1, INDIRECT("'"&amp;$B53&amp;"'!$B$1:$B$999"))/VLOOKUP(J$1, Table1[#All],2, FALSE)</f>
        <v>-0.73780000000000001</v>
      </c>
      <c r="K53" s="8">
        <f ca="1">SUMIF(INDIRECT("'"&amp;$B53&amp;"'!$F$1:$F$999"), K$1, INDIRECT("'"&amp;$B53&amp;"'!$B$1:$B$999"))/VLOOKUP(K$1, Table1[#All],2, FALSE)</f>
        <v>0</v>
      </c>
      <c r="L53" s="8">
        <f ca="1">SUMIF(INDIRECT("'"&amp;$B53&amp;"'!$F$1:$F$999"), L$1, INDIRECT("'"&amp;$B53&amp;"'!$B$1:$B$999"))/VLOOKUP(L$1, Table1[#All],2, FALSE)</f>
        <v>0</v>
      </c>
      <c r="M53" s="8">
        <f ca="1">SUMIF(INDIRECT("'"&amp;$B53&amp;"'!$F$1:$F$999"), M$1, INDIRECT("'"&amp;$B53&amp;"'!$B$1:$B$999"))/VLOOKUP(M$1, Table1[#All],2, FALSE)</f>
        <v>0</v>
      </c>
      <c r="N53" s="8">
        <f ca="1">SUMIF(INDIRECT("'"&amp;$B53&amp;"'!$F$1:$F$999"), N$1, INDIRECT("'"&amp;$B53&amp;"'!$B$1:$B$999"))/VLOOKUP(N$1, Table1[#All],2, FALSE)</f>
        <v>0</v>
      </c>
      <c r="O53" s="8">
        <f ca="1">SUMIF(INDIRECT("'"&amp;$B53&amp;"'!$F$1:$F$999"), O$1, INDIRECT("'"&amp;$B53&amp;"'!$B$1:$B$999"))/VLOOKUP(O$1, Table1[#All],2, FALSE)</f>
        <v>0</v>
      </c>
      <c r="P53" s="8">
        <f ca="1">SUMIF(INDIRECT("'"&amp;$B53&amp;"'!$F$1:$F$999"), P$1, INDIRECT("'"&amp;$B53&amp;"'!$B$1:$B$999"))/VLOOKUP(P$1, Table1[#All],2, FALSE)</f>
        <v>-0.82685714285714285</v>
      </c>
      <c r="Q53" s="8">
        <f ca="1">SUMIF(INDIRECT("'"&amp;$B53&amp;"'!$F$1:$F$999"), Q$1, INDIRECT("'"&amp;$B53&amp;"'!$B$1:$B$999"))/VLOOKUP(Q$1, Table1[#All],2, FALSE)</f>
        <v>-1.1041666666666667</v>
      </c>
      <c r="R53" s="8">
        <f ca="1">SUMIF(INDIRECT("'"&amp;$B53&amp;"'!$F$1:$F$999"), R$1, INDIRECT("'"&amp;$B53&amp;"'!$B$1:$B$999"))/VLOOKUP(R$1, Table1[#All],2, FALSE)</f>
        <v>-0.93484615384615388</v>
      </c>
      <c r="S53" s="8" t="e">
        <f ca="1">SUMIF(INDIRECT("'"&amp;$B53&amp;"'!$F$1:$F$999"), S$1, INDIRECT("'"&amp;$B53&amp;"'!$B$1:$B$999"))/VLOOKUP(S$1, Table1[#All],2, FALSE)</f>
        <v>#N/A</v>
      </c>
      <c r="T53" s="9">
        <f t="shared" ca="1" si="3"/>
        <v>-677.58</v>
      </c>
    </row>
    <row r="54" spans="1:20" x14ac:dyDescent="0.25">
      <c r="A54" s="13">
        <f t="shared" si="2"/>
        <v>45017</v>
      </c>
      <c r="B54" s="12" t="str">
        <f t="shared" si="1"/>
        <v>April 2023</v>
      </c>
      <c r="C54" s="8">
        <f ca="1">SUMIF(INDIRECT("'"&amp;$B54&amp;"'!$F$1:$F$999"), C$1, INDIRECT("'"&amp;$B54&amp;"'!$B$1:$B$999"))/VLOOKUP(C$1, Table1[#All],2, FALSE)</f>
        <v>0.96517290487842178</v>
      </c>
      <c r="D54" s="8">
        <f ca="1">SUMIF(INDIRECT("'"&amp;$B54&amp;"'!$F$1:$F$999"), D$1, INDIRECT("'"&amp;$B54&amp;"'!$B$1:$B$999"))/VLOOKUP(D$1, Table1[#All],2, FALSE)</f>
        <v>-3.1236999999999981</v>
      </c>
      <c r="E54" s="8">
        <f ca="1">SUMIF(INDIRECT("'"&amp;$B54&amp;"'!$F$1:$F$999"), E$1, INDIRECT("'"&amp;$B54&amp;"'!$B$1:$B$999"))/VLOOKUP(E$1, Table1[#All],2, FALSE)</f>
        <v>0</v>
      </c>
      <c r="F54" s="8">
        <f ca="1">SUMIF(INDIRECT("'"&amp;$B54&amp;"'!$F$1:$F$999"), F$1, INDIRECT("'"&amp;$B54&amp;"'!$B$1:$B$999"))/VLOOKUP(F$1, Table1[#All],2, FALSE)</f>
        <v>-0.77819999999999989</v>
      </c>
      <c r="G54" s="8">
        <f ca="1">SUMIF(INDIRECT("'"&amp;$B54&amp;"'!$F$1:$F$999"), G$1, INDIRECT("'"&amp;$B54&amp;"'!$B$1:$B$999"))/VLOOKUP(G$1, Table1[#All],2, FALSE)</f>
        <v>0</v>
      </c>
      <c r="H54" s="8">
        <f ca="1">SUMIF(INDIRECT("'"&amp;$B54&amp;"'!$F$1:$F$999"), H$1, INDIRECT("'"&amp;$B54&amp;"'!$B$1:$B$999"))/VLOOKUP(H$1, Table1[#All],2, FALSE)</f>
        <v>-5.6033999999999988</v>
      </c>
      <c r="I54" s="8">
        <f ca="1">SUMIF(INDIRECT("'"&amp;$B54&amp;"'!$F$1:$F$999"), I$1, INDIRECT("'"&amp;$B54&amp;"'!$B$1:$B$999"))/VLOOKUP(I$1, Table1[#All],2, FALSE)</f>
        <v>-3.1780999999999993</v>
      </c>
      <c r="J54" s="8">
        <f ca="1">SUMIF(INDIRECT("'"&amp;$B54&amp;"'!$F$1:$F$999"), J$1, INDIRECT("'"&amp;$B54&amp;"'!$B$1:$B$999"))/VLOOKUP(J$1, Table1[#All],2, FALSE)</f>
        <v>-5.7973999999999997</v>
      </c>
      <c r="K54" s="8">
        <f ca="1">SUMIF(INDIRECT("'"&amp;$B54&amp;"'!$F$1:$F$999"), K$1, INDIRECT("'"&amp;$B54&amp;"'!$B$1:$B$999"))/VLOOKUP(K$1, Table1[#All],2, FALSE)</f>
        <v>0</v>
      </c>
      <c r="L54" s="8">
        <f ca="1">SUMIF(INDIRECT("'"&amp;$B54&amp;"'!$F$1:$F$999"), L$1, INDIRECT("'"&amp;$B54&amp;"'!$B$1:$B$999"))/VLOOKUP(L$1, Table1[#All],2, FALSE)</f>
        <v>0</v>
      </c>
      <c r="M54" s="8">
        <f ca="1">SUMIF(INDIRECT("'"&amp;$B54&amp;"'!$F$1:$F$999"), M$1, INDIRECT("'"&amp;$B54&amp;"'!$B$1:$B$999"))/VLOOKUP(M$1, Table1[#All],2, FALSE)</f>
        <v>-2.3325999999999998</v>
      </c>
      <c r="N54" s="8">
        <f ca="1">SUMIF(INDIRECT("'"&amp;$B54&amp;"'!$F$1:$F$999"), N$1, INDIRECT("'"&amp;$B54&amp;"'!$B$1:$B$999"))/VLOOKUP(N$1, Table1[#All],2, FALSE)</f>
        <v>0</v>
      </c>
      <c r="O54" s="8">
        <f ca="1">SUMIF(INDIRECT("'"&amp;$B54&amp;"'!$F$1:$F$999"), O$1, INDIRECT("'"&amp;$B54&amp;"'!$B$1:$B$999"))/VLOOKUP(O$1, Table1[#All],2, FALSE)</f>
        <v>0</v>
      </c>
      <c r="P54" s="8">
        <f ca="1">SUMIF(INDIRECT("'"&amp;$B54&amp;"'!$F$1:$F$999"), P$1, INDIRECT("'"&amp;$B54&amp;"'!$B$1:$B$999"))/VLOOKUP(P$1, Table1[#All],2, FALSE)</f>
        <v>-1.0328571428571429</v>
      </c>
      <c r="Q54" s="8">
        <f ca="1">SUMIF(INDIRECT("'"&amp;$B54&amp;"'!$F$1:$F$999"), Q$1, INDIRECT("'"&amp;$B54&amp;"'!$B$1:$B$999"))/VLOOKUP(Q$1, Table1[#All],2, FALSE)</f>
        <v>-1.1041666666666667</v>
      </c>
      <c r="R54" s="8">
        <f ca="1">SUMIF(INDIRECT("'"&amp;$B54&amp;"'!$F$1:$F$999"), R$1, INDIRECT("'"&amp;$B54&amp;"'!$B$1:$B$999"))/VLOOKUP(R$1, Table1[#All],2, FALSE)</f>
        <v>-1.1056153846153847</v>
      </c>
      <c r="S54" s="8" t="e">
        <f ca="1">SUMIF(INDIRECT("'"&amp;$B54&amp;"'!$F$1:$F$999"), S$1, INDIRECT("'"&amp;$B54&amp;"'!$B$1:$B$999"))/VLOOKUP(S$1, Table1[#All],2, FALSE)</f>
        <v>#N/A</v>
      </c>
      <c r="T54" s="9">
        <f t="shared" ca="1" si="3"/>
        <v>-790.74000000000024</v>
      </c>
    </row>
    <row r="55" spans="1:20" x14ac:dyDescent="0.25">
      <c r="A55" s="13">
        <f t="shared" si="2"/>
        <v>45047</v>
      </c>
      <c r="B55" s="12" t="str">
        <f t="shared" si="1"/>
        <v>May 2023</v>
      </c>
      <c r="C55" s="8">
        <f ca="1">SUMIF(INDIRECT("'"&amp;$B55&amp;"'!$F$1:$F$999"), C$1, INDIRECT("'"&amp;$B55&amp;"'!$B$1:$B$999"))/VLOOKUP(C$1, Table1[#All],2, FALSE)</f>
        <v>0.93975808609879186</v>
      </c>
      <c r="D55" s="8">
        <f ca="1">SUMIF(INDIRECT("'"&amp;$B55&amp;"'!$F$1:$F$999"), D$1, INDIRECT("'"&amp;$B55&amp;"'!$B$1:$B$999"))/VLOOKUP(D$1, Table1[#All],2, FALSE)</f>
        <v>-4.6368249999999973</v>
      </c>
      <c r="E55" s="8">
        <f ca="1">SUMIF(INDIRECT("'"&amp;$B55&amp;"'!$F$1:$F$999"), E$1, INDIRECT("'"&amp;$B55&amp;"'!$B$1:$B$999"))/VLOOKUP(E$1, Table1[#All],2, FALSE)</f>
        <v>5.7939914163090127E-2</v>
      </c>
      <c r="F55" s="8">
        <f ca="1">SUMIF(INDIRECT("'"&amp;$B55&amp;"'!$F$1:$F$999"), F$1, INDIRECT("'"&amp;$B55&amp;"'!$B$1:$B$999"))/VLOOKUP(F$1, Table1[#All],2, FALSE)</f>
        <v>-2.7835000000000001</v>
      </c>
      <c r="G55" s="8">
        <f ca="1">SUMIF(INDIRECT("'"&amp;$B55&amp;"'!$F$1:$F$999"), G$1, INDIRECT("'"&amp;$B55&amp;"'!$B$1:$B$999"))/VLOOKUP(G$1, Table1[#All],2, FALSE)</f>
        <v>-1.0094000000000001</v>
      </c>
      <c r="H55" s="8">
        <f ca="1">SUMIF(INDIRECT("'"&amp;$B55&amp;"'!$F$1:$F$999"), H$1, INDIRECT("'"&amp;$B55&amp;"'!$B$1:$B$999"))/VLOOKUP(H$1, Table1[#All],2, FALSE)</f>
        <v>-0.12</v>
      </c>
      <c r="I55" s="8">
        <f ca="1">SUMIF(INDIRECT("'"&amp;$B55&amp;"'!$F$1:$F$999"), I$1, INDIRECT("'"&amp;$B55&amp;"'!$B$1:$B$999"))/VLOOKUP(I$1, Table1[#All],2, FALSE)</f>
        <v>-2.6701999999999999</v>
      </c>
      <c r="J55" s="8">
        <f ca="1">SUMIF(INDIRECT("'"&amp;$B55&amp;"'!$F$1:$F$999"), J$1, INDIRECT("'"&amp;$B55&amp;"'!$B$1:$B$999"))/VLOOKUP(J$1, Table1[#All],2, FALSE)</f>
        <v>-10.666199999999998</v>
      </c>
      <c r="K55" s="8">
        <f ca="1">SUMIF(INDIRECT("'"&amp;$B55&amp;"'!$F$1:$F$999"), K$1, INDIRECT("'"&amp;$B55&amp;"'!$B$1:$B$999"))/VLOOKUP(K$1, Table1[#All],2, FALSE)</f>
        <v>0</v>
      </c>
      <c r="L55" s="8">
        <f ca="1">SUMIF(INDIRECT("'"&amp;$B55&amp;"'!$F$1:$F$999"), L$1, INDIRECT("'"&amp;$B55&amp;"'!$B$1:$B$999"))/VLOOKUP(L$1, Table1[#All],2, FALSE)</f>
        <v>0</v>
      </c>
      <c r="M55" s="8">
        <f ca="1">SUMIF(INDIRECT("'"&amp;$B55&amp;"'!$F$1:$F$999"), M$1, INDIRECT("'"&amp;$B55&amp;"'!$B$1:$B$999"))/VLOOKUP(M$1, Table1[#All],2, FALSE)</f>
        <v>-1.9927000000000001</v>
      </c>
      <c r="N55" s="8">
        <f ca="1">SUMIF(INDIRECT("'"&amp;$B55&amp;"'!$F$1:$F$999"), N$1, INDIRECT("'"&amp;$B55&amp;"'!$B$1:$B$999"))/VLOOKUP(N$1, Table1[#All],2, FALSE)</f>
        <v>0</v>
      </c>
      <c r="O55" s="8">
        <f ca="1">SUMIF(INDIRECT("'"&amp;$B55&amp;"'!$F$1:$F$999"), O$1, INDIRECT("'"&amp;$B55&amp;"'!$B$1:$B$999"))/VLOOKUP(O$1, Table1[#All],2, FALSE)</f>
        <v>-0.65179999999999993</v>
      </c>
      <c r="P55" s="8">
        <f ca="1">SUMIF(INDIRECT("'"&amp;$B55&amp;"'!$F$1:$F$999"), P$1, INDIRECT("'"&amp;$B55&amp;"'!$B$1:$B$999"))/VLOOKUP(P$1, Table1[#All],2, FALSE)</f>
        <v>-0.91871428571428571</v>
      </c>
      <c r="Q55" s="8">
        <f ca="1">SUMIF(INDIRECT("'"&amp;$B55&amp;"'!$F$1:$F$999"), Q$1, INDIRECT("'"&amp;$B55&amp;"'!$B$1:$B$999"))/VLOOKUP(Q$1, Table1[#All],2, FALSE)</f>
        <v>-1.1041666666666667</v>
      </c>
      <c r="R55" s="8">
        <f ca="1">SUMIF(INDIRECT("'"&amp;$B55&amp;"'!$F$1:$F$999"), R$1, INDIRECT("'"&amp;$B55&amp;"'!$B$1:$B$999"))/VLOOKUP(R$1, Table1[#All],2, FALSE)</f>
        <v>-0.93753846153846154</v>
      </c>
      <c r="S55" s="8" t="e">
        <f ca="1">SUMIF(INDIRECT("'"&amp;$B55&amp;"'!$F$1:$F$999"), S$1, INDIRECT("'"&amp;$B55&amp;"'!$B$1:$B$999"))/VLOOKUP(S$1, Table1[#All],2, FALSE)</f>
        <v>#N/A</v>
      </c>
      <c r="T55" s="9">
        <f t="shared" ca="1" si="3"/>
        <v>4501.2</v>
      </c>
    </row>
    <row r="56" spans="1:20" x14ac:dyDescent="0.25">
      <c r="A56" s="13">
        <f t="shared" si="2"/>
        <v>45078</v>
      </c>
      <c r="B56" s="12" t="str">
        <f t="shared" si="1"/>
        <v>June 2023</v>
      </c>
      <c r="C56" s="8">
        <f ca="1">SUMIF(INDIRECT("'"&amp;$B56&amp;"'!$F$1:$F$999"), C$1, INDIRECT("'"&amp;$B56&amp;"'!$B$1:$B$999"))/VLOOKUP(C$1, Table1[#All],2, FALSE)</f>
        <v>1.4516435043584646</v>
      </c>
      <c r="D56" s="8">
        <f ca="1">SUMIF(INDIRECT("'"&amp;$B56&amp;"'!$F$1:$F$999"), D$1, INDIRECT("'"&amp;$B56&amp;"'!$B$1:$B$999"))/VLOOKUP(D$1, Table1[#All],2, FALSE)</f>
        <v>-3.7965</v>
      </c>
      <c r="E56" s="8">
        <f ca="1">SUMIF(INDIRECT("'"&amp;$B56&amp;"'!$F$1:$F$999"), E$1, INDIRECT("'"&amp;$B56&amp;"'!$B$1:$B$999"))/VLOOKUP(E$1, Table1[#All],2, FALSE)</f>
        <v>0.42612446351931332</v>
      </c>
      <c r="F56" s="8">
        <f ca="1">SUMIF(INDIRECT("'"&amp;$B56&amp;"'!$F$1:$F$999"), F$1, INDIRECT("'"&amp;$B56&amp;"'!$B$1:$B$999"))/VLOOKUP(F$1, Table1[#All],2, FALSE)</f>
        <v>-0.45399999999999996</v>
      </c>
      <c r="G56" s="8">
        <f ca="1">SUMIF(INDIRECT("'"&amp;$B56&amp;"'!$F$1:$F$999"), G$1, INDIRECT("'"&amp;$B56&amp;"'!$B$1:$B$999"))/VLOOKUP(G$1, Table1[#All],2, FALSE)</f>
        <v>0</v>
      </c>
      <c r="H56" s="8">
        <f ca="1">SUMIF(INDIRECT("'"&amp;$B56&amp;"'!$F$1:$F$999"), H$1, INDIRECT("'"&amp;$B56&amp;"'!$B$1:$B$999"))/VLOOKUP(H$1, Table1[#All],2, FALSE)</f>
        <v>-0.27534999999999998</v>
      </c>
      <c r="I56" s="8">
        <f ca="1">SUMIF(INDIRECT("'"&amp;$B56&amp;"'!$F$1:$F$999"), I$1, INDIRECT("'"&amp;$B56&amp;"'!$B$1:$B$999"))/VLOOKUP(I$1, Table1[#All],2, FALSE)</f>
        <v>-1.0182</v>
      </c>
      <c r="J56" s="8">
        <f ca="1">SUMIF(INDIRECT("'"&amp;$B56&amp;"'!$F$1:$F$999"), J$1, INDIRECT("'"&amp;$B56&amp;"'!$B$1:$B$999"))/VLOOKUP(J$1, Table1[#All],2, FALSE)</f>
        <v>-5.6742000000000008</v>
      </c>
      <c r="K56" s="8">
        <f ca="1">SUMIF(INDIRECT("'"&amp;$B56&amp;"'!$F$1:$F$999"), K$1, INDIRECT("'"&amp;$B56&amp;"'!$B$1:$B$999"))/VLOOKUP(K$1, Table1[#All],2, FALSE)</f>
        <v>0</v>
      </c>
      <c r="L56" s="8">
        <f ca="1">SUMIF(INDIRECT("'"&amp;$B56&amp;"'!$F$1:$F$999"), L$1, INDIRECT("'"&amp;$B56&amp;"'!$B$1:$B$999"))/VLOOKUP(L$1, Table1[#All],2, FALSE)</f>
        <v>0</v>
      </c>
      <c r="M56" s="8">
        <f ca="1">SUMIF(INDIRECT("'"&amp;$B56&amp;"'!$F$1:$F$999"), M$1, INDIRECT("'"&amp;$B56&amp;"'!$B$1:$B$999"))/VLOOKUP(M$1, Table1[#All],2, FALSE)</f>
        <v>0</v>
      </c>
      <c r="N56" s="8">
        <f ca="1">SUMIF(INDIRECT("'"&amp;$B56&amp;"'!$F$1:$F$999"), N$1, INDIRECT("'"&amp;$B56&amp;"'!$B$1:$B$999"))/VLOOKUP(N$1, Table1[#All],2, FALSE)</f>
        <v>0</v>
      </c>
      <c r="O56" s="8">
        <f ca="1">SUMIF(INDIRECT("'"&amp;$B56&amp;"'!$F$1:$F$999"), O$1, INDIRECT("'"&amp;$B56&amp;"'!$B$1:$B$999"))/VLOOKUP(O$1, Table1[#All],2, FALSE)</f>
        <v>0</v>
      </c>
      <c r="P56" s="8">
        <f ca="1">SUMIF(INDIRECT("'"&amp;$B56&amp;"'!$F$1:$F$999"), P$1, INDIRECT("'"&amp;$B56&amp;"'!$B$1:$B$999"))/VLOOKUP(P$1, Table1[#All],2, FALSE)</f>
        <v>-0.97628571428571431</v>
      </c>
      <c r="Q56" s="8">
        <f ca="1">SUMIF(INDIRECT("'"&amp;$B56&amp;"'!$F$1:$F$999"), Q$1, INDIRECT("'"&amp;$B56&amp;"'!$B$1:$B$999"))/VLOOKUP(Q$1, Table1[#All],2, FALSE)</f>
        <v>-1.1041666666666667</v>
      </c>
      <c r="R56" s="8">
        <f ca="1">SUMIF(INDIRECT("'"&amp;$B56&amp;"'!$F$1:$F$999"), R$1, INDIRECT("'"&amp;$B56&amp;"'!$B$1:$B$999"))/VLOOKUP(R$1, Table1[#All],2, FALSE)</f>
        <v>-1.1919999999999999</v>
      </c>
      <c r="S56" s="8" t="e">
        <f ca="1">SUMIF(INDIRECT("'"&amp;$B56&amp;"'!$F$1:$F$999"), S$1, INDIRECT("'"&amp;$B56&amp;"'!$B$1:$B$999"))/VLOOKUP(S$1, Table1[#All],2, FALSE)</f>
        <v>#N/A</v>
      </c>
      <c r="T56" s="9">
        <f t="shared" ca="1" si="3"/>
        <v>1699.3000000000006</v>
      </c>
    </row>
    <row r="57" spans="1:20" x14ac:dyDescent="0.25">
      <c r="A57" s="13">
        <f t="shared" si="2"/>
        <v>45108</v>
      </c>
      <c r="B57" s="12" t="str">
        <f t="shared" si="1"/>
        <v>July 2023</v>
      </c>
      <c r="C57" s="8">
        <f ca="1">SUMIF(INDIRECT("'"&amp;$B57&amp;"'!$F$1:$F$999"), C$1, INDIRECT("'"&amp;$B57&amp;"'!$B$1:$B$999"))/VLOOKUP(C$1, Table1[#All],2, FALSE)</f>
        <v>0.96861857699954124</v>
      </c>
      <c r="D57" s="8">
        <f ca="1">SUMIF(INDIRECT("'"&amp;$B57&amp;"'!$F$1:$F$999"), D$1, INDIRECT("'"&amp;$B57&amp;"'!$B$1:$B$999"))/VLOOKUP(D$1, Table1[#All],2, FALSE)</f>
        <v>-2.8646000000000003</v>
      </c>
      <c r="E57" s="8">
        <f ca="1">SUMIF(INDIRECT("'"&amp;$B57&amp;"'!$F$1:$F$999"), E$1, INDIRECT("'"&amp;$B57&amp;"'!$B$1:$B$999"))/VLOOKUP(E$1, Table1[#All],2, FALSE)</f>
        <v>-0.21459227467811159</v>
      </c>
      <c r="F57" s="8">
        <f ca="1">SUMIF(INDIRECT("'"&amp;$B57&amp;"'!$F$1:$F$999"), F$1, INDIRECT("'"&amp;$B57&amp;"'!$B$1:$B$999"))/VLOOKUP(F$1, Table1[#All],2, FALSE)</f>
        <v>-1.9867000000000004</v>
      </c>
      <c r="G57" s="8">
        <f ca="1">SUMIF(INDIRECT("'"&amp;$B57&amp;"'!$F$1:$F$999"), G$1, INDIRECT("'"&amp;$B57&amp;"'!$B$1:$B$999"))/VLOOKUP(G$1, Table1[#All],2, FALSE)</f>
        <v>-0.22190000000000001</v>
      </c>
      <c r="H57" s="8">
        <f ca="1">SUMIF(INDIRECT("'"&amp;$B57&amp;"'!$F$1:$F$999"), H$1, INDIRECT("'"&amp;$B57&amp;"'!$B$1:$B$999"))/VLOOKUP(H$1, Table1[#All],2, FALSE)</f>
        <v>0.67625000000000002</v>
      </c>
      <c r="I57" s="8">
        <f ca="1">SUMIF(INDIRECT("'"&amp;$B57&amp;"'!$F$1:$F$999"), I$1, INDIRECT("'"&amp;$B57&amp;"'!$B$1:$B$999"))/VLOOKUP(I$1, Table1[#All],2, FALSE)</f>
        <v>-5.9724000000000004</v>
      </c>
      <c r="J57" s="8">
        <f ca="1">SUMIF(INDIRECT("'"&amp;$B57&amp;"'!$F$1:$F$999"), J$1, INDIRECT("'"&amp;$B57&amp;"'!$B$1:$B$999"))/VLOOKUP(J$1, Table1[#All],2, FALSE)</f>
        <v>-2.3925999999999998</v>
      </c>
      <c r="K57" s="8">
        <f ca="1">SUMIF(INDIRECT("'"&amp;$B57&amp;"'!$F$1:$F$999"), K$1, INDIRECT("'"&amp;$B57&amp;"'!$B$1:$B$999"))/VLOOKUP(K$1, Table1[#All],2, FALSE)</f>
        <v>0</v>
      </c>
      <c r="L57" s="8">
        <f ca="1">SUMIF(INDIRECT("'"&amp;$B57&amp;"'!$F$1:$F$999"), L$1, INDIRECT("'"&amp;$B57&amp;"'!$B$1:$B$999"))/VLOOKUP(L$1, Table1[#All],2, FALSE)</f>
        <v>-15</v>
      </c>
      <c r="M57" s="8">
        <f ca="1">SUMIF(INDIRECT("'"&amp;$B57&amp;"'!$F$1:$F$999"), M$1, INDIRECT("'"&amp;$B57&amp;"'!$B$1:$B$999"))/VLOOKUP(M$1, Table1[#All],2, FALSE)</f>
        <v>-0.11630000000000001</v>
      </c>
      <c r="N57" s="8">
        <f ca="1">SUMIF(INDIRECT("'"&amp;$B57&amp;"'!$F$1:$F$999"), N$1, INDIRECT("'"&amp;$B57&amp;"'!$B$1:$B$999"))/VLOOKUP(N$1, Table1[#All],2, FALSE)</f>
        <v>0</v>
      </c>
      <c r="O57" s="8">
        <f ca="1">SUMIF(INDIRECT("'"&amp;$B57&amp;"'!$F$1:$F$999"), O$1, INDIRECT("'"&amp;$B57&amp;"'!$B$1:$B$999"))/VLOOKUP(O$1, Table1[#All],2, FALSE)</f>
        <v>0</v>
      </c>
      <c r="P57" s="8">
        <f ca="1">SUMIF(INDIRECT("'"&amp;$B57&amp;"'!$F$1:$F$999"), P$1, INDIRECT("'"&amp;$B57&amp;"'!$B$1:$B$999"))/VLOOKUP(P$1, Table1[#All],2, FALSE)</f>
        <v>-2.121</v>
      </c>
      <c r="Q57" s="8">
        <f ca="1">SUMIF(INDIRECT("'"&amp;$B57&amp;"'!$F$1:$F$999"), Q$1, INDIRECT("'"&amp;$B57&amp;"'!$B$1:$B$999"))/VLOOKUP(Q$1, Table1[#All],2, FALSE)</f>
        <v>-1.1041666666666667</v>
      </c>
      <c r="R57" s="8">
        <f ca="1">SUMIF(INDIRECT("'"&amp;$B57&amp;"'!$F$1:$F$999"), R$1, INDIRECT("'"&amp;$B57&amp;"'!$B$1:$B$999"))/VLOOKUP(R$1, Table1[#All],2, FALSE)</f>
        <v>-0.51192307692307693</v>
      </c>
      <c r="S57" s="8" t="e">
        <f ca="1">SUMIF(INDIRECT("'"&amp;$B57&amp;"'!$F$1:$F$999"), S$1, INDIRECT("'"&amp;$B57&amp;"'!$B$1:$B$999"))/VLOOKUP(S$1, Table1[#All],2, FALSE)</f>
        <v>#N/A</v>
      </c>
      <c r="T57" s="9">
        <f t="shared" ca="1" si="3"/>
        <v>-276.340000000001</v>
      </c>
    </row>
    <row r="58" spans="1:20" x14ac:dyDescent="0.25">
      <c r="A58" s="13">
        <f t="shared" si="2"/>
        <v>45139</v>
      </c>
      <c r="B58" s="12" t="str">
        <f t="shared" si="1"/>
        <v>August 2023</v>
      </c>
      <c r="C58" s="8">
        <f ca="1">SUMIF(INDIRECT("'"&amp;$B58&amp;"'!$F$1:$F$999"), C$1, INDIRECT("'"&amp;$B58&amp;"'!$B$1:$B$999"))/VLOOKUP(C$1, Table1[#All],2, FALSE)</f>
        <v>1.0241388209206299</v>
      </c>
      <c r="D58" s="8">
        <f ca="1">SUMIF(INDIRECT("'"&amp;$B58&amp;"'!$F$1:$F$999"), D$1, INDIRECT("'"&amp;$B58&amp;"'!$B$1:$B$999"))/VLOOKUP(D$1, Table1[#All],2, FALSE)</f>
        <v>-4.8546499999999995</v>
      </c>
      <c r="E58" s="8">
        <f ca="1">SUMIF(INDIRECT("'"&amp;$B58&amp;"'!$F$1:$F$999"), E$1, INDIRECT("'"&amp;$B58&amp;"'!$B$1:$B$999"))/VLOOKUP(E$1, Table1[#All],2, FALSE)</f>
        <v>7.6394849785407726E-2</v>
      </c>
      <c r="F58" s="8">
        <f ca="1">SUMIF(INDIRECT("'"&amp;$B58&amp;"'!$F$1:$F$999"), F$1, INDIRECT("'"&amp;$B58&amp;"'!$B$1:$B$999"))/VLOOKUP(F$1, Table1[#All],2, FALSE)</f>
        <v>-4.7477999999999998</v>
      </c>
      <c r="G58" s="8">
        <f ca="1">SUMIF(INDIRECT("'"&amp;$B58&amp;"'!$F$1:$F$999"), G$1, INDIRECT("'"&amp;$B58&amp;"'!$B$1:$B$999"))/VLOOKUP(G$1, Table1[#All],2, FALSE)</f>
        <v>0</v>
      </c>
      <c r="H58" s="8">
        <f ca="1">SUMIF(INDIRECT("'"&amp;$B58&amp;"'!$F$1:$F$999"), H$1, INDIRECT("'"&amp;$B58&amp;"'!$B$1:$B$999"))/VLOOKUP(H$1, Table1[#All],2, FALSE)</f>
        <v>-1.9369499999999993</v>
      </c>
      <c r="I58" s="8">
        <f ca="1">SUMIF(INDIRECT("'"&amp;$B58&amp;"'!$F$1:$F$999"), I$1, INDIRECT("'"&amp;$B58&amp;"'!$B$1:$B$999"))/VLOOKUP(I$1, Table1[#All],2, FALSE)</f>
        <v>-2.0331000000000001</v>
      </c>
      <c r="J58" s="8">
        <f ca="1">SUMIF(INDIRECT("'"&amp;$B58&amp;"'!$F$1:$F$999"), J$1, INDIRECT("'"&amp;$B58&amp;"'!$B$1:$B$999"))/VLOOKUP(J$1, Table1[#All],2, FALSE)</f>
        <v>-2.4157999999999999</v>
      </c>
      <c r="K58" s="8">
        <f ca="1">SUMIF(INDIRECT("'"&amp;$B58&amp;"'!$F$1:$F$999"), K$1, INDIRECT("'"&amp;$B58&amp;"'!$B$1:$B$999"))/VLOOKUP(K$1, Table1[#All],2, FALSE)</f>
        <v>0</v>
      </c>
      <c r="L58" s="8">
        <f ca="1">SUMIF(INDIRECT("'"&amp;$B58&amp;"'!$F$1:$F$999"), L$1, INDIRECT("'"&amp;$B58&amp;"'!$B$1:$B$999"))/VLOOKUP(L$1, Table1[#All],2, FALSE)</f>
        <v>-650</v>
      </c>
      <c r="M58" s="8">
        <f ca="1">SUMIF(INDIRECT("'"&amp;$B58&amp;"'!$F$1:$F$999"), M$1, INDIRECT("'"&amp;$B58&amp;"'!$B$1:$B$999"))/VLOOKUP(M$1, Table1[#All],2, FALSE)</f>
        <v>-1.155</v>
      </c>
      <c r="N58" s="8">
        <f ca="1">SUMIF(INDIRECT("'"&amp;$B58&amp;"'!$F$1:$F$999"), N$1, INDIRECT("'"&amp;$B58&amp;"'!$B$1:$B$999"))/VLOOKUP(N$1, Table1[#All],2, FALSE)</f>
        <v>0</v>
      </c>
      <c r="O58" s="8">
        <f ca="1">SUMIF(INDIRECT("'"&amp;$B58&amp;"'!$F$1:$F$999"), O$1, INDIRECT("'"&amp;$B58&amp;"'!$B$1:$B$999"))/VLOOKUP(O$1, Table1[#All],2, FALSE)</f>
        <v>0</v>
      </c>
      <c r="P58" s="8">
        <f ca="1">SUMIF(INDIRECT("'"&amp;$B58&amp;"'!$F$1:$F$999"), P$1, INDIRECT("'"&amp;$B58&amp;"'!$B$1:$B$999"))/VLOOKUP(P$1, Table1[#All],2, FALSE)</f>
        <v>-1.0572857142857144</v>
      </c>
      <c r="Q58" s="8">
        <f ca="1">SUMIF(INDIRECT("'"&amp;$B58&amp;"'!$F$1:$F$999"), Q$1, INDIRECT("'"&amp;$B58&amp;"'!$B$1:$B$999"))/VLOOKUP(Q$1, Table1[#All],2, FALSE)</f>
        <v>-1.1041666666666667</v>
      </c>
      <c r="R58" s="8">
        <f ca="1">SUMIF(INDIRECT("'"&amp;$B58&amp;"'!$F$1:$F$999"), R$1, INDIRECT("'"&amp;$B58&amp;"'!$B$1:$B$999"))/VLOOKUP(R$1, Table1[#All],2, FALSE)</f>
        <v>-2.1282307692307691</v>
      </c>
      <c r="S58" s="8" t="e">
        <f ca="1">SUMIF(INDIRECT("'"&amp;$B58&amp;"'!$F$1:$F$999"), S$1, INDIRECT("'"&amp;$B58&amp;"'!$B$1:$B$999"))/VLOOKUP(S$1, Table1[#All],2, FALSE)</f>
        <v>#N/A</v>
      </c>
      <c r="T58" s="9">
        <f t="shared" ca="1" si="3"/>
        <v>-65811.329999999987</v>
      </c>
    </row>
    <row r="59" spans="1:20" x14ac:dyDescent="0.25">
      <c r="A59" s="13">
        <f t="shared" si="2"/>
        <v>45170</v>
      </c>
      <c r="B59" s="12" t="str">
        <f t="shared" si="1"/>
        <v>September 2023</v>
      </c>
      <c r="C59" s="8">
        <f ca="1">SUMIF(INDIRECT("'"&amp;$B59&amp;"'!$F$1:$F$999"), C$1, INDIRECT("'"&amp;$B59&amp;"'!$B$1:$B$999"))/VLOOKUP(C$1, Table1[#All],2, FALSE)</f>
        <v>1.0096392797063771</v>
      </c>
      <c r="D59" s="8">
        <f ca="1">SUMIF(INDIRECT("'"&amp;$B59&amp;"'!$F$1:$F$999"), D$1, INDIRECT("'"&amp;$B59&amp;"'!$B$1:$B$999"))/VLOOKUP(D$1, Table1[#All],2, FALSE)</f>
        <v>-2.5505249999999999</v>
      </c>
      <c r="E59" s="8">
        <f ca="1">SUMIF(INDIRECT("'"&amp;$B59&amp;"'!$F$1:$F$999"), E$1, INDIRECT("'"&amp;$B59&amp;"'!$B$1:$B$999"))/VLOOKUP(E$1, Table1[#All],2, FALSE)</f>
        <v>0</v>
      </c>
      <c r="F59" s="8">
        <f ca="1">SUMIF(INDIRECT("'"&amp;$B59&amp;"'!$F$1:$F$999"), F$1, INDIRECT("'"&amp;$B59&amp;"'!$B$1:$B$999"))/VLOOKUP(F$1, Table1[#All],2, FALSE)</f>
        <v>-1.5467999999999997</v>
      </c>
      <c r="G59" s="8">
        <f ca="1">SUMIF(INDIRECT("'"&amp;$B59&amp;"'!$F$1:$F$999"), G$1, INDIRECT("'"&amp;$B59&amp;"'!$B$1:$B$999"))/VLOOKUP(G$1, Table1[#All],2, FALSE)</f>
        <v>0</v>
      </c>
      <c r="H59" s="8">
        <f ca="1">SUMIF(INDIRECT("'"&amp;$B59&amp;"'!$F$1:$F$999"), H$1, INDIRECT("'"&amp;$B59&amp;"'!$B$1:$B$999"))/VLOOKUP(H$1, Table1[#All],2, FALSE)</f>
        <v>-1.09975</v>
      </c>
      <c r="I59" s="8">
        <f ca="1">SUMIF(INDIRECT("'"&amp;$B59&amp;"'!$F$1:$F$999"), I$1, INDIRECT("'"&amp;$B59&amp;"'!$B$1:$B$999"))/VLOOKUP(I$1, Table1[#All],2, FALSE)</f>
        <v>-2.8453999999999997</v>
      </c>
      <c r="J59" s="8">
        <f ca="1">SUMIF(INDIRECT("'"&amp;$B59&amp;"'!$F$1:$F$999"), J$1, INDIRECT("'"&amp;$B59&amp;"'!$B$1:$B$999"))/VLOOKUP(J$1, Table1[#All],2, FALSE)</f>
        <v>-2.0954000000000002</v>
      </c>
      <c r="K59" s="8">
        <f ca="1">SUMIF(INDIRECT("'"&amp;$B59&amp;"'!$F$1:$F$999"), K$1, INDIRECT("'"&amp;$B59&amp;"'!$B$1:$B$999"))/VLOOKUP(K$1, Table1[#All],2, FALSE)</f>
        <v>0</v>
      </c>
      <c r="L59" s="8">
        <f ca="1">SUMIF(INDIRECT("'"&amp;$B59&amp;"'!$F$1:$F$999"), L$1, INDIRECT("'"&amp;$B59&amp;"'!$B$1:$B$999"))/VLOOKUP(L$1, Table1[#All],2, FALSE)</f>
        <v>0</v>
      </c>
      <c r="M59" s="8">
        <f ca="1">SUMIF(INDIRECT("'"&amp;$B59&amp;"'!$F$1:$F$999"), M$1, INDIRECT("'"&amp;$B59&amp;"'!$B$1:$B$999"))/VLOOKUP(M$1, Table1[#All],2, FALSE)</f>
        <v>-1.7759</v>
      </c>
      <c r="N59" s="8">
        <f ca="1">SUMIF(INDIRECT("'"&amp;$B59&amp;"'!$F$1:$F$999"), N$1, INDIRECT("'"&amp;$B59&amp;"'!$B$1:$B$999"))/VLOOKUP(N$1, Table1[#All],2, FALSE)</f>
        <v>0</v>
      </c>
      <c r="O59" s="8">
        <f ca="1">SUMIF(INDIRECT("'"&amp;$B59&amp;"'!$F$1:$F$999"), O$1, INDIRECT("'"&amp;$B59&amp;"'!$B$1:$B$999"))/VLOOKUP(O$1, Table1[#All],2, FALSE)</f>
        <v>0</v>
      </c>
      <c r="P59" s="8">
        <f ca="1">SUMIF(INDIRECT("'"&amp;$B59&amp;"'!$F$1:$F$999"), P$1, INDIRECT("'"&amp;$B59&amp;"'!$B$1:$B$999"))/VLOOKUP(P$1, Table1[#All],2, FALSE)</f>
        <v>-1.0048571428571429</v>
      </c>
      <c r="Q59" s="8">
        <f ca="1">SUMIF(INDIRECT("'"&amp;$B59&amp;"'!$F$1:$F$999"), Q$1, INDIRECT("'"&amp;$B59&amp;"'!$B$1:$B$999"))/VLOOKUP(Q$1, Table1[#All],2, FALSE)</f>
        <v>-1.1875</v>
      </c>
      <c r="R59" s="8">
        <f ca="1">SUMIF(INDIRECT("'"&amp;$B59&amp;"'!$F$1:$F$999"), R$1, INDIRECT("'"&amp;$B59&amp;"'!$B$1:$B$999"))/VLOOKUP(R$1, Table1[#All],2, FALSE)</f>
        <v>-1.3627692307692307</v>
      </c>
      <c r="S59" s="8" t="e">
        <f ca="1">SUMIF(INDIRECT("'"&amp;$B59&amp;"'!$F$1:$F$999"), S$1, INDIRECT("'"&amp;$B59&amp;"'!$B$1:$B$999"))/VLOOKUP(S$1, Table1[#All],2, FALSE)</f>
        <v>#N/A</v>
      </c>
      <c r="T59" s="9">
        <f t="shared" ca="1" si="3"/>
        <v>598.3099999999996</v>
      </c>
    </row>
    <row r="60" spans="1:20" x14ac:dyDescent="0.25">
      <c r="A60" s="13">
        <f t="shared" si="2"/>
        <v>45200</v>
      </c>
      <c r="B60" s="12" t="str">
        <f t="shared" si="1"/>
        <v>October 2023</v>
      </c>
      <c r="C60" s="8">
        <f ca="1">SUMIF(INDIRECT("'"&amp;$B60&amp;"'!$F$1:$F$999"), C$1, INDIRECT("'"&amp;$B60&amp;"'!$B$1:$B$999"))/VLOOKUP(C$1, Table1[#All],2, FALSE)</f>
        <v>1.0861131289187949</v>
      </c>
      <c r="D60" s="8">
        <f ca="1">SUMIF(INDIRECT("'"&amp;$B60&amp;"'!$F$1:$F$999"), D$1, INDIRECT("'"&amp;$B60&amp;"'!$B$1:$B$999"))/VLOOKUP(D$1, Table1[#All],2, FALSE)</f>
        <v>-3.1300749999999997</v>
      </c>
      <c r="E60" s="8">
        <f ca="1">SUMIF(INDIRECT("'"&amp;$B60&amp;"'!$F$1:$F$999"), E$1, INDIRECT("'"&amp;$B60&amp;"'!$B$1:$B$999"))/VLOOKUP(E$1, Table1[#All],2, FALSE)</f>
        <v>0.1625450643776824</v>
      </c>
      <c r="F60" s="8">
        <f ca="1">SUMIF(INDIRECT("'"&amp;$B60&amp;"'!$F$1:$F$999"), F$1, INDIRECT("'"&amp;$B60&amp;"'!$B$1:$B$999"))/VLOOKUP(F$1, Table1[#All],2, FALSE)</f>
        <v>-3.1543999999999999</v>
      </c>
      <c r="G60" s="8">
        <f ca="1">SUMIF(INDIRECT("'"&amp;$B60&amp;"'!$F$1:$F$999"), G$1, INDIRECT("'"&amp;$B60&amp;"'!$B$1:$B$999"))/VLOOKUP(G$1, Table1[#All],2, FALSE)</f>
        <v>0</v>
      </c>
      <c r="H60" s="8">
        <f ca="1">SUMIF(INDIRECT("'"&amp;$B60&amp;"'!$F$1:$F$999"), H$1, INDIRECT("'"&amp;$B60&amp;"'!$B$1:$B$999"))/VLOOKUP(H$1, Table1[#All],2, FALSE)</f>
        <v>-2.8689499999999999</v>
      </c>
      <c r="I60" s="8">
        <f ca="1">SUMIF(INDIRECT("'"&amp;$B60&amp;"'!$F$1:$F$999"), I$1, INDIRECT("'"&amp;$B60&amp;"'!$B$1:$B$999"))/VLOOKUP(I$1, Table1[#All],2, FALSE)</f>
        <v>-1.4298000000000002</v>
      </c>
      <c r="J60" s="8">
        <f ca="1">SUMIF(INDIRECT("'"&amp;$B60&amp;"'!$F$1:$F$999"), J$1, INDIRECT("'"&amp;$B60&amp;"'!$B$1:$B$999"))/VLOOKUP(J$1, Table1[#All],2, FALSE)</f>
        <v>-0.76780000000000004</v>
      </c>
      <c r="K60" s="8">
        <f ca="1">SUMIF(INDIRECT("'"&amp;$B60&amp;"'!$F$1:$F$999"), K$1, INDIRECT("'"&amp;$B60&amp;"'!$B$1:$B$999"))/VLOOKUP(K$1, Table1[#All],2, FALSE)</f>
        <v>0</v>
      </c>
      <c r="L60" s="8">
        <f ca="1">SUMIF(INDIRECT("'"&amp;$B60&amp;"'!$F$1:$F$999"), L$1, INDIRECT("'"&amp;$B60&amp;"'!$B$1:$B$999"))/VLOOKUP(L$1, Table1[#All],2, FALSE)</f>
        <v>0</v>
      </c>
      <c r="M60" s="8">
        <f ca="1">SUMIF(INDIRECT("'"&amp;$B60&amp;"'!$F$1:$F$999"), M$1, INDIRECT("'"&amp;$B60&amp;"'!$B$1:$B$999"))/VLOOKUP(M$1, Table1[#All],2, FALSE)</f>
        <v>0</v>
      </c>
      <c r="N60" s="8">
        <f ca="1">SUMIF(INDIRECT("'"&amp;$B60&amp;"'!$F$1:$F$999"), N$1, INDIRECT("'"&amp;$B60&amp;"'!$B$1:$B$999"))/VLOOKUP(N$1, Table1[#All],2, FALSE)</f>
        <v>0</v>
      </c>
      <c r="O60" s="8">
        <f ca="1">SUMIF(INDIRECT("'"&amp;$B60&amp;"'!$F$1:$F$999"), O$1, INDIRECT("'"&amp;$B60&amp;"'!$B$1:$B$999"))/VLOOKUP(O$1, Table1[#All],2, FALSE)</f>
        <v>0</v>
      </c>
      <c r="P60" s="8">
        <f ca="1">SUMIF(INDIRECT("'"&amp;$B60&amp;"'!$F$1:$F$999"), P$1, INDIRECT("'"&amp;$B60&amp;"'!$B$1:$B$999"))/VLOOKUP(P$1, Table1[#All],2, FALSE)</f>
        <v>-1.9987142857142857</v>
      </c>
      <c r="Q60" s="8">
        <f ca="1">SUMIF(INDIRECT("'"&amp;$B60&amp;"'!$F$1:$F$999"), Q$1, INDIRECT("'"&amp;$B60&amp;"'!$B$1:$B$999"))/VLOOKUP(Q$1, Table1[#All],2, FALSE)</f>
        <v>-1.1875</v>
      </c>
      <c r="R60" s="8">
        <f ca="1">SUMIF(INDIRECT("'"&amp;$B60&amp;"'!$F$1:$F$999"), R$1, INDIRECT("'"&amp;$B60&amp;"'!$B$1:$B$999"))/VLOOKUP(R$1, Table1[#All],2, FALSE)</f>
        <v>-1.5555384615384615</v>
      </c>
      <c r="S60" s="8" t="e">
        <f ca="1">SUMIF(INDIRECT("'"&amp;$B60&amp;"'!$F$1:$F$999"), S$1, INDIRECT("'"&amp;$B60&amp;"'!$B$1:$B$999"))/VLOOKUP(S$1, Table1[#All],2, FALSE)</f>
        <v>#N/A</v>
      </c>
      <c r="T60" s="9">
        <f t="shared" ca="1" si="3"/>
        <v>246.85000000000008</v>
      </c>
    </row>
    <row r="61" spans="1:20" x14ac:dyDescent="0.25">
      <c r="A61" s="13">
        <f t="shared" si="2"/>
        <v>45231</v>
      </c>
      <c r="B61" s="12" t="str">
        <f t="shared" si="1"/>
        <v>November 2023</v>
      </c>
      <c r="C61" s="8">
        <f ca="1">SUMIF(INDIRECT("'"&amp;$B61&amp;"'!$F$1:$F$999"), C$1, INDIRECT("'"&amp;$B61&amp;"'!$B$1:$B$999"))/VLOOKUP(C$1, Table1[#All],2, FALSE)</f>
        <v>1.1022662104297292</v>
      </c>
      <c r="D61" s="8">
        <f ca="1">SUMIF(INDIRECT("'"&amp;$B61&amp;"'!$F$1:$F$999"), D$1, INDIRECT("'"&amp;$B61&amp;"'!$B$1:$B$999"))/VLOOKUP(D$1, Table1[#All],2, FALSE)</f>
        <v>-2.9736750000000001</v>
      </c>
      <c r="E61" s="8">
        <f ca="1">SUMIF(INDIRECT("'"&amp;$B61&amp;"'!$F$1:$F$999"), E$1, INDIRECT("'"&amp;$B61&amp;"'!$B$1:$B$999"))/VLOOKUP(E$1, Table1[#All],2, FALSE)</f>
        <v>0</v>
      </c>
      <c r="F61" s="8">
        <f ca="1">SUMIF(INDIRECT("'"&amp;$B61&amp;"'!$F$1:$F$999"), F$1, INDIRECT("'"&amp;$B61&amp;"'!$B$1:$B$999"))/VLOOKUP(F$1, Table1[#All],2, FALSE)</f>
        <v>-0.41020000000000001</v>
      </c>
      <c r="G61" s="8">
        <f ca="1">SUMIF(INDIRECT("'"&amp;$B61&amp;"'!$F$1:$F$999"), G$1, INDIRECT("'"&amp;$B61&amp;"'!$B$1:$B$999"))/VLOOKUP(G$1, Table1[#All],2, FALSE)</f>
        <v>0</v>
      </c>
      <c r="H61" s="8">
        <f ca="1">SUMIF(INDIRECT("'"&amp;$B61&amp;"'!$F$1:$F$999"), H$1, INDIRECT("'"&amp;$B61&amp;"'!$B$1:$B$999"))/VLOOKUP(H$1, Table1[#All],2, FALSE)</f>
        <v>-2.3488500000000001</v>
      </c>
      <c r="I61" s="8">
        <f ca="1">SUMIF(INDIRECT("'"&amp;$B61&amp;"'!$F$1:$F$999"), I$1, INDIRECT("'"&amp;$B61&amp;"'!$B$1:$B$999"))/VLOOKUP(I$1, Table1[#All],2, FALSE)</f>
        <v>-2.4994000000000001</v>
      </c>
      <c r="J61" s="8">
        <f ca="1">SUMIF(INDIRECT("'"&amp;$B61&amp;"'!$F$1:$F$999"), J$1, INDIRECT("'"&amp;$B61&amp;"'!$B$1:$B$999"))/VLOOKUP(J$1, Table1[#All],2, FALSE)</f>
        <v>-2.508</v>
      </c>
      <c r="K61" s="8">
        <f ca="1">SUMIF(INDIRECT("'"&amp;$B61&amp;"'!$F$1:$F$999"), K$1, INDIRECT("'"&amp;$B61&amp;"'!$B$1:$B$999"))/VLOOKUP(K$1, Table1[#All],2, FALSE)</f>
        <v>0</v>
      </c>
      <c r="L61" s="8">
        <f ca="1">SUMIF(INDIRECT("'"&amp;$B61&amp;"'!$F$1:$F$999"), L$1, INDIRECT("'"&amp;$B61&amp;"'!$B$1:$B$999"))/VLOOKUP(L$1, Table1[#All],2, FALSE)</f>
        <v>0</v>
      </c>
      <c r="M61" s="8">
        <f ca="1">SUMIF(INDIRECT("'"&amp;$B61&amp;"'!$F$1:$F$999"), M$1, INDIRECT("'"&amp;$B61&amp;"'!$B$1:$B$999"))/VLOOKUP(M$1, Table1[#All],2, FALSE)</f>
        <v>0</v>
      </c>
      <c r="N61" s="8">
        <f ca="1">SUMIF(INDIRECT("'"&amp;$B61&amp;"'!$F$1:$F$999"), N$1, INDIRECT("'"&amp;$B61&amp;"'!$B$1:$B$999"))/VLOOKUP(N$1, Table1[#All],2, FALSE)</f>
        <v>0</v>
      </c>
      <c r="O61" s="8">
        <f ca="1">SUMIF(INDIRECT("'"&amp;$B61&amp;"'!$F$1:$F$999"), O$1, INDIRECT("'"&amp;$B61&amp;"'!$B$1:$B$999"))/VLOOKUP(O$1, Table1[#All],2, FALSE)</f>
        <v>0</v>
      </c>
      <c r="P61" s="8">
        <f ca="1">SUMIF(INDIRECT("'"&amp;$B61&amp;"'!$F$1:$F$999"), P$1, INDIRECT("'"&amp;$B61&amp;"'!$B$1:$B$999"))/VLOOKUP(P$1, Table1[#All],2, FALSE)</f>
        <v>-0.98814285714285721</v>
      </c>
      <c r="Q61" s="8">
        <f ca="1">SUMIF(INDIRECT("'"&amp;$B61&amp;"'!$F$1:$F$999"), Q$1, INDIRECT("'"&amp;$B61&amp;"'!$B$1:$B$999"))/VLOOKUP(Q$1, Table1[#All],2, FALSE)</f>
        <v>-1.1875</v>
      </c>
      <c r="R61" s="8">
        <f ca="1">SUMIF(INDIRECT("'"&amp;$B61&amp;"'!$F$1:$F$999"), R$1, INDIRECT("'"&amp;$B61&amp;"'!$B$1:$B$999"))/VLOOKUP(R$1, Table1[#All],2, FALSE)</f>
        <v>-1.2346923076923075</v>
      </c>
      <c r="S61" s="8" t="e">
        <f ca="1">SUMIF(INDIRECT("'"&amp;$B61&amp;"'!$F$1:$F$999"), S$1, INDIRECT("'"&amp;$B61&amp;"'!$B$1:$B$999"))/VLOOKUP(S$1, Table1[#All],2, FALSE)</f>
        <v>#N/A</v>
      </c>
      <c r="T61" s="9">
        <f t="shared" ca="1" si="3"/>
        <v>857.66000000000008</v>
      </c>
    </row>
    <row r="62" spans="1:20" x14ac:dyDescent="0.25">
      <c r="A62" s="13">
        <f t="shared" si="2"/>
        <v>45261</v>
      </c>
      <c r="B62" s="12" t="str">
        <f t="shared" si="1"/>
        <v>December 2023</v>
      </c>
      <c r="C62" s="8">
        <f ca="1">SUMIF(INDIRECT("'"&amp;$B62&amp;"'!$F$1:$F$999"), C$1, INDIRECT("'"&amp;$B62&amp;"'!$B$1:$B$999"))/VLOOKUP(C$1, Table1[#All],2, FALSE)</f>
        <v>1.7335219452515676</v>
      </c>
      <c r="D62" s="8">
        <f ca="1">SUMIF(INDIRECT("'"&amp;$B62&amp;"'!$F$1:$F$999"), D$1, INDIRECT("'"&amp;$B62&amp;"'!$B$1:$B$999"))/VLOOKUP(D$1, Table1[#All],2, FALSE)</f>
        <v>-3.1816500000000008</v>
      </c>
      <c r="E62" s="8">
        <f ca="1">SUMIF(INDIRECT("'"&amp;$B62&amp;"'!$F$1:$F$999"), E$1, INDIRECT("'"&amp;$B62&amp;"'!$B$1:$B$999"))/VLOOKUP(E$1, Table1[#All],2, FALSE)</f>
        <v>0</v>
      </c>
      <c r="F62" s="8">
        <f ca="1">SUMIF(INDIRECT("'"&amp;$B62&amp;"'!$F$1:$F$999"), F$1, INDIRECT("'"&amp;$B62&amp;"'!$B$1:$B$999"))/VLOOKUP(F$1, Table1[#All],2, FALSE)</f>
        <v>-9.1499999999999998E-2</v>
      </c>
      <c r="G62" s="8">
        <f ca="1">SUMIF(INDIRECT("'"&amp;$B62&amp;"'!$F$1:$F$999"), G$1, INDIRECT("'"&amp;$B62&amp;"'!$B$1:$B$999"))/VLOOKUP(G$1, Table1[#All],2, FALSE)</f>
        <v>-2.0796999999999999</v>
      </c>
      <c r="H62" s="8">
        <f ca="1">SUMIF(INDIRECT("'"&amp;$B62&amp;"'!$F$1:$F$999"), H$1, INDIRECT("'"&amp;$B62&amp;"'!$B$1:$B$999"))/VLOOKUP(H$1, Table1[#All],2, FALSE)</f>
        <v>-1.89625</v>
      </c>
      <c r="I62" s="8">
        <f ca="1">SUMIF(INDIRECT("'"&amp;$B62&amp;"'!$F$1:$F$999"), I$1, INDIRECT("'"&amp;$B62&amp;"'!$B$1:$B$999"))/VLOOKUP(I$1, Table1[#All],2, FALSE)</f>
        <v>-3.9259000000000004</v>
      </c>
      <c r="J62" s="8">
        <f ca="1">SUMIF(INDIRECT("'"&amp;$B62&amp;"'!$F$1:$F$999"), J$1, INDIRECT("'"&amp;$B62&amp;"'!$B$1:$B$999"))/VLOOKUP(J$1, Table1[#All],2, FALSE)</f>
        <v>-3.2237999999999998</v>
      </c>
      <c r="K62" s="8">
        <f ca="1">SUMIF(INDIRECT("'"&amp;$B62&amp;"'!$F$1:$F$999"), K$1, INDIRECT("'"&amp;$B62&amp;"'!$B$1:$B$999"))/VLOOKUP(K$1, Table1[#All],2, FALSE)</f>
        <v>0</v>
      </c>
      <c r="L62" s="8">
        <f ca="1">SUMIF(INDIRECT("'"&amp;$B62&amp;"'!$F$1:$F$999"), L$1, INDIRECT("'"&amp;$B62&amp;"'!$B$1:$B$999"))/VLOOKUP(L$1, Table1[#All],2, FALSE)</f>
        <v>0</v>
      </c>
      <c r="M62" s="8">
        <f ca="1">SUMIF(INDIRECT("'"&amp;$B62&amp;"'!$F$1:$F$999"), M$1, INDIRECT("'"&amp;$B62&amp;"'!$B$1:$B$999"))/VLOOKUP(M$1, Table1[#All],2, FALSE)</f>
        <v>0</v>
      </c>
      <c r="N62" s="8">
        <f ca="1">SUMIF(INDIRECT("'"&amp;$B62&amp;"'!$F$1:$F$999"), N$1, INDIRECT("'"&amp;$B62&amp;"'!$B$1:$B$999"))/VLOOKUP(N$1, Table1[#All],2, FALSE)</f>
        <v>0</v>
      </c>
      <c r="O62" s="8">
        <f ca="1">SUMIF(INDIRECT("'"&amp;$B62&amp;"'!$F$1:$F$999"), O$1, INDIRECT("'"&amp;$B62&amp;"'!$B$1:$B$999"))/VLOOKUP(O$1, Table1[#All],2, FALSE)</f>
        <v>0</v>
      </c>
      <c r="P62" s="8">
        <f ca="1">SUMIF(INDIRECT("'"&amp;$B62&amp;"'!$F$1:$F$999"), P$1, INDIRECT("'"&amp;$B62&amp;"'!$B$1:$B$999"))/VLOOKUP(P$1, Table1[#All],2, FALSE)</f>
        <v>-0.79371428571428571</v>
      </c>
      <c r="Q62" s="8">
        <f ca="1">SUMIF(INDIRECT("'"&amp;$B62&amp;"'!$F$1:$F$999"), Q$1, INDIRECT("'"&amp;$B62&amp;"'!$B$1:$B$999"))/VLOOKUP(Q$1, Table1[#All],2, FALSE)</f>
        <v>-1.1875</v>
      </c>
      <c r="R62" s="8">
        <f ca="1">SUMIF(INDIRECT("'"&amp;$B62&amp;"'!$F$1:$F$999"), R$1, INDIRECT("'"&amp;$B62&amp;"'!$B$1:$B$999"))/VLOOKUP(R$1, Table1[#All],2, FALSE)</f>
        <v>-1.4054615384615383</v>
      </c>
      <c r="S62" s="8" t="e">
        <f ca="1">SUMIF(INDIRECT("'"&amp;$B62&amp;"'!$F$1:$F$999"), S$1, INDIRECT("'"&amp;$B62&amp;"'!$B$1:$B$999"))/VLOOKUP(S$1, Table1[#All],2, FALSE)</f>
        <v>#N/A</v>
      </c>
      <c r="T62" s="9">
        <f t="shared" ca="1" si="3"/>
        <v>3184.2900000000031</v>
      </c>
    </row>
    <row r="63" spans="1:20" x14ac:dyDescent="0.25">
      <c r="A63" s="13">
        <f t="shared" si="2"/>
        <v>45292</v>
      </c>
      <c r="B63" s="12" t="str">
        <f t="shared" si="1"/>
        <v>January 2024</v>
      </c>
      <c r="C63" s="8">
        <f ca="1">SUMIF(INDIRECT("'"&amp;$B63&amp;"'!$F$1:$F$999"), C$1, INDIRECT("'"&amp;$B63&amp;"'!$B$1:$B$999"))/VLOOKUP(C$1, Table1[#All],2, FALSE)</f>
        <v>1.0333455994800429</v>
      </c>
      <c r="D63" s="8">
        <f ca="1">SUMIF(INDIRECT("'"&amp;$B63&amp;"'!$F$1:$F$999"), D$1, INDIRECT("'"&amp;$B63&amp;"'!$B$1:$B$999"))/VLOOKUP(D$1, Table1[#All],2, FALSE)</f>
        <v>-2.0569250000000001</v>
      </c>
      <c r="E63" s="8">
        <f ca="1">SUMIF(INDIRECT("'"&amp;$B63&amp;"'!$F$1:$F$999"), E$1, INDIRECT("'"&amp;$B63&amp;"'!$B$1:$B$999"))/VLOOKUP(E$1, Table1[#All],2, FALSE)</f>
        <v>1.6188841201716736E-2</v>
      </c>
      <c r="F63" s="8">
        <f ca="1">SUMIF(INDIRECT("'"&amp;$B63&amp;"'!$F$1:$F$999"), F$1, INDIRECT("'"&amp;$B63&amp;"'!$B$1:$B$999"))/VLOOKUP(F$1, Table1[#All],2, FALSE)</f>
        <v>-1.8572</v>
      </c>
      <c r="G63" s="8">
        <f ca="1">SUMIF(INDIRECT("'"&amp;$B63&amp;"'!$F$1:$F$999"), G$1, INDIRECT("'"&amp;$B63&amp;"'!$B$1:$B$999"))/VLOOKUP(G$1, Table1[#All],2, FALSE)</f>
        <v>0</v>
      </c>
      <c r="H63" s="8">
        <f ca="1">SUMIF(INDIRECT("'"&amp;$B63&amp;"'!$F$1:$F$999"), H$1, INDIRECT("'"&amp;$B63&amp;"'!$B$1:$B$999"))/VLOOKUP(H$1, Table1[#All],2, FALSE)</f>
        <v>-13.931549999999998</v>
      </c>
      <c r="I63" s="8">
        <f ca="1">SUMIF(INDIRECT("'"&amp;$B63&amp;"'!$F$1:$F$999"), I$1, INDIRECT("'"&amp;$B63&amp;"'!$B$1:$B$999"))/VLOOKUP(I$1, Table1[#All],2, FALSE)</f>
        <v>-2.2425999999999999</v>
      </c>
      <c r="J63" s="8">
        <f ca="1">SUMIF(INDIRECT("'"&amp;$B63&amp;"'!$F$1:$F$999"), J$1, INDIRECT("'"&amp;$B63&amp;"'!$B$1:$B$999"))/VLOOKUP(J$1, Table1[#All],2, FALSE)</f>
        <v>-1.2018</v>
      </c>
      <c r="K63" s="8">
        <f ca="1">SUMIF(INDIRECT("'"&amp;$B63&amp;"'!$F$1:$F$999"), K$1, INDIRECT("'"&amp;$B63&amp;"'!$B$1:$B$999"))/VLOOKUP(K$1, Table1[#All],2, FALSE)</f>
        <v>0</v>
      </c>
      <c r="L63" s="8">
        <f ca="1">SUMIF(INDIRECT("'"&amp;$B63&amp;"'!$F$1:$F$999"), L$1, INDIRECT("'"&amp;$B63&amp;"'!$B$1:$B$999"))/VLOOKUP(L$1, Table1[#All],2, FALSE)</f>
        <v>-146.5</v>
      </c>
      <c r="M63" s="8">
        <f ca="1">SUMIF(INDIRECT("'"&amp;$B63&amp;"'!$F$1:$F$999"), M$1, INDIRECT("'"&amp;$B63&amp;"'!$B$1:$B$999"))/VLOOKUP(M$1, Table1[#All],2, FALSE)</f>
        <v>0</v>
      </c>
      <c r="N63" s="8">
        <f ca="1">SUMIF(INDIRECT("'"&amp;$B63&amp;"'!$F$1:$F$999"), N$1, INDIRECT("'"&amp;$B63&amp;"'!$B$1:$B$999"))/VLOOKUP(N$1, Table1[#All],2, FALSE)</f>
        <v>0</v>
      </c>
      <c r="O63" s="8">
        <f ca="1">SUMIF(INDIRECT("'"&amp;$B63&amp;"'!$F$1:$F$999"), O$1, INDIRECT("'"&amp;$B63&amp;"'!$B$1:$B$999"))/VLOOKUP(O$1, Table1[#All],2, FALSE)</f>
        <v>0</v>
      </c>
      <c r="P63" s="8">
        <f ca="1">SUMIF(INDIRECT("'"&amp;$B63&amp;"'!$F$1:$F$999"), P$1, INDIRECT("'"&amp;$B63&amp;"'!$B$1:$B$999"))/VLOOKUP(P$1, Table1[#All],2, FALSE)</f>
        <v>-2.3065714285714285</v>
      </c>
      <c r="Q63" s="8">
        <f ca="1">SUMIF(INDIRECT("'"&amp;$B63&amp;"'!$F$1:$F$999"), Q$1, INDIRECT("'"&amp;$B63&amp;"'!$B$1:$B$999"))/VLOOKUP(Q$1, Table1[#All],2, FALSE)</f>
        <v>-1.1875</v>
      </c>
      <c r="R63" s="8">
        <f ca="1">SUMIF(INDIRECT("'"&amp;$B63&amp;"'!$F$1:$F$999"), R$1, INDIRECT("'"&amp;$B63&amp;"'!$B$1:$B$999"))/VLOOKUP(R$1, Table1[#All],2, FALSE)</f>
        <v>-1.2655384615384615</v>
      </c>
      <c r="S63" s="8" t="e">
        <f ca="1">SUMIF(INDIRECT("'"&amp;$B63&amp;"'!$F$1:$F$999"), S$1, INDIRECT("'"&amp;$B63&amp;"'!$B$1:$B$999"))/VLOOKUP(S$1, Table1[#All],2, FALSE)</f>
        <v>#N/A</v>
      </c>
      <c r="T63" s="9">
        <f t="shared" ca="1" si="3"/>
        <v>-12467.349999999995</v>
      </c>
    </row>
    <row r="64" spans="1:20" x14ac:dyDescent="0.25">
      <c r="A64" s="13">
        <f t="shared" si="2"/>
        <v>45323</v>
      </c>
      <c r="B64" s="12" t="str">
        <f t="shared" si="1"/>
        <v>February 2024</v>
      </c>
      <c r="C64" s="8">
        <f ca="1">SUMIF(INDIRECT("'"&amp;$B64&amp;"'!$F$1:$F$999"), C$1, INDIRECT("'"&amp;$B64&amp;"'!$B$1:$B$999"))/VLOOKUP(C$1, Table1[#All],2, FALSE)</f>
        <v>1.0372476678391191</v>
      </c>
      <c r="D64" s="8">
        <f ca="1">SUMIF(INDIRECT("'"&amp;$B64&amp;"'!$F$1:$F$999"), D$1, INDIRECT("'"&amp;$B64&amp;"'!$B$1:$B$999"))/VLOOKUP(D$1, Table1[#All],2, FALSE)</f>
        <v>-0.99672499999999986</v>
      </c>
      <c r="E64" s="8">
        <f ca="1">SUMIF(INDIRECT("'"&amp;$B64&amp;"'!$F$1:$F$999"), E$1, INDIRECT("'"&amp;$B64&amp;"'!$B$1:$B$999"))/VLOOKUP(E$1, Table1[#All],2, FALSE)</f>
        <v>0</v>
      </c>
      <c r="F64" s="8">
        <f ca="1">SUMIF(INDIRECT("'"&amp;$B64&amp;"'!$F$1:$F$999"), F$1, INDIRECT("'"&amp;$B64&amp;"'!$B$1:$B$999"))/VLOOKUP(F$1, Table1[#All],2, FALSE)</f>
        <v>0</v>
      </c>
      <c r="G64" s="8">
        <f ca="1">SUMIF(INDIRECT("'"&amp;$B64&amp;"'!$F$1:$F$999"), G$1, INDIRECT("'"&amp;$B64&amp;"'!$B$1:$B$999"))/VLOOKUP(G$1, Table1[#All],2, FALSE)</f>
        <v>0</v>
      </c>
      <c r="H64" s="8">
        <f ca="1">SUMIF(INDIRECT("'"&amp;$B64&amp;"'!$F$1:$F$999"), H$1, INDIRECT("'"&amp;$B64&amp;"'!$B$1:$B$999"))/VLOOKUP(H$1, Table1[#All],2, FALSE)</f>
        <v>-8.5648</v>
      </c>
      <c r="I64" s="8">
        <f ca="1">SUMIF(INDIRECT("'"&amp;$B64&amp;"'!$F$1:$F$999"), I$1, INDIRECT("'"&amp;$B64&amp;"'!$B$1:$B$999"))/VLOOKUP(I$1, Table1[#All],2, FALSE)</f>
        <v>-0.52290000000000003</v>
      </c>
      <c r="J64" s="8">
        <f ca="1">SUMIF(INDIRECT("'"&amp;$B64&amp;"'!$F$1:$F$999"), J$1, INDIRECT("'"&amp;$B64&amp;"'!$B$1:$B$999"))/VLOOKUP(J$1, Table1[#All],2, FALSE)</f>
        <v>-0.21100000000000002</v>
      </c>
      <c r="K64" s="8">
        <f ca="1">SUMIF(INDIRECT("'"&amp;$B64&amp;"'!$F$1:$F$999"), K$1, INDIRECT("'"&amp;$B64&amp;"'!$B$1:$B$999"))/VLOOKUP(K$1, Table1[#All],2, FALSE)</f>
        <v>0</v>
      </c>
      <c r="L64" s="8">
        <f ca="1">SUMIF(INDIRECT("'"&amp;$B64&amp;"'!$F$1:$F$999"), L$1, INDIRECT("'"&amp;$B64&amp;"'!$B$1:$B$999"))/VLOOKUP(L$1, Table1[#All],2, FALSE)</f>
        <v>-8</v>
      </c>
      <c r="M64" s="8">
        <f ca="1">SUMIF(INDIRECT("'"&amp;$B64&amp;"'!$F$1:$F$999"), M$1, INDIRECT("'"&amp;$B64&amp;"'!$B$1:$B$999"))/VLOOKUP(M$1, Table1[#All],2, FALSE)</f>
        <v>0</v>
      </c>
      <c r="N64" s="8">
        <f ca="1">SUMIF(INDIRECT("'"&amp;$B64&amp;"'!$F$1:$F$999"), N$1, INDIRECT("'"&amp;$B64&amp;"'!$B$1:$B$999"))/VLOOKUP(N$1, Table1[#All],2, FALSE)</f>
        <v>0</v>
      </c>
      <c r="O64" s="8">
        <f ca="1">SUMIF(INDIRECT("'"&amp;$B64&amp;"'!$F$1:$F$999"), O$1, INDIRECT("'"&amp;$B64&amp;"'!$B$1:$B$999"))/VLOOKUP(O$1, Table1[#All],2, FALSE)</f>
        <v>0</v>
      </c>
      <c r="P64" s="8">
        <f ca="1">SUMIF(INDIRECT("'"&amp;$B64&amp;"'!$F$1:$F$999"), P$1, INDIRECT("'"&amp;$B64&amp;"'!$B$1:$B$999"))/VLOOKUP(P$1, Table1[#All],2, FALSE)</f>
        <v>-1.0617142857142856</v>
      </c>
      <c r="Q64" s="8">
        <f ca="1">SUMIF(INDIRECT("'"&amp;$B64&amp;"'!$F$1:$F$999"), Q$1, INDIRECT("'"&amp;$B64&amp;"'!$B$1:$B$999"))/VLOOKUP(Q$1, Table1[#All],2, FALSE)</f>
        <v>-1.1875</v>
      </c>
      <c r="R64" s="8">
        <f ca="1">SUMIF(INDIRECT("'"&amp;$B64&amp;"'!$F$1:$F$999"), R$1, INDIRECT("'"&amp;$B64&amp;"'!$B$1:$B$999"))/VLOOKUP(R$1, Table1[#All],2, FALSE)</f>
        <v>-1.2327692307692306</v>
      </c>
      <c r="S64" s="8" t="e">
        <f ca="1">SUMIF(INDIRECT("'"&amp;$B64&amp;"'!$F$1:$F$999"), S$1, INDIRECT("'"&amp;$B64&amp;"'!$B$1:$B$999"))/VLOOKUP(S$1, Table1[#All],2, FALSE)</f>
        <v>#N/A</v>
      </c>
      <c r="T64" s="9">
        <f t="shared" ca="1" si="3"/>
        <v>-293.22999999999979</v>
      </c>
    </row>
    <row r="65" spans="1:20" x14ac:dyDescent="0.25">
      <c r="A65" s="13">
        <f t="shared" si="2"/>
        <v>45352</v>
      </c>
      <c r="B65" s="12" t="str">
        <f t="shared" si="1"/>
        <v>March 2024</v>
      </c>
      <c r="C65" s="8">
        <f ca="1">SUMIF(INDIRECT("'"&amp;$B65&amp;"'!$F$1:$F$999"), C$1, INDIRECT("'"&amp;$B65&amp;"'!$B$1:$B$999"))/VLOOKUP(C$1, Table1[#All],2, FALSE)</f>
        <v>1.1227944831013914</v>
      </c>
      <c r="D65" s="8">
        <f ca="1">SUMIF(INDIRECT("'"&amp;$B65&amp;"'!$F$1:$F$999"), D$1, INDIRECT("'"&amp;$B65&amp;"'!$B$1:$B$999"))/VLOOKUP(D$1, Table1[#All],2, FALSE)</f>
        <v>-4.7206999999999999</v>
      </c>
      <c r="E65" s="8">
        <f ca="1">SUMIF(INDIRECT("'"&amp;$B65&amp;"'!$F$1:$F$999"), E$1, INDIRECT("'"&amp;$B65&amp;"'!$B$1:$B$999"))/VLOOKUP(E$1, Table1[#All],2, FALSE)</f>
        <v>1.4326180257510731E-2</v>
      </c>
      <c r="F65" s="8">
        <f ca="1">SUMIF(INDIRECT("'"&amp;$B65&amp;"'!$F$1:$F$999"), F$1, INDIRECT("'"&amp;$B65&amp;"'!$B$1:$B$999"))/VLOOKUP(F$1, Table1[#All],2, FALSE)</f>
        <v>-6.0796000000000001</v>
      </c>
      <c r="G65" s="8">
        <f ca="1">SUMIF(INDIRECT("'"&amp;$B65&amp;"'!$F$1:$F$999"), G$1, INDIRECT("'"&amp;$B65&amp;"'!$B$1:$B$999"))/VLOOKUP(G$1, Table1[#All],2, FALSE)</f>
        <v>-1.5316000000000001</v>
      </c>
      <c r="H65" s="8">
        <f ca="1">SUMIF(INDIRECT("'"&amp;$B65&amp;"'!$F$1:$F$999"), H$1, INDIRECT("'"&amp;$B65&amp;"'!$B$1:$B$999"))/VLOOKUP(H$1, Table1[#All],2, FALSE)</f>
        <v>-5.1013500000000001</v>
      </c>
      <c r="I65" s="8">
        <f ca="1">SUMIF(INDIRECT("'"&amp;$B65&amp;"'!$F$1:$F$999"), I$1, INDIRECT("'"&amp;$B65&amp;"'!$B$1:$B$999"))/VLOOKUP(I$1, Table1[#All],2, FALSE)</f>
        <v>-3.6630000000000003</v>
      </c>
      <c r="J65" s="8">
        <f ca="1">SUMIF(INDIRECT("'"&amp;$B65&amp;"'!$F$1:$F$999"), J$1, INDIRECT("'"&amp;$B65&amp;"'!$B$1:$B$999"))/VLOOKUP(J$1, Table1[#All],2, FALSE)</f>
        <v>-3.1020000000000003</v>
      </c>
      <c r="K65" s="8">
        <f ca="1">SUMIF(INDIRECT("'"&amp;$B65&amp;"'!$F$1:$F$999"), K$1, INDIRECT("'"&amp;$B65&amp;"'!$B$1:$B$999"))/VLOOKUP(K$1, Table1[#All],2, FALSE)</f>
        <v>0</v>
      </c>
      <c r="L65" s="8">
        <f ca="1">SUMIF(INDIRECT("'"&amp;$B65&amp;"'!$F$1:$F$999"), L$1, INDIRECT("'"&amp;$B65&amp;"'!$B$1:$B$999"))/VLOOKUP(L$1, Table1[#All],2, FALSE)</f>
        <v>-12</v>
      </c>
      <c r="M65" s="8">
        <f ca="1">SUMIF(INDIRECT("'"&amp;$B65&amp;"'!$F$1:$F$999"), M$1, INDIRECT("'"&amp;$B65&amp;"'!$B$1:$B$999"))/VLOOKUP(M$1, Table1[#All],2, FALSE)</f>
        <v>0</v>
      </c>
      <c r="N65" s="8">
        <f ca="1">SUMIF(INDIRECT("'"&amp;$B65&amp;"'!$F$1:$F$999"), N$1, INDIRECT("'"&amp;$B65&amp;"'!$B$1:$B$999"))/VLOOKUP(N$1, Table1[#All],2, FALSE)</f>
        <v>0</v>
      </c>
      <c r="O65" s="8">
        <f ca="1">SUMIF(INDIRECT("'"&amp;$B65&amp;"'!$F$1:$F$999"), O$1, INDIRECT("'"&amp;$B65&amp;"'!$B$1:$B$999"))/VLOOKUP(O$1, Table1[#All],2, FALSE)</f>
        <v>0</v>
      </c>
      <c r="P65" s="8">
        <f ca="1">SUMIF(INDIRECT("'"&amp;$B65&amp;"'!$F$1:$F$999"), P$1, INDIRECT("'"&amp;$B65&amp;"'!$B$1:$B$999"))/VLOOKUP(P$1, Table1[#All],2, FALSE)</f>
        <v>-0.89057142857142857</v>
      </c>
      <c r="Q65" s="8">
        <f ca="1">SUMIF(INDIRECT("'"&amp;$B65&amp;"'!$F$1:$F$999"), Q$1, INDIRECT("'"&amp;$B65&amp;"'!$B$1:$B$999"))/VLOOKUP(Q$1, Table1[#All],2, FALSE)</f>
        <v>-1.1875</v>
      </c>
      <c r="R65" s="8">
        <f ca="1">SUMIF(INDIRECT("'"&amp;$B65&amp;"'!$F$1:$F$999"), R$1, INDIRECT("'"&amp;$B65&amp;"'!$B$1:$B$999"))/VLOOKUP(R$1, Table1[#All],2, FALSE)</f>
        <v>-1.5053846153846153</v>
      </c>
      <c r="S65" s="8" t="e">
        <f ca="1">SUMIF(INDIRECT("'"&amp;$B65&amp;"'!$F$1:$F$999"), S$1, INDIRECT("'"&amp;$B65&amp;"'!$B$1:$B$999"))/VLOOKUP(S$1, Table1[#All],2, FALSE)</f>
        <v>#N/A</v>
      </c>
      <c r="T65" s="9">
        <f t="shared" ca="1" si="3"/>
        <v>-2406.5699999999993</v>
      </c>
    </row>
    <row r="66" spans="1:20" x14ac:dyDescent="0.25">
      <c r="A66" s="13">
        <f t="shared" si="2"/>
        <v>45383</v>
      </c>
      <c r="B66" s="12" t="str">
        <f t="shared" si="1"/>
        <v>April 2024</v>
      </c>
      <c r="C66" s="8" t="e">
        <f ca="1">SUMIF(INDIRECT("'"&amp;$B66&amp;"'!$F$1:$F$999"), C$1, INDIRECT("'"&amp;$B66&amp;"'!$B$1:$B$999"))/VLOOKUP(C$1, Table1[#All],2, FALSE)</f>
        <v>#REF!</v>
      </c>
      <c r="D66" s="8" t="e">
        <f ca="1">SUMIF(INDIRECT("'"&amp;$B66&amp;"'!$F$1:$F$999"), D$1, INDIRECT("'"&amp;$B66&amp;"'!$B$1:$B$999"))/VLOOKUP(D$1, Table1[#All],2, FALSE)</f>
        <v>#REF!</v>
      </c>
      <c r="E66" s="8" t="e">
        <f ca="1">SUMIF(INDIRECT("'"&amp;$B66&amp;"'!$F$1:$F$999"), E$1, INDIRECT("'"&amp;$B66&amp;"'!$B$1:$B$999"))/VLOOKUP(E$1, Table1[#All],2, FALSE)</f>
        <v>#REF!</v>
      </c>
      <c r="F66" s="8" t="e">
        <f ca="1">SUMIF(INDIRECT("'"&amp;$B66&amp;"'!$F$1:$F$999"), F$1, INDIRECT("'"&amp;$B66&amp;"'!$B$1:$B$999"))/VLOOKUP(F$1, Table1[#All],2, FALSE)</f>
        <v>#REF!</v>
      </c>
      <c r="G66" s="8" t="e">
        <f ca="1">SUMIF(INDIRECT("'"&amp;$B66&amp;"'!$F$1:$F$999"), G$1, INDIRECT("'"&amp;$B66&amp;"'!$B$1:$B$999"))/VLOOKUP(G$1, Table1[#All],2, FALSE)</f>
        <v>#REF!</v>
      </c>
      <c r="H66" s="8" t="e">
        <f ca="1">SUMIF(INDIRECT("'"&amp;$B66&amp;"'!$F$1:$F$999"), H$1, INDIRECT("'"&amp;$B66&amp;"'!$B$1:$B$999"))/VLOOKUP(H$1, Table1[#All],2, FALSE)</f>
        <v>#REF!</v>
      </c>
      <c r="I66" s="8" t="e">
        <f ca="1">SUMIF(INDIRECT("'"&amp;$B66&amp;"'!$F$1:$F$999"), I$1, INDIRECT("'"&amp;$B66&amp;"'!$B$1:$B$999"))/VLOOKUP(I$1, Table1[#All],2, FALSE)</f>
        <v>#REF!</v>
      </c>
      <c r="J66" s="8" t="e">
        <f ca="1">SUMIF(INDIRECT("'"&amp;$B66&amp;"'!$F$1:$F$999"), J$1, INDIRECT("'"&amp;$B66&amp;"'!$B$1:$B$999"))/VLOOKUP(J$1, Table1[#All],2, FALSE)</f>
        <v>#REF!</v>
      </c>
      <c r="K66" s="8" t="e">
        <f ca="1">SUMIF(INDIRECT("'"&amp;$B66&amp;"'!$F$1:$F$999"), K$1, INDIRECT("'"&amp;$B66&amp;"'!$B$1:$B$999"))/VLOOKUP(K$1, Table1[#All],2, FALSE)</f>
        <v>#REF!</v>
      </c>
      <c r="L66" s="8" t="e">
        <f ca="1">SUMIF(INDIRECT("'"&amp;$B66&amp;"'!$F$1:$F$999"), L$1, INDIRECT("'"&amp;$B66&amp;"'!$B$1:$B$999"))/VLOOKUP(L$1, Table1[#All],2, FALSE)</f>
        <v>#REF!</v>
      </c>
      <c r="M66" s="8" t="e">
        <f ca="1">SUMIF(INDIRECT("'"&amp;$B66&amp;"'!$F$1:$F$999"), M$1, INDIRECT("'"&amp;$B66&amp;"'!$B$1:$B$999"))/VLOOKUP(M$1, Table1[#All],2, FALSE)</f>
        <v>#REF!</v>
      </c>
      <c r="N66" s="8" t="e">
        <f ca="1">SUMIF(INDIRECT("'"&amp;$B66&amp;"'!$F$1:$F$999"), N$1, INDIRECT("'"&amp;$B66&amp;"'!$B$1:$B$999"))/VLOOKUP(N$1, Table1[#All],2, FALSE)</f>
        <v>#REF!</v>
      </c>
      <c r="O66" s="8" t="e">
        <f ca="1">SUMIF(INDIRECT("'"&amp;$B66&amp;"'!$F$1:$F$999"), O$1, INDIRECT("'"&amp;$B66&amp;"'!$B$1:$B$999"))/VLOOKUP(O$1, Table1[#All],2, FALSE)</f>
        <v>#REF!</v>
      </c>
      <c r="P66" s="8" t="e">
        <f ca="1">SUMIF(INDIRECT("'"&amp;$B66&amp;"'!$F$1:$F$999"), P$1, INDIRECT("'"&amp;$B66&amp;"'!$B$1:$B$999"))/VLOOKUP(P$1, Table1[#All],2, FALSE)</f>
        <v>#REF!</v>
      </c>
      <c r="Q66" s="8" t="e">
        <f ca="1">SUMIF(INDIRECT("'"&amp;$B66&amp;"'!$F$1:$F$999"), Q$1, INDIRECT("'"&amp;$B66&amp;"'!$B$1:$B$999"))/VLOOKUP(Q$1, Table1[#All],2, FALSE)</f>
        <v>#REF!</v>
      </c>
      <c r="R66" s="8" t="e">
        <f ca="1">SUMIF(INDIRECT("'"&amp;$B66&amp;"'!$F$1:$F$999"), R$1, INDIRECT("'"&amp;$B66&amp;"'!$B$1:$B$999"))/VLOOKUP(R$1, Table1[#All],2, FALSE)</f>
        <v>#REF!</v>
      </c>
      <c r="S66" s="8" t="e">
        <f ca="1">SUMIF(INDIRECT("'"&amp;$B66&amp;"'!$F$1:$F$999"), S$1, INDIRECT("'"&amp;$B66&amp;"'!$B$1:$B$999"))/VLOOKUP(S$1, Table1[#All],2, FALSE)</f>
        <v>#REF!</v>
      </c>
      <c r="T66" s="9" t="e">
        <f t="shared" ca="1" si="3"/>
        <v>#REF!</v>
      </c>
    </row>
    <row r="67" spans="1:20" x14ac:dyDescent="0.25">
      <c r="A67" s="13">
        <f t="shared" si="2"/>
        <v>45413</v>
      </c>
      <c r="B67" s="12" t="str">
        <f t="shared" si="1"/>
        <v>May 2024</v>
      </c>
      <c r="C67" s="8" t="e">
        <f ca="1">SUMIF(INDIRECT("'"&amp;$B67&amp;"'!$F$1:$F$999"), C$1, INDIRECT("'"&amp;$B67&amp;"'!$B$1:$B$999"))/VLOOKUP(C$1, Table1[#All],2, FALSE)</f>
        <v>#REF!</v>
      </c>
      <c r="D67" s="8" t="e">
        <f ca="1">SUMIF(INDIRECT("'"&amp;$B67&amp;"'!$F$1:$F$999"), D$1, INDIRECT("'"&amp;$B67&amp;"'!$B$1:$B$999"))/VLOOKUP(D$1, Table1[#All],2, FALSE)</f>
        <v>#REF!</v>
      </c>
      <c r="E67" s="8" t="e">
        <f ca="1">SUMIF(INDIRECT("'"&amp;$B67&amp;"'!$F$1:$F$999"), E$1, INDIRECT("'"&amp;$B67&amp;"'!$B$1:$B$999"))/VLOOKUP(E$1, Table1[#All],2, FALSE)</f>
        <v>#REF!</v>
      </c>
      <c r="F67" s="8" t="e">
        <f ca="1">SUMIF(INDIRECT("'"&amp;$B67&amp;"'!$F$1:$F$999"), F$1, INDIRECT("'"&amp;$B67&amp;"'!$B$1:$B$999"))/VLOOKUP(F$1, Table1[#All],2, FALSE)</f>
        <v>#REF!</v>
      </c>
      <c r="G67" s="8" t="e">
        <f ca="1">SUMIF(INDIRECT("'"&amp;$B67&amp;"'!$F$1:$F$999"), G$1, INDIRECT("'"&amp;$B67&amp;"'!$B$1:$B$999"))/VLOOKUP(G$1, Table1[#All],2, FALSE)</f>
        <v>#REF!</v>
      </c>
      <c r="H67" s="8" t="e">
        <f ca="1">SUMIF(INDIRECT("'"&amp;$B67&amp;"'!$F$1:$F$999"), H$1, INDIRECT("'"&amp;$B67&amp;"'!$B$1:$B$999"))/VLOOKUP(H$1, Table1[#All],2, FALSE)</f>
        <v>#REF!</v>
      </c>
      <c r="I67" s="8" t="e">
        <f ca="1">SUMIF(INDIRECT("'"&amp;$B67&amp;"'!$F$1:$F$999"), I$1, INDIRECT("'"&amp;$B67&amp;"'!$B$1:$B$999"))/VLOOKUP(I$1, Table1[#All],2, FALSE)</f>
        <v>#REF!</v>
      </c>
      <c r="J67" s="8" t="e">
        <f ca="1">SUMIF(INDIRECT("'"&amp;$B67&amp;"'!$F$1:$F$999"), J$1, INDIRECT("'"&amp;$B67&amp;"'!$B$1:$B$999"))/VLOOKUP(J$1, Table1[#All],2, FALSE)</f>
        <v>#REF!</v>
      </c>
      <c r="K67" s="8" t="e">
        <f ca="1">SUMIF(INDIRECT("'"&amp;$B67&amp;"'!$F$1:$F$999"), K$1, INDIRECT("'"&amp;$B67&amp;"'!$B$1:$B$999"))/VLOOKUP(K$1, Table1[#All],2, FALSE)</f>
        <v>#REF!</v>
      </c>
      <c r="L67" s="8" t="e">
        <f ca="1">SUMIF(INDIRECT("'"&amp;$B67&amp;"'!$F$1:$F$999"), L$1, INDIRECT("'"&amp;$B67&amp;"'!$B$1:$B$999"))/VLOOKUP(L$1, Table1[#All],2, FALSE)</f>
        <v>#REF!</v>
      </c>
      <c r="M67" s="8" t="e">
        <f ca="1">SUMIF(INDIRECT("'"&amp;$B67&amp;"'!$F$1:$F$999"), M$1, INDIRECT("'"&amp;$B67&amp;"'!$B$1:$B$999"))/VLOOKUP(M$1, Table1[#All],2, FALSE)</f>
        <v>#REF!</v>
      </c>
      <c r="N67" s="8" t="e">
        <f ca="1">SUMIF(INDIRECT("'"&amp;$B67&amp;"'!$F$1:$F$999"), N$1, INDIRECT("'"&amp;$B67&amp;"'!$B$1:$B$999"))/VLOOKUP(N$1, Table1[#All],2, FALSE)</f>
        <v>#REF!</v>
      </c>
      <c r="O67" s="8" t="e">
        <f ca="1">SUMIF(INDIRECT("'"&amp;$B67&amp;"'!$F$1:$F$999"), O$1, INDIRECT("'"&amp;$B67&amp;"'!$B$1:$B$999"))/VLOOKUP(O$1, Table1[#All],2, FALSE)</f>
        <v>#REF!</v>
      </c>
      <c r="P67" s="8" t="e">
        <f ca="1">SUMIF(INDIRECT("'"&amp;$B67&amp;"'!$F$1:$F$999"), P$1, INDIRECT("'"&amp;$B67&amp;"'!$B$1:$B$999"))/VLOOKUP(P$1, Table1[#All],2, FALSE)</f>
        <v>#REF!</v>
      </c>
      <c r="Q67" s="8" t="e">
        <f ca="1">SUMIF(INDIRECT("'"&amp;$B67&amp;"'!$F$1:$F$999"), Q$1, INDIRECT("'"&amp;$B67&amp;"'!$B$1:$B$999"))/VLOOKUP(Q$1, Table1[#All],2, FALSE)</f>
        <v>#REF!</v>
      </c>
      <c r="R67" s="8" t="e">
        <f ca="1">SUMIF(INDIRECT("'"&amp;$B67&amp;"'!$F$1:$F$999"), R$1, INDIRECT("'"&amp;$B67&amp;"'!$B$1:$B$999"))/VLOOKUP(R$1, Table1[#All],2, FALSE)</f>
        <v>#REF!</v>
      </c>
      <c r="S67" s="8" t="e">
        <f ca="1">SUMIF(INDIRECT("'"&amp;$B67&amp;"'!$F$1:$F$999"), S$1, INDIRECT("'"&amp;$B67&amp;"'!$B$1:$B$999"))/VLOOKUP(S$1, Table1[#All],2, FALSE)</f>
        <v>#REF!</v>
      </c>
      <c r="T67" s="9" t="e">
        <f t="shared" ref="T67:T98" ca="1" si="4">SUM(INDIRECT("'"&amp;B67&amp;"'!B1:B999"))</f>
        <v>#REF!</v>
      </c>
    </row>
    <row r="68" spans="1:20" x14ac:dyDescent="0.25">
      <c r="A68" s="13">
        <f t="shared" si="2"/>
        <v>45444</v>
      </c>
      <c r="B68" s="12" t="str">
        <f t="shared" ref="B68:B131" si="5">CONCATENATE(TEXT(A68, "mmmm"), " ", TEXT(A68, "yyyy"))</f>
        <v>June 2024</v>
      </c>
      <c r="C68" s="8" t="e">
        <f ca="1">SUMIF(INDIRECT("'"&amp;$B68&amp;"'!$F$1:$F$999"), C$1, INDIRECT("'"&amp;$B68&amp;"'!$B$1:$B$999"))/VLOOKUP(C$1, Table1[#All],2, FALSE)</f>
        <v>#REF!</v>
      </c>
      <c r="D68" s="8" t="e">
        <f ca="1">SUMIF(INDIRECT("'"&amp;$B68&amp;"'!$F$1:$F$999"), D$1, INDIRECT("'"&amp;$B68&amp;"'!$B$1:$B$999"))/VLOOKUP(D$1, Table1[#All],2, FALSE)</f>
        <v>#REF!</v>
      </c>
      <c r="E68" s="8" t="e">
        <f ca="1">SUMIF(INDIRECT("'"&amp;$B68&amp;"'!$F$1:$F$999"), E$1, INDIRECT("'"&amp;$B68&amp;"'!$B$1:$B$999"))/VLOOKUP(E$1, Table1[#All],2, FALSE)</f>
        <v>#REF!</v>
      </c>
      <c r="F68" s="8" t="e">
        <f ca="1">SUMIF(INDIRECT("'"&amp;$B68&amp;"'!$F$1:$F$999"), F$1, INDIRECT("'"&amp;$B68&amp;"'!$B$1:$B$999"))/VLOOKUP(F$1, Table1[#All],2, FALSE)</f>
        <v>#REF!</v>
      </c>
      <c r="G68" s="8" t="e">
        <f ca="1">SUMIF(INDIRECT("'"&amp;$B68&amp;"'!$F$1:$F$999"), G$1, INDIRECT("'"&amp;$B68&amp;"'!$B$1:$B$999"))/VLOOKUP(G$1, Table1[#All],2, FALSE)</f>
        <v>#REF!</v>
      </c>
      <c r="H68" s="8" t="e">
        <f ca="1">SUMIF(INDIRECT("'"&amp;$B68&amp;"'!$F$1:$F$999"), H$1, INDIRECT("'"&amp;$B68&amp;"'!$B$1:$B$999"))/VLOOKUP(H$1, Table1[#All],2, FALSE)</f>
        <v>#REF!</v>
      </c>
      <c r="I68" s="8" t="e">
        <f ca="1">SUMIF(INDIRECT("'"&amp;$B68&amp;"'!$F$1:$F$999"), I$1, INDIRECT("'"&amp;$B68&amp;"'!$B$1:$B$999"))/VLOOKUP(I$1, Table1[#All],2, FALSE)</f>
        <v>#REF!</v>
      </c>
      <c r="J68" s="8" t="e">
        <f ca="1">SUMIF(INDIRECT("'"&amp;$B68&amp;"'!$F$1:$F$999"), J$1, INDIRECT("'"&amp;$B68&amp;"'!$B$1:$B$999"))/VLOOKUP(J$1, Table1[#All],2, FALSE)</f>
        <v>#REF!</v>
      </c>
      <c r="K68" s="8" t="e">
        <f ca="1">SUMIF(INDIRECT("'"&amp;$B68&amp;"'!$F$1:$F$999"), K$1, INDIRECT("'"&amp;$B68&amp;"'!$B$1:$B$999"))/VLOOKUP(K$1, Table1[#All],2, FALSE)</f>
        <v>#REF!</v>
      </c>
      <c r="L68" s="8" t="e">
        <f ca="1">SUMIF(INDIRECT("'"&amp;$B68&amp;"'!$F$1:$F$999"), L$1, INDIRECT("'"&amp;$B68&amp;"'!$B$1:$B$999"))/VLOOKUP(L$1, Table1[#All],2, FALSE)</f>
        <v>#REF!</v>
      </c>
      <c r="M68" s="8" t="e">
        <f ca="1">SUMIF(INDIRECT("'"&amp;$B68&amp;"'!$F$1:$F$999"), M$1, INDIRECT("'"&amp;$B68&amp;"'!$B$1:$B$999"))/VLOOKUP(M$1, Table1[#All],2, FALSE)</f>
        <v>#REF!</v>
      </c>
      <c r="N68" s="8" t="e">
        <f ca="1">SUMIF(INDIRECT("'"&amp;$B68&amp;"'!$F$1:$F$999"), N$1, INDIRECT("'"&amp;$B68&amp;"'!$B$1:$B$999"))/VLOOKUP(N$1, Table1[#All],2, FALSE)</f>
        <v>#REF!</v>
      </c>
      <c r="O68" s="8" t="e">
        <f ca="1">SUMIF(INDIRECT("'"&amp;$B68&amp;"'!$F$1:$F$999"), O$1, INDIRECT("'"&amp;$B68&amp;"'!$B$1:$B$999"))/VLOOKUP(O$1, Table1[#All],2, FALSE)</f>
        <v>#REF!</v>
      </c>
      <c r="P68" s="8" t="e">
        <f ca="1">SUMIF(INDIRECT("'"&amp;$B68&amp;"'!$F$1:$F$999"), P$1, INDIRECT("'"&amp;$B68&amp;"'!$B$1:$B$999"))/VLOOKUP(P$1, Table1[#All],2, FALSE)</f>
        <v>#REF!</v>
      </c>
      <c r="Q68" s="8" t="e">
        <f ca="1">SUMIF(INDIRECT("'"&amp;$B68&amp;"'!$F$1:$F$999"), Q$1, INDIRECT("'"&amp;$B68&amp;"'!$B$1:$B$999"))/VLOOKUP(Q$1, Table1[#All],2, FALSE)</f>
        <v>#REF!</v>
      </c>
      <c r="R68" s="8" t="e">
        <f ca="1">SUMIF(INDIRECT("'"&amp;$B68&amp;"'!$F$1:$F$999"), R$1, INDIRECT("'"&amp;$B68&amp;"'!$B$1:$B$999"))/VLOOKUP(R$1, Table1[#All],2, FALSE)</f>
        <v>#REF!</v>
      </c>
      <c r="S68" s="8" t="e">
        <f ca="1">SUMIF(INDIRECT("'"&amp;$B68&amp;"'!$F$1:$F$999"), S$1, INDIRECT("'"&amp;$B68&amp;"'!$B$1:$B$999"))/VLOOKUP(S$1, Table1[#All],2, FALSE)</f>
        <v>#REF!</v>
      </c>
      <c r="T68" s="9" t="e">
        <f t="shared" ca="1" si="4"/>
        <v>#REF!</v>
      </c>
    </row>
    <row r="69" spans="1:20" x14ac:dyDescent="0.25">
      <c r="A69" s="13">
        <f t="shared" ref="A69:A132" si="6">DATE(YEAR(A68), MONTH(A68) + 1, 1)</f>
        <v>45474</v>
      </c>
      <c r="B69" s="12" t="str">
        <f t="shared" si="5"/>
        <v>July 2024</v>
      </c>
      <c r="C69" s="8" t="e">
        <f ca="1">SUMIF(INDIRECT("'"&amp;$B69&amp;"'!$F$1:$F$999"), C$1, INDIRECT("'"&amp;$B69&amp;"'!$B$1:$B$999"))/VLOOKUP(C$1, Table1[#All],2, FALSE)</f>
        <v>#REF!</v>
      </c>
      <c r="D69" s="8" t="e">
        <f ca="1">SUMIF(INDIRECT("'"&amp;$B69&amp;"'!$F$1:$F$999"), D$1, INDIRECT("'"&amp;$B69&amp;"'!$B$1:$B$999"))/VLOOKUP(D$1, Table1[#All],2, FALSE)</f>
        <v>#REF!</v>
      </c>
      <c r="E69" s="8" t="e">
        <f ca="1">SUMIF(INDIRECT("'"&amp;$B69&amp;"'!$F$1:$F$999"), E$1, INDIRECT("'"&amp;$B69&amp;"'!$B$1:$B$999"))/VLOOKUP(E$1, Table1[#All],2, FALSE)</f>
        <v>#REF!</v>
      </c>
      <c r="F69" s="8" t="e">
        <f ca="1">SUMIF(INDIRECT("'"&amp;$B69&amp;"'!$F$1:$F$999"), F$1, INDIRECT("'"&amp;$B69&amp;"'!$B$1:$B$999"))/VLOOKUP(F$1, Table1[#All],2, FALSE)</f>
        <v>#REF!</v>
      </c>
      <c r="G69" s="8" t="e">
        <f ca="1">SUMIF(INDIRECT("'"&amp;$B69&amp;"'!$F$1:$F$999"), G$1, INDIRECT("'"&amp;$B69&amp;"'!$B$1:$B$999"))/VLOOKUP(G$1, Table1[#All],2, FALSE)</f>
        <v>#REF!</v>
      </c>
      <c r="H69" s="8" t="e">
        <f ca="1">SUMIF(INDIRECT("'"&amp;$B69&amp;"'!$F$1:$F$999"), H$1, INDIRECT("'"&amp;$B69&amp;"'!$B$1:$B$999"))/VLOOKUP(H$1, Table1[#All],2, FALSE)</f>
        <v>#REF!</v>
      </c>
      <c r="I69" s="8" t="e">
        <f ca="1">SUMIF(INDIRECT("'"&amp;$B69&amp;"'!$F$1:$F$999"), I$1, INDIRECT("'"&amp;$B69&amp;"'!$B$1:$B$999"))/VLOOKUP(I$1, Table1[#All],2, FALSE)</f>
        <v>#REF!</v>
      </c>
      <c r="J69" s="8" t="e">
        <f ca="1">SUMIF(INDIRECT("'"&amp;$B69&amp;"'!$F$1:$F$999"), J$1, INDIRECT("'"&amp;$B69&amp;"'!$B$1:$B$999"))/VLOOKUP(J$1, Table1[#All],2, FALSE)</f>
        <v>#REF!</v>
      </c>
      <c r="K69" s="8" t="e">
        <f ca="1">SUMIF(INDIRECT("'"&amp;$B69&amp;"'!$F$1:$F$999"), K$1, INDIRECT("'"&amp;$B69&amp;"'!$B$1:$B$999"))/VLOOKUP(K$1, Table1[#All],2, FALSE)</f>
        <v>#REF!</v>
      </c>
      <c r="L69" s="8" t="e">
        <f ca="1">SUMIF(INDIRECT("'"&amp;$B69&amp;"'!$F$1:$F$999"), L$1, INDIRECT("'"&amp;$B69&amp;"'!$B$1:$B$999"))/VLOOKUP(L$1, Table1[#All],2, FALSE)</f>
        <v>#REF!</v>
      </c>
      <c r="M69" s="8" t="e">
        <f ca="1">SUMIF(INDIRECT("'"&amp;$B69&amp;"'!$F$1:$F$999"), M$1, INDIRECT("'"&amp;$B69&amp;"'!$B$1:$B$999"))/VLOOKUP(M$1, Table1[#All],2, FALSE)</f>
        <v>#REF!</v>
      </c>
      <c r="N69" s="8" t="e">
        <f ca="1">SUMIF(INDIRECT("'"&amp;$B69&amp;"'!$F$1:$F$999"), N$1, INDIRECT("'"&amp;$B69&amp;"'!$B$1:$B$999"))/VLOOKUP(N$1, Table1[#All],2, FALSE)</f>
        <v>#REF!</v>
      </c>
      <c r="O69" s="8" t="e">
        <f ca="1">SUMIF(INDIRECT("'"&amp;$B69&amp;"'!$F$1:$F$999"), O$1, INDIRECT("'"&amp;$B69&amp;"'!$B$1:$B$999"))/VLOOKUP(O$1, Table1[#All],2, FALSE)</f>
        <v>#REF!</v>
      </c>
      <c r="P69" s="8" t="e">
        <f ca="1">SUMIF(INDIRECT("'"&amp;$B69&amp;"'!$F$1:$F$999"), P$1, INDIRECT("'"&amp;$B69&amp;"'!$B$1:$B$999"))/VLOOKUP(P$1, Table1[#All],2, FALSE)</f>
        <v>#REF!</v>
      </c>
      <c r="Q69" s="8" t="e">
        <f ca="1">SUMIF(INDIRECT("'"&amp;$B69&amp;"'!$F$1:$F$999"), Q$1, INDIRECT("'"&amp;$B69&amp;"'!$B$1:$B$999"))/VLOOKUP(Q$1, Table1[#All],2, FALSE)</f>
        <v>#REF!</v>
      </c>
      <c r="R69" s="8" t="e">
        <f ca="1">SUMIF(INDIRECT("'"&amp;$B69&amp;"'!$F$1:$F$999"), R$1, INDIRECT("'"&amp;$B69&amp;"'!$B$1:$B$999"))/VLOOKUP(R$1, Table1[#All],2, FALSE)</f>
        <v>#REF!</v>
      </c>
      <c r="S69" s="8" t="e">
        <f ca="1">SUMIF(INDIRECT("'"&amp;$B69&amp;"'!$F$1:$F$999"), S$1, INDIRECT("'"&amp;$B69&amp;"'!$B$1:$B$999"))/VLOOKUP(S$1, Table1[#All],2, FALSE)</f>
        <v>#REF!</v>
      </c>
      <c r="T69" s="9" t="e">
        <f t="shared" ca="1" si="4"/>
        <v>#REF!</v>
      </c>
    </row>
    <row r="70" spans="1:20" x14ac:dyDescent="0.25">
      <c r="A70" s="13">
        <f t="shared" si="6"/>
        <v>45505</v>
      </c>
      <c r="B70" s="12" t="str">
        <f t="shared" si="5"/>
        <v>August 2024</v>
      </c>
      <c r="C70" s="8" t="e">
        <f ca="1">SUMIF(INDIRECT("'"&amp;$B70&amp;"'!$F$1:$F$999"), C$1, INDIRECT("'"&amp;$B70&amp;"'!$B$1:$B$999"))/VLOOKUP(C$1, Table1[#All],2, FALSE)</f>
        <v>#REF!</v>
      </c>
      <c r="D70" s="8" t="e">
        <f ca="1">SUMIF(INDIRECT("'"&amp;$B70&amp;"'!$F$1:$F$999"), D$1, INDIRECT("'"&amp;$B70&amp;"'!$B$1:$B$999"))/VLOOKUP(D$1, Table1[#All],2, FALSE)</f>
        <v>#REF!</v>
      </c>
      <c r="E70" s="8" t="e">
        <f ca="1">SUMIF(INDIRECT("'"&amp;$B70&amp;"'!$F$1:$F$999"), E$1, INDIRECT("'"&amp;$B70&amp;"'!$B$1:$B$999"))/VLOOKUP(E$1, Table1[#All],2, FALSE)</f>
        <v>#REF!</v>
      </c>
      <c r="F70" s="8" t="e">
        <f ca="1">SUMIF(INDIRECT("'"&amp;$B70&amp;"'!$F$1:$F$999"), F$1, INDIRECT("'"&amp;$B70&amp;"'!$B$1:$B$999"))/VLOOKUP(F$1, Table1[#All],2, FALSE)</f>
        <v>#REF!</v>
      </c>
      <c r="G70" s="8" t="e">
        <f ca="1">SUMIF(INDIRECT("'"&amp;$B70&amp;"'!$F$1:$F$999"), G$1, INDIRECT("'"&amp;$B70&amp;"'!$B$1:$B$999"))/VLOOKUP(G$1, Table1[#All],2, FALSE)</f>
        <v>#REF!</v>
      </c>
      <c r="H70" s="8" t="e">
        <f ca="1">SUMIF(INDIRECT("'"&amp;$B70&amp;"'!$F$1:$F$999"), H$1, INDIRECT("'"&amp;$B70&amp;"'!$B$1:$B$999"))/VLOOKUP(H$1, Table1[#All],2, FALSE)</f>
        <v>#REF!</v>
      </c>
      <c r="I70" s="8" t="e">
        <f ca="1">SUMIF(INDIRECT("'"&amp;$B70&amp;"'!$F$1:$F$999"), I$1, INDIRECT("'"&amp;$B70&amp;"'!$B$1:$B$999"))/VLOOKUP(I$1, Table1[#All],2, FALSE)</f>
        <v>#REF!</v>
      </c>
      <c r="J70" s="8" t="e">
        <f ca="1">SUMIF(INDIRECT("'"&amp;$B70&amp;"'!$F$1:$F$999"), J$1, INDIRECT("'"&amp;$B70&amp;"'!$B$1:$B$999"))/VLOOKUP(J$1, Table1[#All],2, FALSE)</f>
        <v>#REF!</v>
      </c>
      <c r="K70" s="8" t="e">
        <f ca="1">SUMIF(INDIRECT("'"&amp;$B70&amp;"'!$F$1:$F$999"), K$1, INDIRECT("'"&amp;$B70&amp;"'!$B$1:$B$999"))/VLOOKUP(K$1, Table1[#All],2, FALSE)</f>
        <v>#REF!</v>
      </c>
      <c r="L70" s="8" t="e">
        <f ca="1">SUMIF(INDIRECT("'"&amp;$B70&amp;"'!$F$1:$F$999"), L$1, INDIRECT("'"&amp;$B70&amp;"'!$B$1:$B$999"))/VLOOKUP(L$1, Table1[#All],2, FALSE)</f>
        <v>#REF!</v>
      </c>
      <c r="M70" s="8" t="e">
        <f ca="1">SUMIF(INDIRECT("'"&amp;$B70&amp;"'!$F$1:$F$999"), M$1, INDIRECT("'"&amp;$B70&amp;"'!$B$1:$B$999"))/VLOOKUP(M$1, Table1[#All],2, FALSE)</f>
        <v>#REF!</v>
      </c>
      <c r="N70" s="8" t="e">
        <f ca="1">SUMIF(INDIRECT("'"&amp;$B70&amp;"'!$F$1:$F$999"), N$1, INDIRECT("'"&amp;$B70&amp;"'!$B$1:$B$999"))/VLOOKUP(N$1, Table1[#All],2, FALSE)</f>
        <v>#REF!</v>
      </c>
      <c r="O70" s="8" t="e">
        <f ca="1">SUMIF(INDIRECT("'"&amp;$B70&amp;"'!$F$1:$F$999"), O$1, INDIRECT("'"&amp;$B70&amp;"'!$B$1:$B$999"))/VLOOKUP(O$1, Table1[#All],2, FALSE)</f>
        <v>#REF!</v>
      </c>
      <c r="P70" s="8" t="e">
        <f ca="1">SUMIF(INDIRECT("'"&amp;$B70&amp;"'!$F$1:$F$999"), P$1, INDIRECT("'"&amp;$B70&amp;"'!$B$1:$B$999"))/VLOOKUP(P$1, Table1[#All],2, FALSE)</f>
        <v>#REF!</v>
      </c>
      <c r="Q70" s="8" t="e">
        <f ca="1">SUMIF(INDIRECT("'"&amp;$B70&amp;"'!$F$1:$F$999"), Q$1, INDIRECT("'"&amp;$B70&amp;"'!$B$1:$B$999"))/VLOOKUP(Q$1, Table1[#All],2, FALSE)</f>
        <v>#REF!</v>
      </c>
      <c r="R70" s="8" t="e">
        <f ca="1">SUMIF(INDIRECT("'"&amp;$B70&amp;"'!$F$1:$F$999"), R$1, INDIRECT("'"&amp;$B70&amp;"'!$B$1:$B$999"))/VLOOKUP(R$1, Table1[#All],2, FALSE)</f>
        <v>#REF!</v>
      </c>
      <c r="S70" s="8" t="e">
        <f ca="1">SUMIF(INDIRECT("'"&amp;$B70&amp;"'!$F$1:$F$999"), S$1, INDIRECT("'"&amp;$B70&amp;"'!$B$1:$B$999"))/VLOOKUP(S$1, Table1[#All],2, FALSE)</f>
        <v>#REF!</v>
      </c>
      <c r="T70" s="9" t="e">
        <f t="shared" ca="1" si="4"/>
        <v>#REF!</v>
      </c>
    </row>
    <row r="71" spans="1:20" x14ac:dyDescent="0.25">
      <c r="A71" s="13">
        <f t="shared" si="6"/>
        <v>45536</v>
      </c>
      <c r="B71" s="12" t="str">
        <f t="shared" si="5"/>
        <v>September 2024</v>
      </c>
      <c r="C71" s="8" t="e">
        <f ca="1">SUMIF(INDIRECT("'"&amp;$B71&amp;"'!$F$1:$F$999"), C$1, INDIRECT("'"&amp;$B71&amp;"'!$B$1:$B$999"))/VLOOKUP(C$1, Table1[#All],2, FALSE)</f>
        <v>#REF!</v>
      </c>
      <c r="D71" s="8" t="e">
        <f ca="1">SUMIF(INDIRECT("'"&amp;$B71&amp;"'!$F$1:$F$999"), D$1, INDIRECT("'"&amp;$B71&amp;"'!$B$1:$B$999"))/VLOOKUP(D$1, Table1[#All],2, FALSE)</f>
        <v>#REF!</v>
      </c>
      <c r="E71" s="8" t="e">
        <f ca="1">SUMIF(INDIRECT("'"&amp;$B71&amp;"'!$F$1:$F$999"), E$1, INDIRECT("'"&amp;$B71&amp;"'!$B$1:$B$999"))/VLOOKUP(E$1, Table1[#All],2, FALSE)</f>
        <v>#REF!</v>
      </c>
      <c r="F71" s="8" t="e">
        <f ca="1">SUMIF(INDIRECT("'"&amp;$B71&amp;"'!$F$1:$F$999"), F$1, INDIRECT("'"&amp;$B71&amp;"'!$B$1:$B$999"))/VLOOKUP(F$1, Table1[#All],2, FALSE)</f>
        <v>#REF!</v>
      </c>
      <c r="G71" s="8" t="e">
        <f ca="1">SUMIF(INDIRECT("'"&amp;$B71&amp;"'!$F$1:$F$999"), G$1, INDIRECT("'"&amp;$B71&amp;"'!$B$1:$B$999"))/VLOOKUP(G$1, Table1[#All],2, FALSE)</f>
        <v>#REF!</v>
      </c>
      <c r="H71" s="8" t="e">
        <f ca="1">SUMIF(INDIRECT("'"&amp;$B71&amp;"'!$F$1:$F$999"), H$1, INDIRECT("'"&amp;$B71&amp;"'!$B$1:$B$999"))/VLOOKUP(H$1, Table1[#All],2, FALSE)</f>
        <v>#REF!</v>
      </c>
      <c r="I71" s="8" t="e">
        <f ca="1">SUMIF(INDIRECT("'"&amp;$B71&amp;"'!$F$1:$F$999"), I$1, INDIRECT("'"&amp;$B71&amp;"'!$B$1:$B$999"))/VLOOKUP(I$1, Table1[#All],2, FALSE)</f>
        <v>#REF!</v>
      </c>
      <c r="J71" s="8" t="e">
        <f ca="1">SUMIF(INDIRECT("'"&amp;$B71&amp;"'!$F$1:$F$999"), J$1, INDIRECT("'"&amp;$B71&amp;"'!$B$1:$B$999"))/VLOOKUP(J$1, Table1[#All],2, FALSE)</f>
        <v>#REF!</v>
      </c>
      <c r="K71" s="8" t="e">
        <f ca="1">SUMIF(INDIRECT("'"&amp;$B71&amp;"'!$F$1:$F$999"), K$1, INDIRECT("'"&amp;$B71&amp;"'!$B$1:$B$999"))/VLOOKUP(K$1, Table1[#All],2, FALSE)</f>
        <v>#REF!</v>
      </c>
      <c r="L71" s="8" t="e">
        <f ca="1">SUMIF(INDIRECT("'"&amp;$B71&amp;"'!$F$1:$F$999"), L$1, INDIRECT("'"&amp;$B71&amp;"'!$B$1:$B$999"))/VLOOKUP(L$1, Table1[#All],2, FALSE)</f>
        <v>#REF!</v>
      </c>
      <c r="M71" s="8" t="e">
        <f ca="1">SUMIF(INDIRECT("'"&amp;$B71&amp;"'!$F$1:$F$999"), M$1, INDIRECT("'"&amp;$B71&amp;"'!$B$1:$B$999"))/VLOOKUP(M$1, Table1[#All],2, FALSE)</f>
        <v>#REF!</v>
      </c>
      <c r="N71" s="8" t="e">
        <f ca="1">SUMIF(INDIRECT("'"&amp;$B71&amp;"'!$F$1:$F$999"), N$1, INDIRECT("'"&amp;$B71&amp;"'!$B$1:$B$999"))/VLOOKUP(N$1, Table1[#All],2, FALSE)</f>
        <v>#REF!</v>
      </c>
      <c r="O71" s="8" t="e">
        <f ca="1">SUMIF(INDIRECT("'"&amp;$B71&amp;"'!$F$1:$F$999"), O$1, INDIRECT("'"&amp;$B71&amp;"'!$B$1:$B$999"))/VLOOKUP(O$1, Table1[#All],2, FALSE)</f>
        <v>#REF!</v>
      </c>
      <c r="P71" s="8" t="e">
        <f ca="1">SUMIF(INDIRECT("'"&amp;$B71&amp;"'!$F$1:$F$999"), P$1, INDIRECT("'"&amp;$B71&amp;"'!$B$1:$B$999"))/VLOOKUP(P$1, Table1[#All],2, FALSE)</f>
        <v>#REF!</v>
      </c>
      <c r="Q71" s="8" t="e">
        <f ca="1">SUMIF(INDIRECT("'"&amp;$B71&amp;"'!$F$1:$F$999"), Q$1, INDIRECT("'"&amp;$B71&amp;"'!$B$1:$B$999"))/VLOOKUP(Q$1, Table1[#All],2, FALSE)</f>
        <v>#REF!</v>
      </c>
      <c r="R71" s="8" t="e">
        <f ca="1">SUMIF(INDIRECT("'"&amp;$B71&amp;"'!$F$1:$F$999"), R$1, INDIRECT("'"&amp;$B71&amp;"'!$B$1:$B$999"))/VLOOKUP(R$1, Table1[#All],2, FALSE)</f>
        <v>#REF!</v>
      </c>
      <c r="S71" s="8" t="e">
        <f ca="1">SUMIF(INDIRECT("'"&amp;$B71&amp;"'!$F$1:$F$999"), S$1, INDIRECT("'"&amp;$B71&amp;"'!$B$1:$B$999"))/VLOOKUP(S$1, Table1[#All],2, FALSE)</f>
        <v>#REF!</v>
      </c>
      <c r="T71" s="9" t="e">
        <f t="shared" ca="1" si="4"/>
        <v>#REF!</v>
      </c>
    </row>
    <row r="72" spans="1:20" x14ac:dyDescent="0.25">
      <c r="A72" s="13">
        <f t="shared" si="6"/>
        <v>45566</v>
      </c>
      <c r="B72" s="12" t="str">
        <f t="shared" si="5"/>
        <v>October 2024</v>
      </c>
      <c r="C72" s="8" t="e">
        <f ca="1">SUMIF(INDIRECT("'"&amp;$B72&amp;"'!$F$1:$F$999"), C$1, INDIRECT("'"&amp;$B72&amp;"'!$B$1:$B$999"))/VLOOKUP(C$1, Table1[#All],2, FALSE)</f>
        <v>#REF!</v>
      </c>
      <c r="D72" s="8" t="e">
        <f ca="1">SUMIF(INDIRECT("'"&amp;$B72&amp;"'!$F$1:$F$999"), D$1, INDIRECT("'"&amp;$B72&amp;"'!$B$1:$B$999"))/VLOOKUP(D$1, Table1[#All],2, FALSE)</f>
        <v>#REF!</v>
      </c>
      <c r="E72" s="8" t="e">
        <f ca="1">SUMIF(INDIRECT("'"&amp;$B72&amp;"'!$F$1:$F$999"), E$1, INDIRECT("'"&amp;$B72&amp;"'!$B$1:$B$999"))/VLOOKUP(E$1, Table1[#All],2, FALSE)</f>
        <v>#REF!</v>
      </c>
      <c r="F72" s="8" t="e">
        <f ca="1">SUMIF(INDIRECT("'"&amp;$B72&amp;"'!$F$1:$F$999"), F$1, INDIRECT("'"&amp;$B72&amp;"'!$B$1:$B$999"))/VLOOKUP(F$1, Table1[#All],2, FALSE)</f>
        <v>#REF!</v>
      </c>
      <c r="G72" s="8" t="e">
        <f ca="1">SUMIF(INDIRECT("'"&amp;$B72&amp;"'!$F$1:$F$999"), G$1, INDIRECT("'"&amp;$B72&amp;"'!$B$1:$B$999"))/VLOOKUP(G$1, Table1[#All],2, FALSE)</f>
        <v>#REF!</v>
      </c>
      <c r="H72" s="8" t="e">
        <f ca="1">SUMIF(INDIRECT("'"&amp;$B72&amp;"'!$F$1:$F$999"), H$1, INDIRECT("'"&amp;$B72&amp;"'!$B$1:$B$999"))/VLOOKUP(H$1, Table1[#All],2, FALSE)</f>
        <v>#REF!</v>
      </c>
      <c r="I72" s="8" t="e">
        <f ca="1">SUMIF(INDIRECT("'"&amp;$B72&amp;"'!$F$1:$F$999"), I$1, INDIRECT("'"&amp;$B72&amp;"'!$B$1:$B$999"))/VLOOKUP(I$1, Table1[#All],2, FALSE)</f>
        <v>#REF!</v>
      </c>
      <c r="J72" s="8" t="e">
        <f ca="1">SUMIF(INDIRECT("'"&amp;$B72&amp;"'!$F$1:$F$999"), J$1, INDIRECT("'"&amp;$B72&amp;"'!$B$1:$B$999"))/VLOOKUP(J$1, Table1[#All],2, FALSE)</f>
        <v>#REF!</v>
      </c>
      <c r="K72" s="8" t="e">
        <f ca="1">SUMIF(INDIRECT("'"&amp;$B72&amp;"'!$F$1:$F$999"), K$1, INDIRECT("'"&amp;$B72&amp;"'!$B$1:$B$999"))/VLOOKUP(K$1, Table1[#All],2, FALSE)</f>
        <v>#REF!</v>
      </c>
      <c r="L72" s="8" t="e">
        <f ca="1">SUMIF(INDIRECT("'"&amp;$B72&amp;"'!$F$1:$F$999"), L$1, INDIRECT("'"&amp;$B72&amp;"'!$B$1:$B$999"))/VLOOKUP(L$1, Table1[#All],2, FALSE)</f>
        <v>#REF!</v>
      </c>
      <c r="M72" s="8" t="e">
        <f ca="1">SUMIF(INDIRECT("'"&amp;$B72&amp;"'!$F$1:$F$999"), M$1, INDIRECT("'"&amp;$B72&amp;"'!$B$1:$B$999"))/VLOOKUP(M$1, Table1[#All],2, FALSE)</f>
        <v>#REF!</v>
      </c>
      <c r="N72" s="8" t="e">
        <f ca="1">SUMIF(INDIRECT("'"&amp;$B72&amp;"'!$F$1:$F$999"), N$1, INDIRECT("'"&amp;$B72&amp;"'!$B$1:$B$999"))/VLOOKUP(N$1, Table1[#All],2, FALSE)</f>
        <v>#REF!</v>
      </c>
      <c r="O72" s="8" t="e">
        <f ca="1">SUMIF(INDIRECT("'"&amp;$B72&amp;"'!$F$1:$F$999"), O$1, INDIRECT("'"&amp;$B72&amp;"'!$B$1:$B$999"))/VLOOKUP(O$1, Table1[#All],2, FALSE)</f>
        <v>#REF!</v>
      </c>
      <c r="P72" s="8" t="e">
        <f ca="1">SUMIF(INDIRECT("'"&amp;$B72&amp;"'!$F$1:$F$999"), P$1, INDIRECT("'"&amp;$B72&amp;"'!$B$1:$B$999"))/VLOOKUP(P$1, Table1[#All],2, FALSE)</f>
        <v>#REF!</v>
      </c>
      <c r="Q72" s="8" t="e">
        <f ca="1">SUMIF(INDIRECT("'"&amp;$B72&amp;"'!$F$1:$F$999"), Q$1, INDIRECT("'"&amp;$B72&amp;"'!$B$1:$B$999"))/VLOOKUP(Q$1, Table1[#All],2, FALSE)</f>
        <v>#REF!</v>
      </c>
      <c r="R72" s="8" t="e">
        <f ca="1">SUMIF(INDIRECT("'"&amp;$B72&amp;"'!$F$1:$F$999"), R$1, INDIRECT("'"&amp;$B72&amp;"'!$B$1:$B$999"))/VLOOKUP(R$1, Table1[#All],2, FALSE)</f>
        <v>#REF!</v>
      </c>
      <c r="S72" s="8" t="e">
        <f ca="1">SUMIF(INDIRECT("'"&amp;$B72&amp;"'!$F$1:$F$999"), S$1, INDIRECT("'"&amp;$B72&amp;"'!$B$1:$B$999"))/VLOOKUP(S$1, Table1[#All],2, FALSE)</f>
        <v>#REF!</v>
      </c>
      <c r="T72" s="9" t="e">
        <f t="shared" ca="1" si="4"/>
        <v>#REF!</v>
      </c>
    </row>
    <row r="73" spans="1:20" x14ac:dyDescent="0.25">
      <c r="A73" s="13">
        <f t="shared" si="6"/>
        <v>45597</v>
      </c>
      <c r="B73" s="12" t="str">
        <f t="shared" si="5"/>
        <v>November 2024</v>
      </c>
      <c r="C73" s="8" t="e">
        <f ca="1">SUMIF(INDIRECT("'"&amp;$B73&amp;"'!$F$1:$F$999"), C$1, INDIRECT("'"&amp;$B73&amp;"'!$B$1:$B$999"))/VLOOKUP(C$1, Table1[#All],2, FALSE)</f>
        <v>#REF!</v>
      </c>
      <c r="D73" s="8" t="e">
        <f ca="1">SUMIF(INDIRECT("'"&amp;$B73&amp;"'!$F$1:$F$999"), D$1, INDIRECT("'"&amp;$B73&amp;"'!$B$1:$B$999"))/VLOOKUP(D$1, Table1[#All],2, FALSE)</f>
        <v>#REF!</v>
      </c>
      <c r="E73" s="8" t="e">
        <f ca="1">SUMIF(INDIRECT("'"&amp;$B73&amp;"'!$F$1:$F$999"), E$1, INDIRECT("'"&amp;$B73&amp;"'!$B$1:$B$999"))/VLOOKUP(E$1, Table1[#All],2, FALSE)</f>
        <v>#REF!</v>
      </c>
      <c r="F73" s="8" t="e">
        <f ca="1">SUMIF(INDIRECT("'"&amp;$B73&amp;"'!$F$1:$F$999"), F$1, INDIRECT("'"&amp;$B73&amp;"'!$B$1:$B$999"))/VLOOKUP(F$1, Table1[#All],2, FALSE)</f>
        <v>#REF!</v>
      </c>
      <c r="G73" s="8" t="e">
        <f ca="1">SUMIF(INDIRECT("'"&amp;$B73&amp;"'!$F$1:$F$999"), G$1, INDIRECT("'"&amp;$B73&amp;"'!$B$1:$B$999"))/VLOOKUP(G$1, Table1[#All],2, FALSE)</f>
        <v>#REF!</v>
      </c>
      <c r="H73" s="8" t="e">
        <f ca="1">SUMIF(INDIRECT("'"&amp;$B73&amp;"'!$F$1:$F$999"), H$1, INDIRECT("'"&amp;$B73&amp;"'!$B$1:$B$999"))/VLOOKUP(H$1, Table1[#All],2, FALSE)</f>
        <v>#REF!</v>
      </c>
      <c r="I73" s="8" t="e">
        <f ca="1">SUMIF(INDIRECT("'"&amp;$B73&amp;"'!$F$1:$F$999"), I$1, INDIRECT("'"&amp;$B73&amp;"'!$B$1:$B$999"))/VLOOKUP(I$1, Table1[#All],2, FALSE)</f>
        <v>#REF!</v>
      </c>
      <c r="J73" s="8" t="e">
        <f ca="1">SUMIF(INDIRECT("'"&amp;$B73&amp;"'!$F$1:$F$999"), J$1, INDIRECT("'"&amp;$B73&amp;"'!$B$1:$B$999"))/VLOOKUP(J$1, Table1[#All],2, FALSE)</f>
        <v>#REF!</v>
      </c>
      <c r="K73" s="8" t="e">
        <f ca="1">SUMIF(INDIRECT("'"&amp;$B73&amp;"'!$F$1:$F$999"), K$1, INDIRECT("'"&amp;$B73&amp;"'!$B$1:$B$999"))/VLOOKUP(K$1, Table1[#All],2, FALSE)</f>
        <v>#REF!</v>
      </c>
      <c r="L73" s="8" t="e">
        <f ca="1">SUMIF(INDIRECT("'"&amp;$B73&amp;"'!$F$1:$F$999"), L$1, INDIRECT("'"&amp;$B73&amp;"'!$B$1:$B$999"))/VLOOKUP(L$1, Table1[#All],2, FALSE)</f>
        <v>#REF!</v>
      </c>
      <c r="M73" s="8" t="e">
        <f ca="1">SUMIF(INDIRECT("'"&amp;$B73&amp;"'!$F$1:$F$999"), M$1, INDIRECT("'"&amp;$B73&amp;"'!$B$1:$B$999"))/VLOOKUP(M$1, Table1[#All],2, FALSE)</f>
        <v>#REF!</v>
      </c>
      <c r="N73" s="8" t="e">
        <f ca="1">SUMIF(INDIRECT("'"&amp;$B73&amp;"'!$F$1:$F$999"), N$1, INDIRECT("'"&amp;$B73&amp;"'!$B$1:$B$999"))/VLOOKUP(N$1, Table1[#All],2, FALSE)</f>
        <v>#REF!</v>
      </c>
      <c r="O73" s="8" t="e">
        <f ca="1">SUMIF(INDIRECT("'"&amp;$B73&amp;"'!$F$1:$F$999"), O$1, INDIRECT("'"&amp;$B73&amp;"'!$B$1:$B$999"))/VLOOKUP(O$1, Table1[#All],2, FALSE)</f>
        <v>#REF!</v>
      </c>
      <c r="P73" s="8" t="e">
        <f ca="1">SUMIF(INDIRECT("'"&amp;$B73&amp;"'!$F$1:$F$999"), P$1, INDIRECT("'"&amp;$B73&amp;"'!$B$1:$B$999"))/VLOOKUP(P$1, Table1[#All],2, FALSE)</f>
        <v>#REF!</v>
      </c>
      <c r="Q73" s="8" t="e">
        <f ca="1">SUMIF(INDIRECT("'"&amp;$B73&amp;"'!$F$1:$F$999"), Q$1, INDIRECT("'"&amp;$B73&amp;"'!$B$1:$B$999"))/VLOOKUP(Q$1, Table1[#All],2, FALSE)</f>
        <v>#REF!</v>
      </c>
      <c r="R73" s="8" t="e">
        <f ca="1">SUMIF(INDIRECT("'"&amp;$B73&amp;"'!$F$1:$F$999"), R$1, INDIRECT("'"&amp;$B73&amp;"'!$B$1:$B$999"))/VLOOKUP(R$1, Table1[#All],2, FALSE)</f>
        <v>#REF!</v>
      </c>
      <c r="S73" s="8" t="e">
        <f ca="1">SUMIF(INDIRECT("'"&amp;$B73&amp;"'!$F$1:$F$999"), S$1, INDIRECT("'"&amp;$B73&amp;"'!$B$1:$B$999"))/VLOOKUP(S$1, Table1[#All],2, FALSE)</f>
        <v>#REF!</v>
      </c>
      <c r="T73" s="9" t="e">
        <f t="shared" ca="1" si="4"/>
        <v>#REF!</v>
      </c>
    </row>
    <row r="74" spans="1:20" x14ac:dyDescent="0.25">
      <c r="A74" s="13">
        <f t="shared" si="6"/>
        <v>45627</v>
      </c>
      <c r="B74" s="12" t="str">
        <f t="shared" si="5"/>
        <v>December 2024</v>
      </c>
      <c r="C74" s="8" t="e">
        <f ca="1">SUMIF(INDIRECT("'"&amp;$B74&amp;"'!$F$1:$F$999"), C$1, INDIRECT("'"&amp;$B74&amp;"'!$B$1:$B$999"))/VLOOKUP(C$1, Table1[#All],2, FALSE)</f>
        <v>#REF!</v>
      </c>
      <c r="D74" s="8" t="e">
        <f ca="1">SUMIF(INDIRECT("'"&amp;$B74&amp;"'!$F$1:$F$999"), D$1, INDIRECT("'"&amp;$B74&amp;"'!$B$1:$B$999"))/VLOOKUP(D$1, Table1[#All],2, FALSE)</f>
        <v>#REF!</v>
      </c>
      <c r="E74" s="8" t="e">
        <f ca="1">SUMIF(INDIRECT("'"&amp;$B74&amp;"'!$F$1:$F$999"), E$1, INDIRECT("'"&amp;$B74&amp;"'!$B$1:$B$999"))/VLOOKUP(E$1, Table1[#All],2, FALSE)</f>
        <v>#REF!</v>
      </c>
      <c r="F74" s="8" t="e">
        <f ca="1">SUMIF(INDIRECT("'"&amp;$B74&amp;"'!$F$1:$F$999"), F$1, INDIRECT("'"&amp;$B74&amp;"'!$B$1:$B$999"))/VLOOKUP(F$1, Table1[#All],2, FALSE)</f>
        <v>#REF!</v>
      </c>
      <c r="G74" s="8" t="e">
        <f ca="1">SUMIF(INDIRECT("'"&amp;$B74&amp;"'!$F$1:$F$999"), G$1, INDIRECT("'"&amp;$B74&amp;"'!$B$1:$B$999"))/VLOOKUP(G$1, Table1[#All],2, FALSE)</f>
        <v>#REF!</v>
      </c>
      <c r="H74" s="8" t="e">
        <f ca="1">SUMIF(INDIRECT("'"&amp;$B74&amp;"'!$F$1:$F$999"), H$1, INDIRECT("'"&amp;$B74&amp;"'!$B$1:$B$999"))/VLOOKUP(H$1, Table1[#All],2, FALSE)</f>
        <v>#REF!</v>
      </c>
      <c r="I74" s="8" t="e">
        <f ca="1">SUMIF(INDIRECT("'"&amp;$B74&amp;"'!$F$1:$F$999"), I$1, INDIRECT("'"&amp;$B74&amp;"'!$B$1:$B$999"))/VLOOKUP(I$1, Table1[#All],2, FALSE)</f>
        <v>#REF!</v>
      </c>
      <c r="J74" s="8" t="e">
        <f ca="1">SUMIF(INDIRECT("'"&amp;$B74&amp;"'!$F$1:$F$999"), J$1, INDIRECT("'"&amp;$B74&amp;"'!$B$1:$B$999"))/VLOOKUP(J$1, Table1[#All],2, FALSE)</f>
        <v>#REF!</v>
      </c>
      <c r="K74" s="8" t="e">
        <f ca="1">SUMIF(INDIRECT("'"&amp;$B74&amp;"'!$F$1:$F$999"), K$1, INDIRECT("'"&amp;$B74&amp;"'!$B$1:$B$999"))/VLOOKUP(K$1, Table1[#All],2, FALSE)</f>
        <v>#REF!</v>
      </c>
      <c r="L74" s="8" t="e">
        <f ca="1">SUMIF(INDIRECT("'"&amp;$B74&amp;"'!$F$1:$F$999"), L$1, INDIRECT("'"&amp;$B74&amp;"'!$B$1:$B$999"))/VLOOKUP(L$1, Table1[#All],2, FALSE)</f>
        <v>#REF!</v>
      </c>
      <c r="M74" s="8" t="e">
        <f ca="1">SUMIF(INDIRECT("'"&amp;$B74&amp;"'!$F$1:$F$999"), M$1, INDIRECT("'"&amp;$B74&amp;"'!$B$1:$B$999"))/VLOOKUP(M$1, Table1[#All],2, FALSE)</f>
        <v>#REF!</v>
      </c>
      <c r="N74" s="8" t="e">
        <f ca="1">SUMIF(INDIRECT("'"&amp;$B74&amp;"'!$F$1:$F$999"), N$1, INDIRECT("'"&amp;$B74&amp;"'!$B$1:$B$999"))/VLOOKUP(N$1, Table1[#All],2, FALSE)</f>
        <v>#REF!</v>
      </c>
      <c r="O74" s="8" t="e">
        <f ca="1">SUMIF(INDIRECT("'"&amp;$B74&amp;"'!$F$1:$F$999"), O$1, INDIRECT("'"&amp;$B74&amp;"'!$B$1:$B$999"))/VLOOKUP(O$1, Table1[#All],2, FALSE)</f>
        <v>#REF!</v>
      </c>
      <c r="P74" s="8" t="e">
        <f ca="1">SUMIF(INDIRECT("'"&amp;$B74&amp;"'!$F$1:$F$999"), P$1, INDIRECT("'"&amp;$B74&amp;"'!$B$1:$B$999"))/VLOOKUP(P$1, Table1[#All],2, FALSE)</f>
        <v>#REF!</v>
      </c>
      <c r="Q74" s="8" t="e">
        <f ca="1">SUMIF(INDIRECT("'"&amp;$B74&amp;"'!$F$1:$F$999"), Q$1, INDIRECT("'"&amp;$B74&amp;"'!$B$1:$B$999"))/VLOOKUP(Q$1, Table1[#All],2, FALSE)</f>
        <v>#REF!</v>
      </c>
      <c r="R74" s="8" t="e">
        <f ca="1">SUMIF(INDIRECT("'"&amp;$B74&amp;"'!$F$1:$F$999"), R$1, INDIRECT("'"&amp;$B74&amp;"'!$B$1:$B$999"))/VLOOKUP(R$1, Table1[#All],2, FALSE)</f>
        <v>#REF!</v>
      </c>
      <c r="S74" s="8" t="e">
        <f ca="1">SUMIF(INDIRECT("'"&amp;$B74&amp;"'!$F$1:$F$999"), S$1, INDIRECT("'"&amp;$B74&amp;"'!$B$1:$B$999"))/VLOOKUP(S$1, Table1[#All],2, FALSE)</f>
        <v>#REF!</v>
      </c>
      <c r="T74" s="9" t="e">
        <f t="shared" ca="1" si="4"/>
        <v>#REF!</v>
      </c>
    </row>
    <row r="75" spans="1:20" x14ac:dyDescent="0.25">
      <c r="A75" s="13">
        <f t="shared" si="6"/>
        <v>45658</v>
      </c>
      <c r="B75" s="12" t="str">
        <f t="shared" si="5"/>
        <v>January 2025</v>
      </c>
      <c r="C75" s="8" t="e">
        <f ca="1">SUMIF(INDIRECT("'"&amp;$B75&amp;"'!$F$1:$F$999"), C$1, INDIRECT("'"&amp;$B75&amp;"'!$B$1:$B$999"))/VLOOKUP(C$1, Table1[#All],2, FALSE)</f>
        <v>#REF!</v>
      </c>
      <c r="D75" s="8" t="e">
        <f ca="1">SUMIF(INDIRECT("'"&amp;$B75&amp;"'!$F$1:$F$999"), D$1, INDIRECT("'"&amp;$B75&amp;"'!$B$1:$B$999"))/VLOOKUP(D$1, Table1[#All],2, FALSE)</f>
        <v>#REF!</v>
      </c>
      <c r="E75" s="8" t="e">
        <f ca="1">SUMIF(INDIRECT("'"&amp;$B75&amp;"'!$F$1:$F$999"), E$1, INDIRECT("'"&amp;$B75&amp;"'!$B$1:$B$999"))/VLOOKUP(E$1, Table1[#All],2, FALSE)</f>
        <v>#REF!</v>
      </c>
      <c r="F75" s="8" t="e">
        <f ca="1">SUMIF(INDIRECT("'"&amp;$B75&amp;"'!$F$1:$F$999"), F$1, INDIRECT("'"&amp;$B75&amp;"'!$B$1:$B$999"))/VLOOKUP(F$1, Table1[#All],2, FALSE)</f>
        <v>#REF!</v>
      </c>
      <c r="G75" s="8" t="e">
        <f ca="1">SUMIF(INDIRECT("'"&amp;$B75&amp;"'!$F$1:$F$999"), G$1, INDIRECT("'"&amp;$B75&amp;"'!$B$1:$B$999"))/VLOOKUP(G$1, Table1[#All],2, FALSE)</f>
        <v>#REF!</v>
      </c>
      <c r="H75" s="8" t="e">
        <f ca="1">SUMIF(INDIRECT("'"&amp;$B75&amp;"'!$F$1:$F$999"), H$1, INDIRECT("'"&amp;$B75&amp;"'!$B$1:$B$999"))/VLOOKUP(H$1, Table1[#All],2, FALSE)</f>
        <v>#REF!</v>
      </c>
      <c r="I75" s="8" t="e">
        <f ca="1">SUMIF(INDIRECT("'"&amp;$B75&amp;"'!$F$1:$F$999"), I$1, INDIRECT("'"&amp;$B75&amp;"'!$B$1:$B$999"))/VLOOKUP(I$1, Table1[#All],2, FALSE)</f>
        <v>#REF!</v>
      </c>
      <c r="J75" s="8" t="e">
        <f ca="1">SUMIF(INDIRECT("'"&amp;$B75&amp;"'!$F$1:$F$999"), J$1, INDIRECT("'"&amp;$B75&amp;"'!$B$1:$B$999"))/VLOOKUP(J$1, Table1[#All],2, FALSE)</f>
        <v>#REF!</v>
      </c>
      <c r="K75" s="8" t="e">
        <f ca="1">SUMIF(INDIRECT("'"&amp;$B75&amp;"'!$F$1:$F$999"), K$1, INDIRECT("'"&amp;$B75&amp;"'!$B$1:$B$999"))/VLOOKUP(K$1, Table1[#All],2, FALSE)</f>
        <v>#REF!</v>
      </c>
      <c r="L75" s="8" t="e">
        <f ca="1">SUMIF(INDIRECT("'"&amp;$B75&amp;"'!$F$1:$F$999"), L$1, INDIRECT("'"&amp;$B75&amp;"'!$B$1:$B$999"))/VLOOKUP(L$1, Table1[#All],2, FALSE)</f>
        <v>#REF!</v>
      </c>
      <c r="M75" s="8" t="e">
        <f ca="1">SUMIF(INDIRECT("'"&amp;$B75&amp;"'!$F$1:$F$999"), M$1, INDIRECT("'"&amp;$B75&amp;"'!$B$1:$B$999"))/VLOOKUP(M$1, Table1[#All],2, FALSE)</f>
        <v>#REF!</v>
      </c>
      <c r="N75" s="8" t="e">
        <f ca="1">SUMIF(INDIRECT("'"&amp;$B75&amp;"'!$F$1:$F$999"), N$1, INDIRECT("'"&amp;$B75&amp;"'!$B$1:$B$999"))/VLOOKUP(N$1, Table1[#All],2, FALSE)</f>
        <v>#REF!</v>
      </c>
      <c r="O75" s="8" t="e">
        <f ca="1">SUMIF(INDIRECT("'"&amp;$B75&amp;"'!$F$1:$F$999"), O$1, INDIRECT("'"&amp;$B75&amp;"'!$B$1:$B$999"))/VLOOKUP(O$1, Table1[#All],2, FALSE)</f>
        <v>#REF!</v>
      </c>
      <c r="P75" s="8" t="e">
        <f ca="1">SUMIF(INDIRECT("'"&amp;$B75&amp;"'!$F$1:$F$999"), P$1, INDIRECT("'"&amp;$B75&amp;"'!$B$1:$B$999"))/VLOOKUP(P$1, Table1[#All],2, FALSE)</f>
        <v>#REF!</v>
      </c>
      <c r="Q75" s="8" t="e">
        <f ca="1">SUMIF(INDIRECT("'"&amp;$B75&amp;"'!$F$1:$F$999"), Q$1, INDIRECT("'"&amp;$B75&amp;"'!$B$1:$B$999"))/VLOOKUP(Q$1, Table1[#All],2, FALSE)</f>
        <v>#REF!</v>
      </c>
      <c r="R75" s="8" t="e">
        <f ca="1">SUMIF(INDIRECT("'"&amp;$B75&amp;"'!$F$1:$F$999"), R$1, INDIRECT("'"&amp;$B75&amp;"'!$B$1:$B$999"))/VLOOKUP(R$1, Table1[#All],2, FALSE)</f>
        <v>#REF!</v>
      </c>
      <c r="S75" s="8" t="e">
        <f ca="1">SUMIF(INDIRECT("'"&amp;$B75&amp;"'!$F$1:$F$999"), S$1, INDIRECT("'"&amp;$B75&amp;"'!$B$1:$B$999"))/VLOOKUP(S$1, Table1[#All],2, FALSE)</f>
        <v>#REF!</v>
      </c>
      <c r="T75" s="9" t="e">
        <f t="shared" ca="1" si="4"/>
        <v>#REF!</v>
      </c>
    </row>
    <row r="76" spans="1:20" x14ac:dyDescent="0.25">
      <c r="A76" s="13">
        <f t="shared" si="6"/>
        <v>45689</v>
      </c>
      <c r="B76" s="12" t="str">
        <f t="shared" si="5"/>
        <v>February 2025</v>
      </c>
      <c r="C76" s="8" t="e">
        <f ca="1">SUMIF(INDIRECT("'"&amp;$B76&amp;"'!$F$1:$F$999"), C$1, INDIRECT("'"&amp;$B76&amp;"'!$B$1:$B$999"))/VLOOKUP(C$1, Table1[#All],2, FALSE)</f>
        <v>#REF!</v>
      </c>
      <c r="D76" s="8" t="e">
        <f ca="1">SUMIF(INDIRECT("'"&amp;$B76&amp;"'!$F$1:$F$999"), D$1, INDIRECT("'"&amp;$B76&amp;"'!$B$1:$B$999"))/VLOOKUP(D$1, Table1[#All],2, FALSE)</f>
        <v>#REF!</v>
      </c>
      <c r="E76" s="8" t="e">
        <f ca="1">SUMIF(INDIRECT("'"&amp;$B76&amp;"'!$F$1:$F$999"), E$1, INDIRECT("'"&amp;$B76&amp;"'!$B$1:$B$999"))/VLOOKUP(E$1, Table1[#All],2, FALSE)</f>
        <v>#REF!</v>
      </c>
      <c r="F76" s="8" t="e">
        <f ca="1">SUMIF(INDIRECT("'"&amp;$B76&amp;"'!$F$1:$F$999"), F$1, INDIRECT("'"&amp;$B76&amp;"'!$B$1:$B$999"))/VLOOKUP(F$1, Table1[#All],2, FALSE)</f>
        <v>#REF!</v>
      </c>
      <c r="G76" s="8" t="e">
        <f ca="1">SUMIF(INDIRECT("'"&amp;$B76&amp;"'!$F$1:$F$999"), G$1, INDIRECT("'"&amp;$B76&amp;"'!$B$1:$B$999"))/VLOOKUP(G$1, Table1[#All],2, FALSE)</f>
        <v>#REF!</v>
      </c>
      <c r="H76" s="8" t="e">
        <f ca="1">SUMIF(INDIRECT("'"&amp;$B76&amp;"'!$F$1:$F$999"), H$1, INDIRECT("'"&amp;$B76&amp;"'!$B$1:$B$999"))/VLOOKUP(H$1, Table1[#All],2, FALSE)</f>
        <v>#REF!</v>
      </c>
      <c r="I76" s="8" t="e">
        <f ca="1">SUMIF(INDIRECT("'"&amp;$B76&amp;"'!$F$1:$F$999"), I$1, INDIRECT("'"&amp;$B76&amp;"'!$B$1:$B$999"))/VLOOKUP(I$1, Table1[#All],2, FALSE)</f>
        <v>#REF!</v>
      </c>
      <c r="J76" s="8" t="e">
        <f ca="1">SUMIF(INDIRECT("'"&amp;$B76&amp;"'!$F$1:$F$999"), J$1, INDIRECT("'"&amp;$B76&amp;"'!$B$1:$B$999"))/VLOOKUP(J$1, Table1[#All],2, FALSE)</f>
        <v>#REF!</v>
      </c>
      <c r="K76" s="8" t="e">
        <f ca="1">SUMIF(INDIRECT("'"&amp;$B76&amp;"'!$F$1:$F$999"), K$1, INDIRECT("'"&amp;$B76&amp;"'!$B$1:$B$999"))/VLOOKUP(K$1, Table1[#All],2, FALSE)</f>
        <v>#REF!</v>
      </c>
      <c r="L76" s="8" t="e">
        <f ca="1">SUMIF(INDIRECT("'"&amp;$B76&amp;"'!$F$1:$F$999"), L$1, INDIRECT("'"&amp;$B76&amp;"'!$B$1:$B$999"))/VLOOKUP(L$1, Table1[#All],2, FALSE)</f>
        <v>#REF!</v>
      </c>
      <c r="M76" s="8" t="e">
        <f ca="1">SUMIF(INDIRECT("'"&amp;$B76&amp;"'!$F$1:$F$999"), M$1, INDIRECT("'"&amp;$B76&amp;"'!$B$1:$B$999"))/VLOOKUP(M$1, Table1[#All],2, FALSE)</f>
        <v>#REF!</v>
      </c>
      <c r="N76" s="8" t="e">
        <f ca="1">SUMIF(INDIRECT("'"&amp;$B76&amp;"'!$F$1:$F$999"), N$1, INDIRECT("'"&amp;$B76&amp;"'!$B$1:$B$999"))/VLOOKUP(N$1, Table1[#All],2, FALSE)</f>
        <v>#REF!</v>
      </c>
      <c r="O76" s="8" t="e">
        <f ca="1">SUMIF(INDIRECT("'"&amp;$B76&amp;"'!$F$1:$F$999"), O$1, INDIRECT("'"&amp;$B76&amp;"'!$B$1:$B$999"))/VLOOKUP(O$1, Table1[#All],2, FALSE)</f>
        <v>#REF!</v>
      </c>
      <c r="P76" s="8" t="e">
        <f ca="1">SUMIF(INDIRECT("'"&amp;$B76&amp;"'!$F$1:$F$999"), P$1, INDIRECT("'"&amp;$B76&amp;"'!$B$1:$B$999"))/VLOOKUP(P$1, Table1[#All],2, FALSE)</f>
        <v>#REF!</v>
      </c>
      <c r="Q76" s="8" t="e">
        <f ca="1">SUMIF(INDIRECT("'"&amp;$B76&amp;"'!$F$1:$F$999"), Q$1, INDIRECT("'"&amp;$B76&amp;"'!$B$1:$B$999"))/VLOOKUP(Q$1, Table1[#All],2, FALSE)</f>
        <v>#REF!</v>
      </c>
      <c r="R76" s="8" t="e">
        <f ca="1">SUMIF(INDIRECT("'"&amp;$B76&amp;"'!$F$1:$F$999"), R$1, INDIRECT("'"&amp;$B76&amp;"'!$B$1:$B$999"))/VLOOKUP(R$1, Table1[#All],2, FALSE)</f>
        <v>#REF!</v>
      </c>
      <c r="S76" s="8" t="e">
        <f ca="1">SUMIF(INDIRECT("'"&amp;$B76&amp;"'!$F$1:$F$999"), S$1, INDIRECT("'"&amp;$B76&amp;"'!$B$1:$B$999"))/VLOOKUP(S$1, Table1[#All],2, FALSE)</f>
        <v>#REF!</v>
      </c>
      <c r="T76" s="9" t="e">
        <f t="shared" ca="1" si="4"/>
        <v>#REF!</v>
      </c>
    </row>
    <row r="77" spans="1:20" x14ac:dyDescent="0.25">
      <c r="A77" s="13">
        <f t="shared" si="6"/>
        <v>45717</v>
      </c>
      <c r="B77" s="12" t="str">
        <f t="shared" si="5"/>
        <v>March 2025</v>
      </c>
      <c r="C77" s="8" t="e">
        <f ca="1">SUMIF(INDIRECT("'"&amp;$B77&amp;"'!$F$1:$F$999"), C$1, INDIRECT("'"&amp;$B77&amp;"'!$B$1:$B$999"))/VLOOKUP(C$1, Table1[#All],2, FALSE)</f>
        <v>#REF!</v>
      </c>
      <c r="D77" s="8" t="e">
        <f ca="1">SUMIF(INDIRECT("'"&amp;$B77&amp;"'!$F$1:$F$999"), D$1, INDIRECT("'"&amp;$B77&amp;"'!$B$1:$B$999"))/VLOOKUP(D$1, Table1[#All],2, FALSE)</f>
        <v>#REF!</v>
      </c>
      <c r="E77" s="8" t="e">
        <f ca="1">SUMIF(INDIRECT("'"&amp;$B77&amp;"'!$F$1:$F$999"), E$1, INDIRECT("'"&amp;$B77&amp;"'!$B$1:$B$999"))/VLOOKUP(E$1, Table1[#All],2, FALSE)</f>
        <v>#REF!</v>
      </c>
      <c r="F77" s="8" t="e">
        <f ca="1">SUMIF(INDIRECT("'"&amp;$B77&amp;"'!$F$1:$F$999"), F$1, INDIRECT("'"&amp;$B77&amp;"'!$B$1:$B$999"))/VLOOKUP(F$1, Table1[#All],2, FALSE)</f>
        <v>#REF!</v>
      </c>
      <c r="G77" s="8" t="e">
        <f ca="1">SUMIF(INDIRECT("'"&amp;$B77&amp;"'!$F$1:$F$999"), G$1, INDIRECT("'"&amp;$B77&amp;"'!$B$1:$B$999"))/VLOOKUP(G$1, Table1[#All],2, FALSE)</f>
        <v>#REF!</v>
      </c>
      <c r="H77" s="8" t="e">
        <f ca="1">SUMIF(INDIRECT("'"&amp;$B77&amp;"'!$F$1:$F$999"), H$1, INDIRECT("'"&amp;$B77&amp;"'!$B$1:$B$999"))/VLOOKUP(H$1, Table1[#All],2, FALSE)</f>
        <v>#REF!</v>
      </c>
      <c r="I77" s="8" t="e">
        <f ca="1">SUMIF(INDIRECT("'"&amp;$B77&amp;"'!$F$1:$F$999"), I$1, INDIRECT("'"&amp;$B77&amp;"'!$B$1:$B$999"))/VLOOKUP(I$1, Table1[#All],2, FALSE)</f>
        <v>#REF!</v>
      </c>
      <c r="J77" s="8" t="e">
        <f ca="1">SUMIF(INDIRECT("'"&amp;$B77&amp;"'!$F$1:$F$999"), J$1, INDIRECT("'"&amp;$B77&amp;"'!$B$1:$B$999"))/VLOOKUP(J$1, Table1[#All],2, FALSE)</f>
        <v>#REF!</v>
      </c>
      <c r="K77" s="8" t="e">
        <f ca="1">SUMIF(INDIRECT("'"&amp;$B77&amp;"'!$F$1:$F$999"), K$1, INDIRECT("'"&amp;$B77&amp;"'!$B$1:$B$999"))/VLOOKUP(K$1, Table1[#All],2, FALSE)</f>
        <v>#REF!</v>
      </c>
      <c r="L77" s="8" t="e">
        <f ca="1">SUMIF(INDIRECT("'"&amp;$B77&amp;"'!$F$1:$F$999"), L$1, INDIRECT("'"&amp;$B77&amp;"'!$B$1:$B$999"))/VLOOKUP(L$1, Table1[#All],2, FALSE)</f>
        <v>#REF!</v>
      </c>
      <c r="M77" s="8" t="e">
        <f ca="1">SUMIF(INDIRECT("'"&amp;$B77&amp;"'!$F$1:$F$999"), M$1, INDIRECT("'"&amp;$B77&amp;"'!$B$1:$B$999"))/VLOOKUP(M$1, Table1[#All],2, FALSE)</f>
        <v>#REF!</v>
      </c>
      <c r="N77" s="8" t="e">
        <f ca="1">SUMIF(INDIRECT("'"&amp;$B77&amp;"'!$F$1:$F$999"), N$1, INDIRECT("'"&amp;$B77&amp;"'!$B$1:$B$999"))/VLOOKUP(N$1, Table1[#All],2, FALSE)</f>
        <v>#REF!</v>
      </c>
      <c r="O77" s="8" t="e">
        <f ca="1">SUMIF(INDIRECT("'"&amp;$B77&amp;"'!$F$1:$F$999"), O$1, INDIRECT("'"&amp;$B77&amp;"'!$B$1:$B$999"))/VLOOKUP(O$1, Table1[#All],2, FALSE)</f>
        <v>#REF!</v>
      </c>
      <c r="P77" s="8" t="e">
        <f ca="1">SUMIF(INDIRECT("'"&amp;$B77&amp;"'!$F$1:$F$999"), P$1, INDIRECT("'"&amp;$B77&amp;"'!$B$1:$B$999"))/VLOOKUP(P$1, Table1[#All],2, FALSE)</f>
        <v>#REF!</v>
      </c>
      <c r="Q77" s="8" t="e">
        <f ca="1">SUMIF(INDIRECT("'"&amp;$B77&amp;"'!$F$1:$F$999"), Q$1, INDIRECT("'"&amp;$B77&amp;"'!$B$1:$B$999"))/VLOOKUP(Q$1, Table1[#All],2, FALSE)</f>
        <v>#REF!</v>
      </c>
      <c r="R77" s="8" t="e">
        <f ca="1">SUMIF(INDIRECT("'"&amp;$B77&amp;"'!$F$1:$F$999"), R$1, INDIRECT("'"&amp;$B77&amp;"'!$B$1:$B$999"))/VLOOKUP(R$1, Table1[#All],2, FALSE)</f>
        <v>#REF!</v>
      </c>
      <c r="S77" s="8" t="e">
        <f ca="1">SUMIF(INDIRECT("'"&amp;$B77&amp;"'!$F$1:$F$999"), S$1, INDIRECT("'"&amp;$B77&amp;"'!$B$1:$B$999"))/VLOOKUP(S$1, Table1[#All],2, FALSE)</f>
        <v>#REF!</v>
      </c>
      <c r="T77" s="9" t="e">
        <f t="shared" ca="1" si="4"/>
        <v>#REF!</v>
      </c>
    </row>
    <row r="78" spans="1:20" x14ac:dyDescent="0.25">
      <c r="A78" s="13">
        <f t="shared" si="6"/>
        <v>45748</v>
      </c>
      <c r="B78" s="12" t="str">
        <f t="shared" si="5"/>
        <v>April 2025</v>
      </c>
      <c r="C78" s="8" t="e">
        <f ca="1">SUMIF(INDIRECT("'"&amp;$B78&amp;"'!$F$1:$F$999"), C$1, INDIRECT("'"&amp;$B78&amp;"'!$B$1:$B$999"))/VLOOKUP(C$1, Table1[#All],2, FALSE)</f>
        <v>#REF!</v>
      </c>
      <c r="D78" s="8" t="e">
        <f ca="1">SUMIF(INDIRECT("'"&amp;$B78&amp;"'!$F$1:$F$999"), D$1, INDIRECT("'"&amp;$B78&amp;"'!$B$1:$B$999"))/VLOOKUP(D$1, Table1[#All],2, FALSE)</f>
        <v>#REF!</v>
      </c>
      <c r="E78" s="8" t="e">
        <f ca="1">SUMIF(INDIRECT("'"&amp;$B78&amp;"'!$F$1:$F$999"), E$1, INDIRECT("'"&amp;$B78&amp;"'!$B$1:$B$999"))/VLOOKUP(E$1, Table1[#All],2, FALSE)</f>
        <v>#REF!</v>
      </c>
      <c r="F78" s="8" t="e">
        <f ca="1">SUMIF(INDIRECT("'"&amp;$B78&amp;"'!$F$1:$F$999"), F$1, INDIRECT("'"&amp;$B78&amp;"'!$B$1:$B$999"))/VLOOKUP(F$1, Table1[#All],2, FALSE)</f>
        <v>#REF!</v>
      </c>
      <c r="G78" s="8" t="e">
        <f ca="1">SUMIF(INDIRECT("'"&amp;$B78&amp;"'!$F$1:$F$999"), G$1, INDIRECT("'"&amp;$B78&amp;"'!$B$1:$B$999"))/VLOOKUP(G$1, Table1[#All],2, FALSE)</f>
        <v>#REF!</v>
      </c>
      <c r="H78" s="8" t="e">
        <f ca="1">SUMIF(INDIRECT("'"&amp;$B78&amp;"'!$F$1:$F$999"), H$1, INDIRECT("'"&amp;$B78&amp;"'!$B$1:$B$999"))/VLOOKUP(H$1, Table1[#All],2, FALSE)</f>
        <v>#REF!</v>
      </c>
      <c r="I78" s="8" t="e">
        <f ca="1">SUMIF(INDIRECT("'"&amp;$B78&amp;"'!$F$1:$F$999"), I$1, INDIRECT("'"&amp;$B78&amp;"'!$B$1:$B$999"))/VLOOKUP(I$1, Table1[#All],2, FALSE)</f>
        <v>#REF!</v>
      </c>
      <c r="J78" s="8" t="e">
        <f ca="1">SUMIF(INDIRECT("'"&amp;$B78&amp;"'!$F$1:$F$999"), J$1, INDIRECT("'"&amp;$B78&amp;"'!$B$1:$B$999"))/VLOOKUP(J$1, Table1[#All],2, FALSE)</f>
        <v>#REF!</v>
      </c>
      <c r="K78" s="8" t="e">
        <f ca="1">SUMIF(INDIRECT("'"&amp;$B78&amp;"'!$F$1:$F$999"), K$1, INDIRECT("'"&amp;$B78&amp;"'!$B$1:$B$999"))/VLOOKUP(K$1, Table1[#All],2, FALSE)</f>
        <v>#REF!</v>
      </c>
      <c r="L78" s="8" t="e">
        <f ca="1">SUMIF(INDIRECT("'"&amp;$B78&amp;"'!$F$1:$F$999"), L$1, INDIRECT("'"&amp;$B78&amp;"'!$B$1:$B$999"))/VLOOKUP(L$1, Table1[#All],2, FALSE)</f>
        <v>#REF!</v>
      </c>
      <c r="M78" s="8" t="e">
        <f ca="1">SUMIF(INDIRECT("'"&amp;$B78&amp;"'!$F$1:$F$999"), M$1, INDIRECT("'"&amp;$B78&amp;"'!$B$1:$B$999"))/VLOOKUP(M$1, Table1[#All],2, FALSE)</f>
        <v>#REF!</v>
      </c>
      <c r="N78" s="8" t="e">
        <f ca="1">SUMIF(INDIRECT("'"&amp;$B78&amp;"'!$F$1:$F$999"), N$1, INDIRECT("'"&amp;$B78&amp;"'!$B$1:$B$999"))/VLOOKUP(N$1, Table1[#All],2, FALSE)</f>
        <v>#REF!</v>
      </c>
      <c r="O78" s="8" t="e">
        <f ca="1">SUMIF(INDIRECT("'"&amp;$B78&amp;"'!$F$1:$F$999"), O$1, INDIRECT("'"&amp;$B78&amp;"'!$B$1:$B$999"))/VLOOKUP(O$1, Table1[#All],2, FALSE)</f>
        <v>#REF!</v>
      </c>
      <c r="P78" s="8" t="e">
        <f ca="1">SUMIF(INDIRECT("'"&amp;$B78&amp;"'!$F$1:$F$999"), P$1, INDIRECT("'"&amp;$B78&amp;"'!$B$1:$B$999"))/VLOOKUP(P$1, Table1[#All],2, FALSE)</f>
        <v>#REF!</v>
      </c>
      <c r="Q78" s="8" t="e">
        <f ca="1">SUMIF(INDIRECT("'"&amp;$B78&amp;"'!$F$1:$F$999"), Q$1, INDIRECT("'"&amp;$B78&amp;"'!$B$1:$B$999"))/VLOOKUP(Q$1, Table1[#All],2, FALSE)</f>
        <v>#REF!</v>
      </c>
      <c r="R78" s="8" t="e">
        <f ca="1">SUMIF(INDIRECT("'"&amp;$B78&amp;"'!$F$1:$F$999"), R$1, INDIRECT("'"&amp;$B78&amp;"'!$B$1:$B$999"))/VLOOKUP(R$1, Table1[#All],2, FALSE)</f>
        <v>#REF!</v>
      </c>
      <c r="S78" s="8" t="e">
        <f ca="1">SUMIF(INDIRECT("'"&amp;$B78&amp;"'!$F$1:$F$999"), S$1, INDIRECT("'"&amp;$B78&amp;"'!$B$1:$B$999"))/VLOOKUP(S$1, Table1[#All],2, FALSE)</f>
        <v>#REF!</v>
      </c>
      <c r="T78" s="9" t="e">
        <f t="shared" ca="1" si="4"/>
        <v>#REF!</v>
      </c>
    </row>
    <row r="79" spans="1:20" x14ac:dyDescent="0.25">
      <c r="A79" s="13">
        <f t="shared" si="6"/>
        <v>45778</v>
      </c>
      <c r="B79" s="12" t="str">
        <f t="shared" si="5"/>
        <v>May 2025</v>
      </c>
      <c r="C79" s="8" t="e">
        <f ca="1">SUMIF(INDIRECT("'"&amp;$B79&amp;"'!$F$1:$F$999"), C$1, INDIRECT("'"&amp;$B79&amp;"'!$B$1:$B$999"))/VLOOKUP(C$1, Table1[#All],2, FALSE)</f>
        <v>#REF!</v>
      </c>
      <c r="D79" s="8" t="e">
        <f ca="1">SUMIF(INDIRECT("'"&amp;$B79&amp;"'!$F$1:$F$999"), D$1, INDIRECT("'"&amp;$B79&amp;"'!$B$1:$B$999"))/VLOOKUP(D$1, Table1[#All],2, FALSE)</f>
        <v>#REF!</v>
      </c>
      <c r="E79" s="8" t="e">
        <f ca="1">SUMIF(INDIRECT("'"&amp;$B79&amp;"'!$F$1:$F$999"), E$1, INDIRECT("'"&amp;$B79&amp;"'!$B$1:$B$999"))/VLOOKUP(E$1, Table1[#All],2, FALSE)</f>
        <v>#REF!</v>
      </c>
      <c r="F79" s="8" t="e">
        <f ca="1">SUMIF(INDIRECT("'"&amp;$B79&amp;"'!$F$1:$F$999"), F$1, INDIRECT("'"&amp;$B79&amp;"'!$B$1:$B$999"))/VLOOKUP(F$1, Table1[#All],2, FALSE)</f>
        <v>#REF!</v>
      </c>
      <c r="G79" s="8" t="e">
        <f ca="1">SUMIF(INDIRECT("'"&amp;$B79&amp;"'!$F$1:$F$999"), G$1, INDIRECT("'"&amp;$B79&amp;"'!$B$1:$B$999"))/VLOOKUP(G$1, Table1[#All],2, FALSE)</f>
        <v>#REF!</v>
      </c>
      <c r="H79" s="8" t="e">
        <f ca="1">SUMIF(INDIRECT("'"&amp;$B79&amp;"'!$F$1:$F$999"), H$1, INDIRECT("'"&amp;$B79&amp;"'!$B$1:$B$999"))/VLOOKUP(H$1, Table1[#All],2, FALSE)</f>
        <v>#REF!</v>
      </c>
      <c r="I79" s="8" t="e">
        <f ca="1">SUMIF(INDIRECT("'"&amp;$B79&amp;"'!$F$1:$F$999"), I$1, INDIRECT("'"&amp;$B79&amp;"'!$B$1:$B$999"))/VLOOKUP(I$1, Table1[#All],2, FALSE)</f>
        <v>#REF!</v>
      </c>
      <c r="J79" s="8" t="e">
        <f ca="1">SUMIF(INDIRECT("'"&amp;$B79&amp;"'!$F$1:$F$999"), J$1, INDIRECT("'"&amp;$B79&amp;"'!$B$1:$B$999"))/VLOOKUP(J$1, Table1[#All],2, FALSE)</f>
        <v>#REF!</v>
      </c>
      <c r="K79" s="8" t="e">
        <f ca="1">SUMIF(INDIRECT("'"&amp;$B79&amp;"'!$F$1:$F$999"), K$1, INDIRECT("'"&amp;$B79&amp;"'!$B$1:$B$999"))/VLOOKUP(K$1, Table1[#All],2, FALSE)</f>
        <v>#REF!</v>
      </c>
      <c r="L79" s="8" t="e">
        <f ca="1">SUMIF(INDIRECT("'"&amp;$B79&amp;"'!$F$1:$F$999"), L$1, INDIRECT("'"&amp;$B79&amp;"'!$B$1:$B$999"))/VLOOKUP(L$1, Table1[#All],2, FALSE)</f>
        <v>#REF!</v>
      </c>
      <c r="M79" s="8" t="e">
        <f ca="1">SUMIF(INDIRECT("'"&amp;$B79&amp;"'!$F$1:$F$999"), M$1, INDIRECT("'"&amp;$B79&amp;"'!$B$1:$B$999"))/VLOOKUP(M$1, Table1[#All],2, FALSE)</f>
        <v>#REF!</v>
      </c>
      <c r="N79" s="8" t="e">
        <f ca="1">SUMIF(INDIRECT("'"&amp;$B79&amp;"'!$F$1:$F$999"), N$1, INDIRECT("'"&amp;$B79&amp;"'!$B$1:$B$999"))/VLOOKUP(N$1, Table1[#All],2, FALSE)</f>
        <v>#REF!</v>
      </c>
      <c r="O79" s="8" t="e">
        <f ca="1">SUMIF(INDIRECT("'"&amp;$B79&amp;"'!$F$1:$F$999"), O$1, INDIRECT("'"&amp;$B79&amp;"'!$B$1:$B$999"))/VLOOKUP(O$1, Table1[#All],2, FALSE)</f>
        <v>#REF!</v>
      </c>
      <c r="P79" s="8" t="e">
        <f ca="1">SUMIF(INDIRECT("'"&amp;$B79&amp;"'!$F$1:$F$999"), P$1, INDIRECT("'"&amp;$B79&amp;"'!$B$1:$B$999"))/VLOOKUP(P$1, Table1[#All],2, FALSE)</f>
        <v>#REF!</v>
      </c>
      <c r="Q79" s="8" t="e">
        <f ca="1">SUMIF(INDIRECT("'"&amp;$B79&amp;"'!$F$1:$F$999"), Q$1, INDIRECT("'"&amp;$B79&amp;"'!$B$1:$B$999"))/VLOOKUP(Q$1, Table1[#All],2, FALSE)</f>
        <v>#REF!</v>
      </c>
      <c r="R79" s="8" t="e">
        <f ca="1">SUMIF(INDIRECT("'"&amp;$B79&amp;"'!$F$1:$F$999"), R$1, INDIRECT("'"&amp;$B79&amp;"'!$B$1:$B$999"))/VLOOKUP(R$1, Table1[#All],2, FALSE)</f>
        <v>#REF!</v>
      </c>
      <c r="S79" s="8" t="e">
        <f ca="1">SUMIF(INDIRECT("'"&amp;$B79&amp;"'!$F$1:$F$999"), S$1, INDIRECT("'"&amp;$B79&amp;"'!$B$1:$B$999"))/VLOOKUP(S$1, Table1[#All],2, FALSE)</f>
        <v>#REF!</v>
      </c>
      <c r="T79" s="9" t="e">
        <f t="shared" ca="1" si="4"/>
        <v>#REF!</v>
      </c>
    </row>
    <row r="80" spans="1:20" x14ac:dyDescent="0.25">
      <c r="A80" s="13">
        <f t="shared" si="6"/>
        <v>45809</v>
      </c>
      <c r="B80" s="12" t="str">
        <f t="shared" si="5"/>
        <v>June 2025</v>
      </c>
      <c r="C80" s="8" t="e">
        <f ca="1">SUMIF(INDIRECT("'"&amp;$B80&amp;"'!$F$1:$F$999"), C$1, INDIRECT("'"&amp;$B80&amp;"'!$B$1:$B$999"))/VLOOKUP(C$1, Table1[#All],2, FALSE)</f>
        <v>#REF!</v>
      </c>
      <c r="D80" s="8" t="e">
        <f ca="1">SUMIF(INDIRECT("'"&amp;$B80&amp;"'!$F$1:$F$999"), D$1, INDIRECT("'"&amp;$B80&amp;"'!$B$1:$B$999"))/VLOOKUP(D$1, Table1[#All],2, FALSE)</f>
        <v>#REF!</v>
      </c>
      <c r="E80" s="8" t="e">
        <f ca="1">SUMIF(INDIRECT("'"&amp;$B80&amp;"'!$F$1:$F$999"), E$1, INDIRECT("'"&amp;$B80&amp;"'!$B$1:$B$999"))/VLOOKUP(E$1, Table1[#All],2, FALSE)</f>
        <v>#REF!</v>
      </c>
      <c r="F80" s="8" t="e">
        <f ca="1">SUMIF(INDIRECT("'"&amp;$B80&amp;"'!$F$1:$F$999"), F$1, INDIRECT("'"&amp;$B80&amp;"'!$B$1:$B$999"))/VLOOKUP(F$1, Table1[#All],2, FALSE)</f>
        <v>#REF!</v>
      </c>
      <c r="G80" s="8" t="e">
        <f ca="1">SUMIF(INDIRECT("'"&amp;$B80&amp;"'!$F$1:$F$999"), G$1, INDIRECT("'"&amp;$B80&amp;"'!$B$1:$B$999"))/VLOOKUP(G$1, Table1[#All],2, FALSE)</f>
        <v>#REF!</v>
      </c>
      <c r="H80" s="8" t="e">
        <f ca="1">SUMIF(INDIRECT("'"&amp;$B80&amp;"'!$F$1:$F$999"), H$1, INDIRECT("'"&amp;$B80&amp;"'!$B$1:$B$999"))/VLOOKUP(H$1, Table1[#All],2, FALSE)</f>
        <v>#REF!</v>
      </c>
      <c r="I80" s="8" t="e">
        <f ca="1">SUMIF(INDIRECT("'"&amp;$B80&amp;"'!$F$1:$F$999"), I$1, INDIRECT("'"&amp;$B80&amp;"'!$B$1:$B$999"))/VLOOKUP(I$1, Table1[#All],2, FALSE)</f>
        <v>#REF!</v>
      </c>
      <c r="J80" s="8" t="e">
        <f ca="1">SUMIF(INDIRECT("'"&amp;$B80&amp;"'!$F$1:$F$999"), J$1, INDIRECT("'"&amp;$B80&amp;"'!$B$1:$B$999"))/VLOOKUP(J$1, Table1[#All],2, FALSE)</f>
        <v>#REF!</v>
      </c>
      <c r="K80" s="8" t="e">
        <f ca="1">SUMIF(INDIRECT("'"&amp;$B80&amp;"'!$F$1:$F$999"), K$1, INDIRECT("'"&amp;$B80&amp;"'!$B$1:$B$999"))/VLOOKUP(K$1, Table1[#All],2, FALSE)</f>
        <v>#REF!</v>
      </c>
      <c r="L80" s="8" t="e">
        <f ca="1">SUMIF(INDIRECT("'"&amp;$B80&amp;"'!$F$1:$F$999"), L$1, INDIRECT("'"&amp;$B80&amp;"'!$B$1:$B$999"))/VLOOKUP(L$1, Table1[#All],2, FALSE)</f>
        <v>#REF!</v>
      </c>
      <c r="M80" s="8" t="e">
        <f ca="1">SUMIF(INDIRECT("'"&amp;$B80&amp;"'!$F$1:$F$999"), M$1, INDIRECT("'"&amp;$B80&amp;"'!$B$1:$B$999"))/VLOOKUP(M$1, Table1[#All],2, FALSE)</f>
        <v>#REF!</v>
      </c>
      <c r="N80" s="8" t="e">
        <f ca="1">SUMIF(INDIRECT("'"&amp;$B80&amp;"'!$F$1:$F$999"), N$1, INDIRECT("'"&amp;$B80&amp;"'!$B$1:$B$999"))/VLOOKUP(N$1, Table1[#All],2, FALSE)</f>
        <v>#REF!</v>
      </c>
      <c r="O80" s="8" t="e">
        <f ca="1">SUMIF(INDIRECT("'"&amp;$B80&amp;"'!$F$1:$F$999"), O$1, INDIRECT("'"&amp;$B80&amp;"'!$B$1:$B$999"))/VLOOKUP(O$1, Table1[#All],2, FALSE)</f>
        <v>#REF!</v>
      </c>
      <c r="P80" s="8" t="e">
        <f ca="1">SUMIF(INDIRECT("'"&amp;$B80&amp;"'!$F$1:$F$999"), P$1, INDIRECT("'"&amp;$B80&amp;"'!$B$1:$B$999"))/VLOOKUP(P$1, Table1[#All],2, FALSE)</f>
        <v>#REF!</v>
      </c>
      <c r="Q80" s="8" t="e">
        <f ca="1">SUMIF(INDIRECT("'"&amp;$B80&amp;"'!$F$1:$F$999"), Q$1, INDIRECT("'"&amp;$B80&amp;"'!$B$1:$B$999"))/VLOOKUP(Q$1, Table1[#All],2, FALSE)</f>
        <v>#REF!</v>
      </c>
      <c r="R80" s="8" t="e">
        <f ca="1">SUMIF(INDIRECT("'"&amp;$B80&amp;"'!$F$1:$F$999"), R$1, INDIRECT("'"&amp;$B80&amp;"'!$B$1:$B$999"))/VLOOKUP(R$1, Table1[#All],2, FALSE)</f>
        <v>#REF!</v>
      </c>
      <c r="S80" s="8" t="e">
        <f ca="1">SUMIF(INDIRECT("'"&amp;$B80&amp;"'!$F$1:$F$999"), S$1, INDIRECT("'"&amp;$B80&amp;"'!$B$1:$B$999"))/VLOOKUP(S$1, Table1[#All],2, FALSE)</f>
        <v>#REF!</v>
      </c>
      <c r="T80" s="9" t="e">
        <f t="shared" ca="1" si="4"/>
        <v>#REF!</v>
      </c>
    </row>
    <row r="81" spans="1:20" x14ac:dyDescent="0.25">
      <c r="A81" s="13">
        <f t="shared" si="6"/>
        <v>45839</v>
      </c>
      <c r="B81" s="12" t="str">
        <f t="shared" si="5"/>
        <v>July 2025</v>
      </c>
      <c r="C81" s="8" t="e">
        <f ca="1">SUMIF(INDIRECT("'"&amp;$B81&amp;"'!$F$1:$F$999"), C$1, INDIRECT("'"&amp;$B81&amp;"'!$B$1:$B$999"))/VLOOKUP(C$1, Table1[#All],2, FALSE)</f>
        <v>#REF!</v>
      </c>
      <c r="D81" s="8" t="e">
        <f ca="1">SUMIF(INDIRECT("'"&amp;$B81&amp;"'!$F$1:$F$999"), D$1, INDIRECT("'"&amp;$B81&amp;"'!$B$1:$B$999"))/VLOOKUP(D$1, Table1[#All],2, FALSE)</f>
        <v>#REF!</v>
      </c>
      <c r="E81" s="8" t="e">
        <f ca="1">SUMIF(INDIRECT("'"&amp;$B81&amp;"'!$F$1:$F$999"), E$1, INDIRECT("'"&amp;$B81&amp;"'!$B$1:$B$999"))/VLOOKUP(E$1, Table1[#All],2, FALSE)</f>
        <v>#REF!</v>
      </c>
      <c r="F81" s="8" t="e">
        <f ca="1">SUMIF(INDIRECT("'"&amp;$B81&amp;"'!$F$1:$F$999"), F$1, INDIRECT("'"&amp;$B81&amp;"'!$B$1:$B$999"))/VLOOKUP(F$1, Table1[#All],2, FALSE)</f>
        <v>#REF!</v>
      </c>
      <c r="G81" s="8" t="e">
        <f ca="1">SUMIF(INDIRECT("'"&amp;$B81&amp;"'!$F$1:$F$999"), G$1, INDIRECT("'"&amp;$B81&amp;"'!$B$1:$B$999"))/VLOOKUP(G$1, Table1[#All],2, FALSE)</f>
        <v>#REF!</v>
      </c>
      <c r="H81" s="8" t="e">
        <f ca="1">SUMIF(INDIRECT("'"&amp;$B81&amp;"'!$F$1:$F$999"), H$1, INDIRECT("'"&amp;$B81&amp;"'!$B$1:$B$999"))/VLOOKUP(H$1, Table1[#All],2, FALSE)</f>
        <v>#REF!</v>
      </c>
      <c r="I81" s="8" t="e">
        <f ca="1">SUMIF(INDIRECT("'"&amp;$B81&amp;"'!$F$1:$F$999"), I$1, INDIRECT("'"&amp;$B81&amp;"'!$B$1:$B$999"))/VLOOKUP(I$1, Table1[#All],2, FALSE)</f>
        <v>#REF!</v>
      </c>
      <c r="J81" s="8" t="e">
        <f ca="1">SUMIF(INDIRECT("'"&amp;$B81&amp;"'!$F$1:$F$999"), J$1, INDIRECT("'"&amp;$B81&amp;"'!$B$1:$B$999"))/VLOOKUP(J$1, Table1[#All],2, FALSE)</f>
        <v>#REF!</v>
      </c>
      <c r="K81" s="8" t="e">
        <f ca="1">SUMIF(INDIRECT("'"&amp;$B81&amp;"'!$F$1:$F$999"), K$1, INDIRECT("'"&amp;$B81&amp;"'!$B$1:$B$999"))/VLOOKUP(K$1, Table1[#All],2, FALSE)</f>
        <v>#REF!</v>
      </c>
      <c r="L81" s="8" t="e">
        <f ca="1">SUMIF(INDIRECT("'"&amp;$B81&amp;"'!$F$1:$F$999"), L$1, INDIRECT("'"&amp;$B81&amp;"'!$B$1:$B$999"))/VLOOKUP(L$1, Table1[#All],2, FALSE)</f>
        <v>#REF!</v>
      </c>
      <c r="M81" s="8" t="e">
        <f ca="1">SUMIF(INDIRECT("'"&amp;$B81&amp;"'!$F$1:$F$999"), M$1, INDIRECT("'"&amp;$B81&amp;"'!$B$1:$B$999"))/VLOOKUP(M$1, Table1[#All],2, FALSE)</f>
        <v>#REF!</v>
      </c>
      <c r="N81" s="8" t="e">
        <f ca="1">SUMIF(INDIRECT("'"&amp;$B81&amp;"'!$F$1:$F$999"), N$1, INDIRECT("'"&amp;$B81&amp;"'!$B$1:$B$999"))/VLOOKUP(N$1, Table1[#All],2, FALSE)</f>
        <v>#REF!</v>
      </c>
      <c r="O81" s="8" t="e">
        <f ca="1">SUMIF(INDIRECT("'"&amp;$B81&amp;"'!$F$1:$F$999"), O$1, INDIRECT("'"&amp;$B81&amp;"'!$B$1:$B$999"))/VLOOKUP(O$1, Table1[#All],2, FALSE)</f>
        <v>#REF!</v>
      </c>
      <c r="P81" s="8" t="e">
        <f ca="1">SUMIF(INDIRECT("'"&amp;$B81&amp;"'!$F$1:$F$999"), P$1, INDIRECT("'"&amp;$B81&amp;"'!$B$1:$B$999"))/VLOOKUP(P$1, Table1[#All],2, FALSE)</f>
        <v>#REF!</v>
      </c>
      <c r="Q81" s="8" t="e">
        <f ca="1">SUMIF(INDIRECT("'"&amp;$B81&amp;"'!$F$1:$F$999"), Q$1, INDIRECT("'"&amp;$B81&amp;"'!$B$1:$B$999"))/VLOOKUP(Q$1, Table1[#All],2, FALSE)</f>
        <v>#REF!</v>
      </c>
      <c r="R81" s="8" t="e">
        <f ca="1">SUMIF(INDIRECT("'"&amp;$B81&amp;"'!$F$1:$F$999"), R$1, INDIRECT("'"&amp;$B81&amp;"'!$B$1:$B$999"))/VLOOKUP(R$1, Table1[#All],2, FALSE)</f>
        <v>#REF!</v>
      </c>
      <c r="S81" s="8" t="e">
        <f ca="1">SUMIF(INDIRECT("'"&amp;$B81&amp;"'!$F$1:$F$999"), S$1, INDIRECT("'"&amp;$B81&amp;"'!$B$1:$B$999"))/VLOOKUP(S$1, Table1[#All],2, FALSE)</f>
        <v>#REF!</v>
      </c>
      <c r="T81" s="9" t="e">
        <f t="shared" ca="1" si="4"/>
        <v>#REF!</v>
      </c>
    </row>
    <row r="82" spans="1:20" x14ac:dyDescent="0.25">
      <c r="A82" s="13">
        <f t="shared" si="6"/>
        <v>45870</v>
      </c>
      <c r="B82" s="12" t="str">
        <f t="shared" si="5"/>
        <v>August 2025</v>
      </c>
      <c r="C82" s="8" t="e">
        <f ca="1">SUMIF(INDIRECT("'"&amp;$B82&amp;"'!$F$1:$F$999"), C$1, INDIRECT("'"&amp;$B82&amp;"'!$B$1:$B$999"))/VLOOKUP(C$1, Table1[#All],2, FALSE)</f>
        <v>#REF!</v>
      </c>
      <c r="D82" s="8" t="e">
        <f ca="1">SUMIF(INDIRECT("'"&amp;$B82&amp;"'!$F$1:$F$999"), D$1, INDIRECT("'"&amp;$B82&amp;"'!$B$1:$B$999"))/VLOOKUP(D$1, Table1[#All],2, FALSE)</f>
        <v>#REF!</v>
      </c>
      <c r="E82" s="8" t="e">
        <f ca="1">SUMIF(INDIRECT("'"&amp;$B82&amp;"'!$F$1:$F$999"), E$1, INDIRECT("'"&amp;$B82&amp;"'!$B$1:$B$999"))/VLOOKUP(E$1, Table1[#All],2, FALSE)</f>
        <v>#REF!</v>
      </c>
      <c r="F82" s="8" t="e">
        <f ca="1">SUMIF(INDIRECT("'"&amp;$B82&amp;"'!$F$1:$F$999"), F$1, INDIRECT("'"&amp;$B82&amp;"'!$B$1:$B$999"))/VLOOKUP(F$1, Table1[#All],2, FALSE)</f>
        <v>#REF!</v>
      </c>
      <c r="G82" s="8" t="e">
        <f ca="1">SUMIF(INDIRECT("'"&amp;$B82&amp;"'!$F$1:$F$999"), G$1, INDIRECT("'"&amp;$B82&amp;"'!$B$1:$B$999"))/VLOOKUP(G$1, Table1[#All],2, FALSE)</f>
        <v>#REF!</v>
      </c>
      <c r="H82" s="8" t="e">
        <f ca="1">SUMIF(INDIRECT("'"&amp;$B82&amp;"'!$F$1:$F$999"), H$1, INDIRECT("'"&amp;$B82&amp;"'!$B$1:$B$999"))/VLOOKUP(H$1, Table1[#All],2, FALSE)</f>
        <v>#REF!</v>
      </c>
      <c r="I82" s="8" t="e">
        <f ca="1">SUMIF(INDIRECT("'"&amp;$B82&amp;"'!$F$1:$F$999"), I$1, INDIRECT("'"&amp;$B82&amp;"'!$B$1:$B$999"))/VLOOKUP(I$1, Table1[#All],2, FALSE)</f>
        <v>#REF!</v>
      </c>
      <c r="J82" s="8" t="e">
        <f ca="1">SUMIF(INDIRECT("'"&amp;$B82&amp;"'!$F$1:$F$999"), J$1, INDIRECT("'"&amp;$B82&amp;"'!$B$1:$B$999"))/VLOOKUP(J$1, Table1[#All],2, FALSE)</f>
        <v>#REF!</v>
      </c>
      <c r="K82" s="8" t="e">
        <f ca="1">SUMIF(INDIRECT("'"&amp;$B82&amp;"'!$F$1:$F$999"), K$1, INDIRECT("'"&amp;$B82&amp;"'!$B$1:$B$999"))/VLOOKUP(K$1, Table1[#All],2, FALSE)</f>
        <v>#REF!</v>
      </c>
      <c r="L82" s="8" t="e">
        <f ca="1">SUMIF(INDIRECT("'"&amp;$B82&amp;"'!$F$1:$F$999"), L$1, INDIRECT("'"&amp;$B82&amp;"'!$B$1:$B$999"))/VLOOKUP(L$1, Table1[#All],2, FALSE)</f>
        <v>#REF!</v>
      </c>
      <c r="M82" s="8" t="e">
        <f ca="1">SUMIF(INDIRECT("'"&amp;$B82&amp;"'!$F$1:$F$999"), M$1, INDIRECT("'"&amp;$B82&amp;"'!$B$1:$B$999"))/VLOOKUP(M$1, Table1[#All],2, FALSE)</f>
        <v>#REF!</v>
      </c>
      <c r="N82" s="8" t="e">
        <f ca="1">SUMIF(INDIRECT("'"&amp;$B82&amp;"'!$F$1:$F$999"), N$1, INDIRECT("'"&amp;$B82&amp;"'!$B$1:$B$999"))/VLOOKUP(N$1, Table1[#All],2, FALSE)</f>
        <v>#REF!</v>
      </c>
      <c r="O82" s="8" t="e">
        <f ca="1">SUMIF(INDIRECT("'"&amp;$B82&amp;"'!$F$1:$F$999"), O$1, INDIRECT("'"&amp;$B82&amp;"'!$B$1:$B$999"))/VLOOKUP(O$1, Table1[#All],2, FALSE)</f>
        <v>#REF!</v>
      </c>
      <c r="P82" s="8" t="e">
        <f ca="1">SUMIF(INDIRECT("'"&amp;$B82&amp;"'!$F$1:$F$999"), P$1, INDIRECT("'"&amp;$B82&amp;"'!$B$1:$B$999"))/VLOOKUP(P$1, Table1[#All],2, FALSE)</f>
        <v>#REF!</v>
      </c>
      <c r="Q82" s="8" t="e">
        <f ca="1">SUMIF(INDIRECT("'"&amp;$B82&amp;"'!$F$1:$F$999"), Q$1, INDIRECT("'"&amp;$B82&amp;"'!$B$1:$B$999"))/VLOOKUP(Q$1, Table1[#All],2, FALSE)</f>
        <v>#REF!</v>
      </c>
      <c r="R82" s="8" t="e">
        <f ca="1">SUMIF(INDIRECT("'"&amp;$B82&amp;"'!$F$1:$F$999"), R$1, INDIRECT("'"&amp;$B82&amp;"'!$B$1:$B$999"))/VLOOKUP(R$1, Table1[#All],2, FALSE)</f>
        <v>#REF!</v>
      </c>
      <c r="S82" s="8" t="e">
        <f ca="1">SUMIF(INDIRECT("'"&amp;$B82&amp;"'!$F$1:$F$999"), S$1, INDIRECT("'"&amp;$B82&amp;"'!$B$1:$B$999"))/VLOOKUP(S$1, Table1[#All],2, FALSE)</f>
        <v>#REF!</v>
      </c>
      <c r="T82" s="9" t="e">
        <f t="shared" ca="1" si="4"/>
        <v>#REF!</v>
      </c>
    </row>
    <row r="83" spans="1:20" x14ac:dyDescent="0.25">
      <c r="A83" s="13">
        <f t="shared" si="6"/>
        <v>45901</v>
      </c>
      <c r="B83" s="12" t="str">
        <f t="shared" si="5"/>
        <v>September 2025</v>
      </c>
      <c r="C83" s="8" t="e">
        <f ca="1">SUMIF(INDIRECT("'"&amp;$B83&amp;"'!$F$1:$F$999"), C$1, INDIRECT("'"&amp;$B83&amp;"'!$B$1:$B$999"))/VLOOKUP(C$1, Table1[#All],2, FALSE)</f>
        <v>#REF!</v>
      </c>
      <c r="D83" s="8" t="e">
        <f ca="1">SUMIF(INDIRECT("'"&amp;$B83&amp;"'!$F$1:$F$999"), D$1, INDIRECT("'"&amp;$B83&amp;"'!$B$1:$B$999"))/VLOOKUP(D$1, Table1[#All],2, FALSE)</f>
        <v>#REF!</v>
      </c>
      <c r="E83" s="8" t="e">
        <f ca="1">SUMIF(INDIRECT("'"&amp;$B83&amp;"'!$F$1:$F$999"), E$1, INDIRECT("'"&amp;$B83&amp;"'!$B$1:$B$999"))/VLOOKUP(E$1, Table1[#All],2, FALSE)</f>
        <v>#REF!</v>
      </c>
      <c r="F83" s="8" t="e">
        <f ca="1">SUMIF(INDIRECT("'"&amp;$B83&amp;"'!$F$1:$F$999"), F$1, INDIRECT("'"&amp;$B83&amp;"'!$B$1:$B$999"))/VLOOKUP(F$1, Table1[#All],2, FALSE)</f>
        <v>#REF!</v>
      </c>
      <c r="G83" s="8" t="e">
        <f ca="1">SUMIF(INDIRECT("'"&amp;$B83&amp;"'!$F$1:$F$999"), G$1, INDIRECT("'"&amp;$B83&amp;"'!$B$1:$B$999"))/VLOOKUP(G$1, Table1[#All],2, FALSE)</f>
        <v>#REF!</v>
      </c>
      <c r="H83" s="8" t="e">
        <f ca="1">SUMIF(INDIRECT("'"&amp;$B83&amp;"'!$F$1:$F$999"), H$1, INDIRECT("'"&amp;$B83&amp;"'!$B$1:$B$999"))/VLOOKUP(H$1, Table1[#All],2, FALSE)</f>
        <v>#REF!</v>
      </c>
      <c r="I83" s="8" t="e">
        <f ca="1">SUMIF(INDIRECT("'"&amp;$B83&amp;"'!$F$1:$F$999"), I$1, INDIRECT("'"&amp;$B83&amp;"'!$B$1:$B$999"))/VLOOKUP(I$1, Table1[#All],2, FALSE)</f>
        <v>#REF!</v>
      </c>
      <c r="J83" s="8" t="e">
        <f ca="1">SUMIF(INDIRECT("'"&amp;$B83&amp;"'!$F$1:$F$999"), J$1, INDIRECT("'"&amp;$B83&amp;"'!$B$1:$B$999"))/VLOOKUP(J$1, Table1[#All],2, FALSE)</f>
        <v>#REF!</v>
      </c>
      <c r="K83" s="8" t="e">
        <f ca="1">SUMIF(INDIRECT("'"&amp;$B83&amp;"'!$F$1:$F$999"), K$1, INDIRECT("'"&amp;$B83&amp;"'!$B$1:$B$999"))/VLOOKUP(K$1, Table1[#All],2, FALSE)</f>
        <v>#REF!</v>
      </c>
      <c r="L83" s="8" t="e">
        <f ca="1">SUMIF(INDIRECT("'"&amp;$B83&amp;"'!$F$1:$F$999"), L$1, INDIRECT("'"&amp;$B83&amp;"'!$B$1:$B$999"))/VLOOKUP(L$1, Table1[#All],2, FALSE)</f>
        <v>#REF!</v>
      </c>
      <c r="M83" s="8" t="e">
        <f ca="1">SUMIF(INDIRECT("'"&amp;$B83&amp;"'!$F$1:$F$999"), M$1, INDIRECT("'"&amp;$B83&amp;"'!$B$1:$B$999"))/VLOOKUP(M$1, Table1[#All],2, FALSE)</f>
        <v>#REF!</v>
      </c>
      <c r="N83" s="8" t="e">
        <f ca="1">SUMIF(INDIRECT("'"&amp;$B83&amp;"'!$F$1:$F$999"), N$1, INDIRECT("'"&amp;$B83&amp;"'!$B$1:$B$999"))/VLOOKUP(N$1, Table1[#All],2, FALSE)</f>
        <v>#REF!</v>
      </c>
      <c r="O83" s="8" t="e">
        <f ca="1">SUMIF(INDIRECT("'"&amp;$B83&amp;"'!$F$1:$F$999"), O$1, INDIRECT("'"&amp;$B83&amp;"'!$B$1:$B$999"))/VLOOKUP(O$1, Table1[#All],2, FALSE)</f>
        <v>#REF!</v>
      </c>
      <c r="P83" s="8" t="e">
        <f ca="1">SUMIF(INDIRECT("'"&amp;$B83&amp;"'!$F$1:$F$999"), P$1, INDIRECT("'"&amp;$B83&amp;"'!$B$1:$B$999"))/VLOOKUP(P$1, Table1[#All],2, FALSE)</f>
        <v>#REF!</v>
      </c>
      <c r="Q83" s="8" t="e">
        <f ca="1">SUMIF(INDIRECT("'"&amp;$B83&amp;"'!$F$1:$F$999"), Q$1, INDIRECT("'"&amp;$B83&amp;"'!$B$1:$B$999"))/VLOOKUP(Q$1, Table1[#All],2, FALSE)</f>
        <v>#REF!</v>
      </c>
      <c r="R83" s="8" t="e">
        <f ca="1">SUMIF(INDIRECT("'"&amp;$B83&amp;"'!$F$1:$F$999"), R$1, INDIRECT("'"&amp;$B83&amp;"'!$B$1:$B$999"))/VLOOKUP(R$1, Table1[#All],2, FALSE)</f>
        <v>#REF!</v>
      </c>
      <c r="S83" s="8" t="e">
        <f ca="1">SUMIF(INDIRECT("'"&amp;$B83&amp;"'!$F$1:$F$999"), S$1, INDIRECT("'"&amp;$B83&amp;"'!$B$1:$B$999"))/VLOOKUP(S$1, Table1[#All],2, FALSE)</f>
        <v>#REF!</v>
      </c>
      <c r="T83" s="9" t="e">
        <f t="shared" ca="1" si="4"/>
        <v>#REF!</v>
      </c>
    </row>
    <row r="84" spans="1:20" x14ac:dyDescent="0.25">
      <c r="A84" s="13">
        <f t="shared" si="6"/>
        <v>45931</v>
      </c>
      <c r="B84" s="12" t="str">
        <f t="shared" si="5"/>
        <v>October 2025</v>
      </c>
      <c r="C84" s="8" t="e">
        <f ca="1">SUMIF(INDIRECT("'"&amp;$B84&amp;"'!$F$1:$F$999"), C$1, INDIRECT("'"&amp;$B84&amp;"'!$B$1:$B$999"))/VLOOKUP(C$1, Table1[#All],2, FALSE)</f>
        <v>#REF!</v>
      </c>
      <c r="D84" s="8" t="e">
        <f ca="1">SUMIF(INDIRECT("'"&amp;$B84&amp;"'!$F$1:$F$999"), D$1, INDIRECT("'"&amp;$B84&amp;"'!$B$1:$B$999"))/VLOOKUP(D$1, Table1[#All],2, FALSE)</f>
        <v>#REF!</v>
      </c>
      <c r="E84" s="8" t="e">
        <f ca="1">SUMIF(INDIRECT("'"&amp;$B84&amp;"'!$F$1:$F$999"), E$1, INDIRECT("'"&amp;$B84&amp;"'!$B$1:$B$999"))/VLOOKUP(E$1, Table1[#All],2, FALSE)</f>
        <v>#REF!</v>
      </c>
      <c r="F84" s="8" t="e">
        <f ca="1">SUMIF(INDIRECT("'"&amp;$B84&amp;"'!$F$1:$F$999"), F$1, INDIRECT("'"&amp;$B84&amp;"'!$B$1:$B$999"))/VLOOKUP(F$1, Table1[#All],2, FALSE)</f>
        <v>#REF!</v>
      </c>
      <c r="G84" s="8" t="e">
        <f ca="1">SUMIF(INDIRECT("'"&amp;$B84&amp;"'!$F$1:$F$999"), G$1, INDIRECT("'"&amp;$B84&amp;"'!$B$1:$B$999"))/VLOOKUP(G$1, Table1[#All],2, FALSE)</f>
        <v>#REF!</v>
      </c>
      <c r="H84" s="8" t="e">
        <f ca="1">SUMIF(INDIRECT("'"&amp;$B84&amp;"'!$F$1:$F$999"), H$1, INDIRECT("'"&amp;$B84&amp;"'!$B$1:$B$999"))/VLOOKUP(H$1, Table1[#All],2, FALSE)</f>
        <v>#REF!</v>
      </c>
      <c r="I84" s="8" t="e">
        <f ca="1">SUMIF(INDIRECT("'"&amp;$B84&amp;"'!$F$1:$F$999"), I$1, INDIRECT("'"&amp;$B84&amp;"'!$B$1:$B$999"))/VLOOKUP(I$1, Table1[#All],2, FALSE)</f>
        <v>#REF!</v>
      </c>
      <c r="J84" s="8" t="e">
        <f ca="1">SUMIF(INDIRECT("'"&amp;$B84&amp;"'!$F$1:$F$999"), J$1, INDIRECT("'"&amp;$B84&amp;"'!$B$1:$B$999"))/VLOOKUP(J$1, Table1[#All],2, FALSE)</f>
        <v>#REF!</v>
      </c>
      <c r="K84" s="8" t="e">
        <f ca="1">SUMIF(INDIRECT("'"&amp;$B84&amp;"'!$F$1:$F$999"), K$1, INDIRECT("'"&amp;$B84&amp;"'!$B$1:$B$999"))/VLOOKUP(K$1, Table1[#All],2, FALSE)</f>
        <v>#REF!</v>
      </c>
      <c r="L84" s="8" t="e">
        <f ca="1">SUMIF(INDIRECT("'"&amp;$B84&amp;"'!$F$1:$F$999"), L$1, INDIRECT("'"&amp;$B84&amp;"'!$B$1:$B$999"))/VLOOKUP(L$1, Table1[#All],2, FALSE)</f>
        <v>#REF!</v>
      </c>
      <c r="M84" s="8" t="e">
        <f ca="1">SUMIF(INDIRECT("'"&amp;$B84&amp;"'!$F$1:$F$999"), M$1, INDIRECT("'"&amp;$B84&amp;"'!$B$1:$B$999"))/VLOOKUP(M$1, Table1[#All],2, FALSE)</f>
        <v>#REF!</v>
      </c>
      <c r="N84" s="8" t="e">
        <f ca="1">SUMIF(INDIRECT("'"&amp;$B84&amp;"'!$F$1:$F$999"), N$1, INDIRECT("'"&amp;$B84&amp;"'!$B$1:$B$999"))/VLOOKUP(N$1, Table1[#All],2, FALSE)</f>
        <v>#REF!</v>
      </c>
      <c r="O84" s="8" t="e">
        <f ca="1">SUMIF(INDIRECT("'"&amp;$B84&amp;"'!$F$1:$F$999"), O$1, INDIRECT("'"&amp;$B84&amp;"'!$B$1:$B$999"))/VLOOKUP(O$1, Table1[#All],2, FALSE)</f>
        <v>#REF!</v>
      </c>
      <c r="P84" s="8" t="e">
        <f ca="1">SUMIF(INDIRECT("'"&amp;$B84&amp;"'!$F$1:$F$999"), P$1, INDIRECT("'"&amp;$B84&amp;"'!$B$1:$B$999"))/VLOOKUP(P$1, Table1[#All],2, FALSE)</f>
        <v>#REF!</v>
      </c>
      <c r="Q84" s="8" t="e">
        <f ca="1">SUMIF(INDIRECT("'"&amp;$B84&amp;"'!$F$1:$F$999"), Q$1, INDIRECT("'"&amp;$B84&amp;"'!$B$1:$B$999"))/VLOOKUP(Q$1, Table1[#All],2, FALSE)</f>
        <v>#REF!</v>
      </c>
      <c r="R84" s="8" t="e">
        <f ca="1">SUMIF(INDIRECT("'"&amp;$B84&amp;"'!$F$1:$F$999"), R$1, INDIRECT("'"&amp;$B84&amp;"'!$B$1:$B$999"))/VLOOKUP(R$1, Table1[#All],2, FALSE)</f>
        <v>#REF!</v>
      </c>
      <c r="S84" s="8" t="e">
        <f ca="1">SUMIF(INDIRECT("'"&amp;$B84&amp;"'!$F$1:$F$999"), S$1, INDIRECT("'"&amp;$B84&amp;"'!$B$1:$B$999"))/VLOOKUP(S$1, Table1[#All],2, FALSE)</f>
        <v>#REF!</v>
      </c>
      <c r="T84" s="9" t="e">
        <f t="shared" ca="1" si="4"/>
        <v>#REF!</v>
      </c>
    </row>
    <row r="85" spans="1:20" x14ac:dyDescent="0.25">
      <c r="A85" s="13">
        <f t="shared" si="6"/>
        <v>45962</v>
      </c>
      <c r="B85" s="12" t="str">
        <f t="shared" si="5"/>
        <v>November 2025</v>
      </c>
      <c r="C85" s="8" t="e">
        <f ca="1">SUMIF(INDIRECT("'"&amp;$B85&amp;"'!$F$1:$F$999"), C$1, INDIRECT("'"&amp;$B85&amp;"'!$B$1:$B$999"))/VLOOKUP(C$1, Table1[#All],2, FALSE)</f>
        <v>#REF!</v>
      </c>
      <c r="D85" s="8" t="e">
        <f ca="1">SUMIF(INDIRECT("'"&amp;$B85&amp;"'!$F$1:$F$999"), D$1, INDIRECT("'"&amp;$B85&amp;"'!$B$1:$B$999"))/VLOOKUP(D$1, Table1[#All],2, FALSE)</f>
        <v>#REF!</v>
      </c>
      <c r="E85" s="8" t="e">
        <f ca="1">SUMIF(INDIRECT("'"&amp;$B85&amp;"'!$F$1:$F$999"), E$1, INDIRECT("'"&amp;$B85&amp;"'!$B$1:$B$999"))/VLOOKUP(E$1, Table1[#All],2, FALSE)</f>
        <v>#REF!</v>
      </c>
      <c r="F85" s="8" t="e">
        <f ca="1">SUMIF(INDIRECT("'"&amp;$B85&amp;"'!$F$1:$F$999"), F$1, INDIRECT("'"&amp;$B85&amp;"'!$B$1:$B$999"))/VLOOKUP(F$1, Table1[#All],2, FALSE)</f>
        <v>#REF!</v>
      </c>
      <c r="G85" s="8" t="e">
        <f ca="1">SUMIF(INDIRECT("'"&amp;$B85&amp;"'!$F$1:$F$999"), G$1, INDIRECT("'"&amp;$B85&amp;"'!$B$1:$B$999"))/VLOOKUP(G$1, Table1[#All],2, FALSE)</f>
        <v>#REF!</v>
      </c>
      <c r="H85" s="8" t="e">
        <f ca="1">SUMIF(INDIRECT("'"&amp;$B85&amp;"'!$F$1:$F$999"), H$1, INDIRECT("'"&amp;$B85&amp;"'!$B$1:$B$999"))/VLOOKUP(H$1, Table1[#All],2, FALSE)</f>
        <v>#REF!</v>
      </c>
      <c r="I85" s="8" t="e">
        <f ca="1">SUMIF(INDIRECT("'"&amp;$B85&amp;"'!$F$1:$F$999"), I$1, INDIRECT("'"&amp;$B85&amp;"'!$B$1:$B$999"))/VLOOKUP(I$1, Table1[#All],2, FALSE)</f>
        <v>#REF!</v>
      </c>
      <c r="J85" s="8" t="e">
        <f ca="1">SUMIF(INDIRECT("'"&amp;$B85&amp;"'!$F$1:$F$999"), J$1, INDIRECT("'"&amp;$B85&amp;"'!$B$1:$B$999"))/VLOOKUP(J$1, Table1[#All],2, FALSE)</f>
        <v>#REF!</v>
      </c>
      <c r="K85" s="8" t="e">
        <f ca="1">SUMIF(INDIRECT("'"&amp;$B85&amp;"'!$F$1:$F$999"), K$1, INDIRECT("'"&amp;$B85&amp;"'!$B$1:$B$999"))/VLOOKUP(K$1, Table1[#All],2, FALSE)</f>
        <v>#REF!</v>
      </c>
      <c r="L85" s="8" t="e">
        <f ca="1">SUMIF(INDIRECT("'"&amp;$B85&amp;"'!$F$1:$F$999"), L$1, INDIRECT("'"&amp;$B85&amp;"'!$B$1:$B$999"))/VLOOKUP(L$1, Table1[#All],2, FALSE)</f>
        <v>#REF!</v>
      </c>
      <c r="M85" s="8" t="e">
        <f ca="1">SUMIF(INDIRECT("'"&amp;$B85&amp;"'!$F$1:$F$999"), M$1, INDIRECT("'"&amp;$B85&amp;"'!$B$1:$B$999"))/VLOOKUP(M$1, Table1[#All],2, FALSE)</f>
        <v>#REF!</v>
      </c>
      <c r="N85" s="8" t="e">
        <f ca="1">SUMIF(INDIRECT("'"&amp;$B85&amp;"'!$F$1:$F$999"), N$1, INDIRECT("'"&amp;$B85&amp;"'!$B$1:$B$999"))/VLOOKUP(N$1, Table1[#All],2, FALSE)</f>
        <v>#REF!</v>
      </c>
      <c r="O85" s="8" t="e">
        <f ca="1">SUMIF(INDIRECT("'"&amp;$B85&amp;"'!$F$1:$F$999"), O$1, INDIRECT("'"&amp;$B85&amp;"'!$B$1:$B$999"))/VLOOKUP(O$1, Table1[#All],2, FALSE)</f>
        <v>#REF!</v>
      </c>
      <c r="P85" s="8" t="e">
        <f ca="1">SUMIF(INDIRECT("'"&amp;$B85&amp;"'!$F$1:$F$999"), P$1, INDIRECT("'"&amp;$B85&amp;"'!$B$1:$B$999"))/VLOOKUP(P$1, Table1[#All],2, FALSE)</f>
        <v>#REF!</v>
      </c>
      <c r="Q85" s="8" t="e">
        <f ca="1">SUMIF(INDIRECT("'"&amp;$B85&amp;"'!$F$1:$F$999"), Q$1, INDIRECT("'"&amp;$B85&amp;"'!$B$1:$B$999"))/VLOOKUP(Q$1, Table1[#All],2, FALSE)</f>
        <v>#REF!</v>
      </c>
      <c r="R85" s="8" t="e">
        <f ca="1">SUMIF(INDIRECT("'"&amp;$B85&amp;"'!$F$1:$F$999"), R$1, INDIRECT("'"&amp;$B85&amp;"'!$B$1:$B$999"))/VLOOKUP(R$1, Table1[#All],2, FALSE)</f>
        <v>#REF!</v>
      </c>
      <c r="S85" s="8" t="e">
        <f ca="1">SUMIF(INDIRECT("'"&amp;$B85&amp;"'!$F$1:$F$999"), S$1, INDIRECT("'"&amp;$B85&amp;"'!$B$1:$B$999"))/VLOOKUP(S$1, Table1[#All],2, FALSE)</f>
        <v>#REF!</v>
      </c>
      <c r="T85" s="9" t="e">
        <f t="shared" ca="1" si="4"/>
        <v>#REF!</v>
      </c>
    </row>
    <row r="86" spans="1:20" x14ac:dyDescent="0.25">
      <c r="A86" s="13">
        <f t="shared" si="6"/>
        <v>45992</v>
      </c>
      <c r="B86" s="12" t="str">
        <f t="shared" si="5"/>
        <v>December 2025</v>
      </c>
      <c r="C86" s="8" t="e">
        <f ca="1">SUMIF(INDIRECT("'"&amp;$B86&amp;"'!$F$1:$F$999"), C$1, INDIRECT("'"&amp;$B86&amp;"'!$B$1:$B$999"))/VLOOKUP(C$1, Table1[#All],2, FALSE)</f>
        <v>#REF!</v>
      </c>
      <c r="D86" s="8" t="e">
        <f ca="1">SUMIF(INDIRECT("'"&amp;$B86&amp;"'!$F$1:$F$999"), D$1, INDIRECT("'"&amp;$B86&amp;"'!$B$1:$B$999"))/VLOOKUP(D$1, Table1[#All],2, FALSE)</f>
        <v>#REF!</v>
      </c>
      <c r="E86" s="8" t="e">
        <f ca="1">SUMIF(INDIRECT("'"&amp;$B86&amp;"'!$F$1:$F$999"), E$1, INDIRECT("'"&amp;$B86&amp;"'!$B$1:$B$999"))/VLOOKUP(E$1, Table1[#All],2, FALSE)</f>
        <v>#REF!</v>
      </c>
      <c r="F86" s="8" t="e">
        <f ca="1">SUMIF(INDIRECT("'"&amp;$B86&amp;"'!$F$1:$F$999"), F$1, INDIRECT("'"&amp;$B86&amp;"'!$B$1:$B$999"))/VLOOKUP(F$1, Table1[#All],2, FALSE)</f>
        <v>#REF!</v>
      </c>
      <c r="G86" s="8" t="e">
        <f ca="1">SUMIF(INDIRECT("'"&amp;$B86&amp;"'!$F$1:$F$999"), G$1, INDIRECT("'"&amp;$B86&amp;"'!$B$1:$B$999"))/VLOOKUP(G$1, Table1[#All],2, FALSE)</f>
        <v>#REF!</v>
      </c>
      <c r="H86" s="8" t="e">
        <f ca="1">SUMIF(INDIRECT("'"&amp;$B86&amp;"'!$F$1:$F$999"), H$1, INDIRECT("'"&amp;$B86&amp;"'!$B$1:$B$999"))/VLOOKUP(H$1, Table1[#All],2, FALSE)</f>
        <v>#REF!</v>
      </c>
      <c r="I86" s="8" t="e">
        <f ca="1">SUMIF(INDIRECT("'"&amp;$B86&amp;"'!$F$1:$F$999"), I$1, INDIRECT("'"&amp;$B86&amp;"'!$B$1:$B$999"))/VLOOKUP(I$1, Table1[#All],2, FALSE)</f>
        <v>#REF!</v>
      </c>
      <c r="J86" s="8" t="e">
        <f ca="1">SUMIF(INDIRECT("'"&amp;$B86&amp;"'!$F$1:$F$999"), J$1, INDIRECT("'"&amp;$B86&amp;"'!$B$1:$B$999"))/VLOOKUP(J$1, Table1[#All],2, FALSE)</f>
        <v>#REF!</v>
      </c>
      <c r="K86" s="8" t="e">
        <f ca="1">SUMIF(INDIRECT("'"&amp;$B86&amp;"'!$F$1:$F$999"), K$1, INDIRECT("'"&amp;$B86&amp;"'!$B$1:$B$999"))/VLOOKUP(K$1, Table1[#All],2, FALSE)</f>
        <v>#REF!</v>
      </c>
      <c r="L86" s="8" t="e">
        <f ca="1">SUMIF(INDIRECT("'"&amp;$B86&amp;"'!$F$1:$F$999"), L$1, INDIRECT("'"&amp;$B86&amp;"'!$B$1:$B$999"))/VLOOKUP(L$1, Table1[#All],2, FALSE)</f>
        <v>#REF!</v>
      </c>
      <c r="M86" s="8" t="e">
        <f ca="1">SUMIF(INDIRECT("'"&amp;$B86&amp;"'!$F$1:$F$999"), M$1, INDIRECT("'"&amp;$B86&amp;"'!$B$1:$B$999"))/VLOOKUP(M$1, Table1[#All],2, FALSE)</f>
        <v>#REF!</v>
      </c>
      <c r="N86" s="8" t="e">
        <f ca="1">SUMIF(INDIRECT("'"&amp;$B86&amp;"'!$F$1:$F$999"), N$1, INDIRECT("'"&amp;$B86&amp;"'!$B$1:$B$999"))/VLOOKUP(N$1, Table1[#All],2, FALSE)</f>
        <v>#REF!</v>
      </c>
      <c r="O86" s="8" t="e">
        <f ca="1">SUMIF(INDIRECT("'"&amp;$B86&amp;"'!$F$1:$F$999"), O$1, INDIRECT("'"&amp;$B86&amp;"'!$B$1:$B$999"))/VLOOKUP(O$1, Table1[#All],2, FALSE)</f>
        <v>#REF!</v>
      </c>
      <c r="P86" s="8" t="e">
        <f ca="1">SUMIF(INDIRECT("'"&amp;$B86&amp;"'!$F$1:$F$999"), P$1, INDIRECT("'"&amp;$B86&amp;"'!$B$1:$B$999"))/VLOOKUP(P$1, Table1[#All],2, FALSE)</f>
        <v>#REF!</v>
      </c>
      <c r="Q86" s="8" t="e">
        <f ca="1">SUMIF(INDIRECT("'"&amp;$B86&amp;"'!$F$1:$F$999"), Q$1, INDIRECT("'"&amp;$B86&amp;"'!$B$1:$B$999"))/VLOOKUP(Q$1, Table1[#All],2, FALSE)</f>
        <v>#REF!</v>
      </c>
      <c r="R86" s="8" t="e">
        <f ca="1">SUMIF(INDIRECT("'"&amp;$B86&amp;"'!$F$1:$F$999"), R$1, INDIRECT("'"&amp;$B86&amp;"'!$B$1:$B$999"))/VLOOKUP(R$1, Table1[#All],2, FALSE)</f>
        <v>#REF!</v>
      </c>
      <c r="S86" s="8" t="e">
        <f ca="1">SUMIF(INDIRECT("'"&amp;$B86&amp;"'!$F$1:$F$999"), S$1, INDIRECT("'"&amp;$B86&amp;"'!$B$1:$B$999"))/VLOOKUP(S$1, Table1[#All],2, FALSE)</f>
        <v>#REF!</v>
      </c>
      <c r="T86" s="9" t="e">
        <f t="shared" ca="1" si="4"/>
        <v>#REF!</v>
      </c>
    </row>
    <row r="87" spans="1:20" x14ac:dyDescent="0.25">
      <c r="A87" s="13">
        <f t="shared" si="6"/>
        <v>46023</v>
      </c>
      <c r="B87" s="12" t="str">
        <f t="shared" si="5"/>
        <v>January 2026</v>
      </c>
      <c r="C87" s="8" t="e">
        <f ca="1">SUMIF(INDIRECT("'"&amp;$B87&amp;"'!$F$1:$F$999"), C$1, INDIRECT("'"&amp;$B87&amp;"'!$B$1:$B$999"))/VLOOKUP(C$1, Table1[#All],2, FALSE)</f>
        <v>#REF!</v>
      </c>
      <c r="D87" s="8" t="e">
        <f ca="1">SUMIF(INDIRECT("'"&amp;$B87&amp;"'!$F$1:$F$999"), D$1, INDIRECT("'"&amp;$B87&amp;"'!$B$1:$B$999"))/VLOOKUP(D$1, Table1[#All],2, FALSE)</f>
        <v>#REF!</v>
      </c>
      <c r="E87" s="8" t="e">
        <f ca="1">SUMIF(INDIRECT("'"&amp;$B87&amp;"'!$F$1:$F$999"), E$1, INDIRECT("'"&amp;$B87&amp;"'!$B$1:$B$999"))/VLOOKUP(E$1, Table1[#All],2, FALSE)</f>
        <v>#REF!</v>
      </c>
      <c r="F87" s="8" t="e">
        <f ca="1">SUMIF(INDIRECT("'"&amp;$B87&amp;"'!$F$1:$F$999"), F$1, INDIRECT("'"&amp;$B87&amp;"'!$B$1:$B$999"))/VLOOKUP(F$1, Table1[#All],2, FALSE)</f>
        <v>#REF!</v>
      </c>
      <c r="G87" s="8" t="e">
        <f ca="1">SUMIF(INDIRECT("'"&amp;$B87&amp;"'!$F$1:$F$999"), G$1, INDIRECT("'"&amp;$B87&amp;"'!$B$1:$B$999"))/VLOOKUP(G$1, Table1[#All],2, FALSE)</f>
        <v>#REF!</v>
      </c>
      <c r="H87" s="8" t="e">
        <f ca="1">SUMIF(INDIRECT("'"&amp;$B87&amp;"'!$F$1:$F$999"), H$1, INDIRECT("'"&amp;$B87&amp;"'!$B$1:$B$999"))/VLOOKUP(H$1, Table1[#All],2, FALSE)</f>
        <v>#REF!</v>
      </c>
      <c r="I87" s="8" t="e">
        <f ca="1">SUMIF(INDIRECT("'"&amp;$B87&amp;"'!$F$1:$F$999"), I$1, INDIRECT("'"&amp;$B87&amp;"'!$B$1:$B$999"))/VLOOKUP(I$1, Table1[#All],2, FALSE)</f>
        <v>#REF!</v>
      </c>
      <c r="J87" s="8" t="e">
        <f ca="1">SUMIF(INDIRECT("'"&amp;$B87&amp;"'!$F$1:$F$999"), J$1, INDIRECT("'"&amp;$B87&amp;"'!$B$1:$B$999"))/VLOOKUP(J$1, Table1[#All],2, FALSE)</f>
        <v>#REF!</v>
      </c>
      <c r="K87" s="8" t="e">
        <f ca="1">SUMIF(INDIRECT("'"&amp;$B87&amp;"'!$F$1:$F$999"), K$1, INDIRECT("'"&amp;$B87&amp;"'!$B$1:$B$999"))/VLOOKUP(K$1, Table1[#All],2, FALSE)</f>
        <v>#REF!</v>
      </c>
      <c r="L87" s="8" t="e">
        <f ca="1">SUMIF(INDIRECT("'"&amp;$B87&amp;"'!$F$1:$F$999"), L$1, INDIRECT("'"&amp;$B87&amp;"'!$B$1:$B$999"))/VLOOKUP(L$1, Table1[#All],2, FALSE)</f>
        <v>#REF!</v>
      </c>
      <c r="M87" s="8" t="e">
        <f ca="1">SUMIF(INDIRECT("'"&amp;$B87&amp;"'!$F$1:$F$999"), M$1, INDIRECT("'"&amp;$B87&amp;"'!$B$1:$B$999"))/VLOOKUP(M$1, Table1[#All],2, FALSE)</f>
        <v>#REF!</v>
      </c>
      <c r="N87" s="8" t="e">
        <f ca="1">SUMIF(INDIRECT("'"&amp;$B87&amp;"'!$F$1:$F$999"), N$1, INDIRECT("'"&amp;$B87&amp;"'!$B$1:$B$999"))/VLOOKUP(N$1, Table1[#All],2, FALSE)</f>
        <v>#REF!</v>
      </c>
      <c r="O87" s="8" t="e">
        <f ca="1">SUMIF(INDIRECT("'"&amp;$B87&amp;"'!$F$1:$F$999"), O$1, INDIRECT("'"&amp;$B87&amp;"'!$B$1:$B$999"))/VLOOKUP(O$1, Table1[#All],2, FALSE)</f>
        <v>#REF!</v>
      </c>
      <c r="P87" s="8" t="e">
        <f ca="1">SUMIF(INDIRECT("'"&amp;$B87&amp;"'!$F$1:$F$999"), P$1, INDIRECT("'"&amp;$B87&amp;"'!$B$1:$B$999"))/VLOOKUP(P$1, Table1[#All],2, FALSE)</f>
        <v>#REF!</v>
      </c>
      <c r="Q87" s="8" t="e">
        <f ca="1">SUMIF(INDIRECT("'"&amp;$B87&amp;"'!$F$1:$F$999"), Q$1, INDIRECT("'"&amp;$B87&amp;"'!$B$1:$B$999"))/VLOOKUP(Q$1, Table1[#All],2, FALSE)</f>
        <v>#REF!</v>
      </c>
      <c r="R87" s="8" t="e">
        <f ca="1">SUMIF(INDIRECT("'"&amp;$B87&amp;"'!$F$1:$F$999"), R$1, INDIRECT("'"&amp;$B87&amp;"'!$B$1:$B$999"))/VLOOKUP(R$1, Table1[#All],2, FALSE)</f>
        <v>#REF!</v>
      </c>
      <c r="S87" s="8" t="e">
        <f ca="1">SUMIF(INDIRECT("'"&amp;$B87&amp;"'!$F$1:$F$999"), S$1, INDIRECT("'"&amp;$B87&amp;"'!$B$1:$B$999"))/VLOOKUP(S$1, Table1[#All],2, FALSE)</f>
        <v>#REF!</v>
      </c>
      <c r="T87" s="9" t="e">
        <f t="shared" ca="1" si="4"/>
        <v>#REF!</v>
      </c>
    </row>
    <row r="88" spans="1:20" x14ac:dyDescent="0.25">
      <c r="A88" s="13">
        <f t="shared" si="6"/>
        <v>46054</v>
      </c>
      <c r="B88" s="12" t="str">
        <f t="shared" si="5"/>
        <v>February 2026</v>
      </c>
      <c r="C88" s="8" t="e">
        <f ca="1">SUMIF(INDIRECT("'"&amp;$B88&amp;"'!$F$1:$F$999"), C$1, INDIRECT("'"&amp;$B88&amp;"'!$B$1:$B$999"))/VLOOKUP(C$1, Table1[#All],2, FALSE)</f>
        <v>#REF!</v>
      </c>
      <c r="D88" s="8" t="e">
        <f ca="1">SUMIF(INDIRECT("'"&amp;$B88&amp;"'!$F$1:$F$999"), D$1, INDIRECT("'"&amp;$B88&amp;"'!$B$1:$B$999"))/VLOOKUP(D$1, Table1[#All],2, FALSE)</f>
        <v>#REF!</v>
      </c>
      <c r="E88" s="8" t="e">
        <f ca="1">SUMIF(INDIRECT("'"&amp;$B88&amp;"'!$F$1:$F$999"), E$1, INDIRECT("'"&amp;$B88&amp;"'!$B$1:$B$999"))/VLOOKUP(E$1, Table1[#All],2, FALSE)</f>
        <v>#REF!</v>
      </c>
      <c r="F88" s="8" t="e">
        <f ca="1">SUMIF(INDIRECT("'"&amp;$B88&amp;"'!$F$1:$F$999"), F$1, INDIRECT("'"&amp;$B88&amp;"'!$B$1:$B$999"))/VLOOKUP(F$1, Table1[#All],2, FALSE)</f>
        <v>#REF!</v>
      </c>
      <c r="G88" s="8" t="e">
        <f ca="1">SUMIF(INDIRECT("'"&amp;$B88&amp;"'!$F$1:$F$999"), G$1, INDIRECT("'"&amp;$B88&amp;"'!$B$1:$B$999"))/VLOOKUP(G$1, Table1[#All],2, FALSE)</f>
        <v>#REF!</v>
      </c>
      <c r="H88" s="8" t="e">
        <f ca="1">SUMIF(INDIRECT("'"&amp;$B88&amp;"'!$F$1:$F$999"), H$1, INDIRECT("'"&amp;$B88&amp;"'!$B$1:$B$999"))/VLOOKUP(H$1, Table1[#All],2, FALSE)</f>
        <v>#REF!</v>
      </c>
      <c r="I88" s="8" t="e">
        <f ca="1">SUMIF(INDIRECT("'"&amp;$B88&amp;"'!$F$1:$F$999"), I$1, INDIRECT("'"&amp;$B88&amp;"'!$B$1:$B$999"))/VLOOKUP(I$1, Table1[#All],2, FALSE)</f>
        <v>#REF!</v>
      </c>
      <c r="J88" s="8" t="e">
        <f ca="1">SUMIF(INDIRECT("'"&amp;$B88&amp;"'!$F$1:$F$999"), J$1, INDIRECT("'"&amp;$B88&amp;"'!$B$1:$B$999"))/VLOOKUP(J$1, Table1[#All],2, FALSE)</f>
        <v>#REF!</v>
      </c>
      <c r="K88" s="8" t="e">
        <f ca="1">SUMIF(INDIRECT("'"&amp;$B88&amp;"'!$F$1:$F$999"), K$1, INDIRECT("'"&amp;$B88&amp;"'!$B$1:$B$999"))/VLOOKUP(K$1, Table1[#All],2, FALSE)</f>
        <v>#REF!</v>
      </c>
      <c r="L88" s="8" t="e">
        <f ca="1">SUMIF(INDIRECT("'"&amp;$B88&amp;"'!$F$1:$F$999"), L$1, INDIRECT("'"&amp;$B88&amp;"'!$B$1:$B$999"))/VLOOKUP(L$1, Table1[#All],2, FALSE)</f>
        <v>#REF!</v>
      </c>
      <c r="M88" s="8" t="e">
        <f ca="1">SUMIF(INDIRECT("'"&amp;$B88&amp;"'!$F$1:$F$999"), M$1, INDIRECT("'"&amp;$B88&amp;"'!$B$1:$B$999"))/VLOOKUP(M$1, Table1[#All],2, FALSE)</f>
        <v>#REF!</v>
      </c>
      <c r="N88" s="8" t="e">
        <f ca="1">SUMIF(INDIRECT("'"&amp;$B88&amp;"'!$F$1:$F$999"), N$1, INDIRECT("'"&amp;$B88&amp;"'!$B$1:$B$999"))/VLOOKUP(N$1, Table1[#All],2, FALSE)</f>
        <v>#REF!</v>
      </c>
      <c r="O88" s="8" t="e">
        <f ca="1">SUMIF(INDIRECT("'"&amp;$B88&amp;"'!$F$1:$F$999"), O$1, INDIRECT("'"&amp;$B88&amp;"'!$B$1:$B$999"))/VLOOKUP(O$1, Table1[#All],2, FALSE)</f>
        <v>#REF!</v>
      </c>
      <c r="P88" s="8" t="e">
        <f ca="1">SUMIF(INDIRECT("'"&amp;$B88&amp;"'!$F$1:$F$999"), P$1, INDIRECT("'"&amp;$B88&amp;"'!$B$1:$B$999"))/VLOOKUP(P$1, Table1[#All],2, FALSE)</f>
        <v>#REF!</v>
      </c>
      <c r="Q88" s="8" t="e">
        <f ca="1">SUMIF(INDIRECT("'"&amp;$B88&amp;"'!$F$1:$F$999"), Q$1, INDIRECT("'"&amp;$B88&amp;"'!$B$1:$B$999"))/VLOOKUP(Q$1, Table1[#All],2, FALSE)</f>
        <v>#REF!</v>
      </c>
      <c r="R88" s="8" t="e">
        <f ca="1">SUMIF(INDIRECT("'"&amp;$B88&amp;"'!$F$1:$F$999"), R$1, INDIRECT("'"&amp;$B88&amp;"'!$B$1:$B$999"))/VLOOKUP(R$1, Table1[#All],2, FALSE)</f>
        <v>#REF!</v>
      </c>
      <c r="S88" s="8" t="e">
        <f ca="1">SUMIF(INDIRECT("'"&amp;$B88&amp;"'!$F$1:$F$999"), S$1, INDIRECT("'"&amp;$B88&amp;"'!$B$1:$B$999"))/VLOOKUP(S$1, Table1[#All],2, FALSE)</f>
        <v>#REF!</v>
      </c>
      <c r="T88" s="9" t="e">
        <f t="shared" ca="1" si="4"/>
        <v>#REF!</v>
      </c>
    </row>
    <row r="89" spans="1:20" x14ac:dyDescent="0.25">
      <c r="A89" s="13">
        <f t="shared" si="6"/>
        <v>46082</v>
      </c>
      <c r="B89" s="12" t="str">
        <f t="shared" si="5"/>
        <v>March 2026</v>
      </c>
      <c r="C89" s="8" t="e">
        <f ca="1">SUMIF(INDIRECT("'"&amp;$B89&amp;"'!$F$1:$F$999"), C$1, INDIRECT("'"&amp;$B89&amp;"'!$B$1:$B$999"))/VLOOKUP(C$1, Table1[#All],2, FALSE)</f>
        <v>#REF!</v>
      </c>
      <c r="D89" s="8" t="e">
        <f ca="1">SUMIF(INDIRECT("'"&amp;$B89&amp;"'!$F$1:$F$999"), D$1, INDIRECT("'"&amp;$B89&amp;"'!$B$1:$B$999"))/VLOOKUP(D$1, Table1[#All],2, FALSE)</f>
        <v>#REF!</v>
      </c>
      <c r="E89" s="8" t="e">
        <f ca="1">SUMIF(INDIRECT("'"&amp;$B89&amp;"'!$F$1:$F$999"), E$1, INDIRECT("'"&amp;$B89&amp;"'!$B$1:$B$999"))/VLOOKUP(E$1, Table1[#All],2, FALSE)</f>
        <v>#REF!</v>
      </c>
      <c r="F89" s="8" t="e">
        <f ca="1">SUMIF(INDIRECT("'"&amp;$B89&amp;"'!$F$1:$F$999"), F$1, INDIRECT("'"&amp;$B89&amp;"'!$B$1:$B$999"))/VLOOKUP(F$1, Table1[#All],2, FALSE)</f>
        <v>#REF!</v>
      </c>
      <c r="G89" s="8" t="e">
        <f ca="1">SUMIF(INDIRECT("'"&amp;$B89&amp;"'!$F$1:$F$999"), G$1, INDIRECT("'"&amp;$B89&amp;"'!$B$1:$B$999"))/VLOOKUP(G$1, Table1[#All],2, FALSE)</f>
        <v>#REF!</v>
      </c>
      <c r="H89" s="8" t="e">
        <f ca="1">SUMIF(INDIRECT("'"&amp;$B89&amp;"'!$F$1:$F$999"), H$1, INDIRECT("'"&amp;$B89&amp;"'!$B$1:$B$999"))/VLOOKUP(H$1, Table1[#All],2, FALSE)</f>
        <v>#REF!</v>
      </c>
      <c r="I89" s="8" t="e">
        <f ca="1">SUMIF(INDIRECT("'"&amp;$B89&amp;"'!$F$1:$F$999"), I$1, INDIRECT("'"&amp;$B89&amp;"'!$B$1:$B$999"))/VLOOKUP(I$1, Table1[#All],2, FALSE)</f>
        <v>#REF!</v>
      </c>
      <c r="J89" s="8" t="e">
        <f ca="1">SUMIF(INDIRECT("'"&amp;$B89&amp;"'!$F$1:$F$999"), J$1, INDIRECT("'"&amp;$B89&amp;"'!$B$1:$B$999"))/VLOOKUP(J$1, Table1[#All],2, FALSE)</f>
        <v>#REF!</v>
      </c>
      <c r="K89" s="8" t="e">
        <f ca="1">SUMIF(INDIRECT("'"&amp;$B89&amp;"'!$F$1:$F$999"), K$1, INDIRECT("'"&amp;$B89&amp;"'!$B$1:$B$999"))/VLOOKUP(K$1, Table1[#All],2, FALSE)</f>
        <v>#REF!</v>
      </c>
      <c r="L89" s="8" t="e">
        <f ca="1">SUMIF(INDIRECT("'"&amp;$B89&amp;"'!$F$1:$F$999"), L$1, INDIRECT("'"&amp;$B89&amp;"'!$B$1:$B$999"))/VLOOKUP(L$1, Table1[#All],2, FALSE)</f>
        <v>#REF!</v>
      </c>
      <c r="M89" s="8" t="e">
        <f ca="1">SUMIF(INDIRECT("'"&amp;$B89&amp;"'!$F$1:$F$999"), M$1, INDIRECT("'"&amp;$B89&amp;"'!$B$1:$B$999"))/VLOOKUP(M$1, Table1[#All],2, FALSE)</f>
        <v>#REF!</v>
      </c>
      <c r="N89" s="8" t="e">
        <f ca="1">SUMIF(INDIRECT("'"&amp;$B89&amp;"'!$F$1:$F$999"), N$1, INDIRECT("'"&amp;$B89&amp;"'!$B$1:$B$999"))/VLOOKUP(N$1, Table1[#All],2, FALSE)</f>
        <v>#REF!</v>
      </c>
      <c r="O89" s="8" t="e">
        <f ca="1">SUMIF(INDIRECT("'"&amp;$B89&amp;"'!$F$1:$F$999"), O$1, INDIRECT("'"&amp;$B89&amp;"'!$B$1:$B$999"))/VLOOKUP(O$1, Table1[#All],2, FALSE)</f>
        <v>#REF!</v>
      </c>
      <c r="P89" s="8" t="e">
        <f ca="1">SUMIF(INDIRECT("'"&amp;$B89&amp;"'!$F$1:$F$999"), P$1, INDIRECT("'"&amp;$B89&amp;"'!$B$1:$B$999"))/VLOOKUP(P$1, Table1[#All],2, FALSE)</f>
        <v>#REF!</v>
      </c>
      <c r="Q89" s="8" t="e">
        <f ca="1">SUMIF(INDIRECT("'"&amp;$B89&amp;"'!$F$1:$F$999"), Q$1, INDIRECT("'"&amp;$B89&amp;"'!$B$1:$B$999"))/VLOOKUP(Q$1, Table1[#All],2, FALSE)</f>
        <v>#REF!</v>
      </c>
      <c r="R89" s="8" t="e">
        <f ca="1">SUMIF(INDIRECT("'"&amp;$B89&amp;"'!$F$1:$F$999"), R$1, INDIRECT("'"&amp;$B89&amp;"'!$B$1:$B$999"))/VLOOKUP(R$1, Table1[#All],2, FALSE)</f>
        <v>#REF!</v>
      </c>
      <c r="S89" s="8" t="e">
        <f ca="1">SUMIF(INDIRECT("'"&amp;$B89&amp;"'!$F$1:$F$999"), S$1, INDIRECT("'"&amp;$B89&amp;"'!$B$1:$B$999"))/VLOOKUP(S$1, Table1[#All],2, FALSE)</f>
        <v>#REF!</v>
      </c>
      <c r="T89" s="9" t="e">
        <f t="shared" ca="1" si="4"/>
        <v>#REF!</v>
      </c>
    </row>
    <row r="90" spans="1:20" x14ac:dyDescent="0.25">
      <c r="A90" s="13">
        <f t="shared" si="6"/>
        <v>46113</v>
      </c>
      <c r="B90" s="12" t="str">
        <f t="shared" si="5"/>
        <v>April 2026</v>
      </c>
      <c r="C90" s="8" t="e">
        <f ca="1">SUMIF(INDIRECT("'"&amp;$B90&amp;"'!$F$1:$F$999"), C$1, INDIRECT("'"&amp;$B90&amp;"'!$B$1:$B$999"))/VLOOKUP(C$1, Table1[#All],2, FALSE)</f>
        <v>#REF!</v>
      </c>
      <c r="D90" s="8" t="e">
        <f ca="1">SUMIF(INDIRECT("'"&amp;$B90&amp;"'!$F$1:$F$999"), D$1, INDIRECT("'"&amp;$B90&amp;"'!$B$1:$B$999"))/VLOOKUP(D$1, Table1[#All],2, FALSE)</f>
        <v>#REF!</v>
      </c>
      <c r="E90" s="8" t="e">
        <f ca="1">SUMIF(INDIRECT("'"&amp;$B90&amp;"'!$F$1:$F$999"), E$1, INDIRECT("'"&amp;$B90&amp;"'!$B$1:$B$999"))/VLOOKUP(E$1, Table1[#All],2, FALSE)</f>
        <v>#REF!</v>
      </c>
      <c r="F90" s="8" t="e">
        <f ca="1">SUMIF(INDIRECT("'"&amp;$B90&amp;"'!$F$1:$F$999"), F$1, INDIRECT("'"&amp;$B90&amp;"'!$B$1:$B$999"))/VLOOKUP(F$1, Table1[#All],2, FALSE)</f>
        <v>#REF!</v>
      </c>
      <c r="G90" s="8" t="e">
        <f ca="1">SUMIF(INDIRECT("'"&amp;$B90&amp;"'!$F$1:$F$999"), G$1, INDIRECT("'"&amp;$B90&amp;"'!$B$1:$B$999"))/VLOOKUP(G$1, Table1[#All],2, FALSE)</f>
        <v>#REF!</v>
      </c>
      <c r="H90" s="8" t="e">
        <f ca="1">SUMIF(INDIRECT("'"&amp;$B90&amp;"'!$F$1:$F$999"), H$1, INDIRECT("'"&amp;$B90&amp;"'!$B$1:$B$999"))/VLOOKUP(H$1, Table1[#All],2, FALSE)</f>
        <v>#REF!</v>
      </c>
      <c r="I90" s="8" t="e">
        <f ca="1">SUMIF(INDIRECT("'"&amp;$B90&amp;"'!$F$1:$F$999"), I$1, INDIRECT("'"&amp;$B90&amp;"'!$B$1:$B$999"))/VLOOKUP(I$1, Table1[#All],2, FALSE)</f>
        <v>#REF!</v>
      </c>
      <c r="J90" s="8" t="e">
        <f ca="1">SUMIF(INDIRECT("'"&amp;$B90&amp;"'!$F$1:$F$999"), J$1, INDIRECT("'"&amp;$B90&amp;"'!$B$1:$B$999"))/VLOOKUP(J$1, Table1[#All],2, FALSE)</f>
        <v>#REF!</v>
      </c>
      <c r="K90" s="8" t="e">
        <f ca="1">SUMIF(INDIRECT("'"&amp;$B90&amp;"'!$F$1:$F$999"), K$1, INDIRECT("'"&amp;$B90&amp;"'!$B$1:$B$999"))/VLOOKUP(K$1, Table1[#All],2, FALSE)</f>
        <v>#REF!</v>
      </c>
      <c r="L90" s="8" t="e">
        <f ca="1">SUMIF(INDIRECT("'"&amp;$B90&amp;"'!$F$1:$F$999"), L$1, INDIRECT("'"&amp;$B90&amp;"'!$B$1:$B$999"))/VLOOKUP(L$1, Table1[#All],2, FALSE)</f>
        <v>#REF!</v>
      </c>
      <c r="M90" s="8" t="e">
        <f ca="1">SUMIF(INDIRECT("'"&amp;$B90&amp;"'!$F$1:$F$999"), M$1, INDIRECT("'"&amp;$B90&amp;"'!$B$1:$B$999"))/VLOOKUP(M$1, Table1[#All],2, FALSE)</f>
        <v>#REF!</v>
      </c>
      <c r="N90" s="8" t="e">
        <f ca="1">SUMIF(INDIRECT("'"&amp;$B90&amp;"'!$F$1:$F$999"), N$1, INDIRECT("'"&amp;$B90&amp;"'!$B$1:$B$999"))/VLOOKUP(N$1, Table1[#All],2, FALSE)</f>
        <v>#REF!</v>
      </c>
      <c r="O90" s="8" t="e">
        <f ca="1">SUMIF(INDIRECT("'"&amp;$B90&amp;"'!$F$1:$F$999"), O$1, INDIRECT("'"&amp;$B90&amp;"'!$B$1:$B$999"))/VLOOKUP(O$1, Table1[#All],2, FALSE)</f>
        <v>#REF!</v>
      </c>
      <c r="P90" s="8" t="e">
        <f ca="1">SUMIF(INDIRECT("'"&amp;$B90&amp;"'!$F$1:$F$999"), P$1, INDIRECT("'"&amp;$B90&amp;"'!$B$1:$B$999"))/VLOOKUP(P$1, Table1[#All],2, FALSE)</f>
        <v>#REF!</v>
      </c>
      <c r="Q90" s="8" t="e">
        <f ca="1">SUMIF(INDIRECT("'"&amp;$B90&amp;"'!$F$1:$F$999"), Q$1, INDIRECT("'"&amp;$B90&amp;"'!$B$1:$B$999"))/VLOOKUP(Q$1, Table1[#All],2, FALSE)</f>
        <v>#REF!</v>
      </c>
      <c r="R90" s="8" t="e">
        <f ca="1">SUMIF(INDIRECT("'"&amp;$B90&amp;"'!$F$1:$F$999"), R$1, INDIRECT("'"&amp;$B90&amp;"'!$B$1:$B$999"))/VLOOKUP(R$1, Table1[#All],2, FALSE)</f>
        <v>#REF!</v>
      </c>
      <c r="S90" s="8" t="e">
        <f ca="1">SUMIF(INDIRECT("'"&amp;$B90&amp;"'!$F$1:$F$999"), S$1, INDIRECT("'"&amp;$B90&amp;"'!$B$1:$B$999"))/VLOOKUP(S$1, Table1[#All],2, FALSE)</f>
        <v>#REF!</v>
      </c>
      <c r="T90" s="9" t="e">
        <f t="shared" ca="1" si="4"/>
        <v>#REF!</v>
      </c>
    </row>
    <row r="91" spans="1:20" x14ac:dyDescent="0.25">
      <c r="A91" s="13">
        <f t="shared" si="6"/>
        <v>46143</v>
      </c>
      <c r="B91" s="12" t="str">
        <f t="shared" si="5"/>
        <v>May 2026</v>
      </c>
      <c r="C91" s="8" t="e">
        <f ca="1">SUMIF(INDIRECT("'"&amp;$B91&amp;"'!$F$1:$F$999"), C$1, INDIRECT("'"&amp;$B91&amp;"'!$B$1:$B$999"))/VLOOKUP(C$1, Table1[#All],2, FALSE)</f>
        <v>#REF!</v>
      </c>
      <c r="D91" s="8" t="e">
        <f ca="1">SUMIF(INDIRECT("'"&amp;$B91&amp;"'!$F$1:$F$999"), D$1, INDIRECT("'"&amp;$B91&amp;"'!$B$1:$B$999"))/VLOOKUP(D$1, Table1[#All],2, FALSE)</f>
        <v>#REF!</v>
      </c>
      <c r="E91" s="8" t="e">
        <f ca="1">SUMIF(INDIRECT("'"&amp;$B91&amp;"'!$F$1:$F$999"), E$1, INDIRECT("'"&amp;$B91&amp;"'!$B$1:$B$999"))/VLOOKUP(E$1, Table1[#All],2, FALSE)</f>
        <v>#REF!</v>
      </c>
      <c r="F91" s="8" t="e">
        <f ca="1">SUMIF(INDIRECT("'"&amp;$B91&amp;"'!$F$1:$F$999"), F$1, INDIRECT("'"&amp;$B91&amp;"'!$B$1:$B$999"))/VLOOKUP(F$1, Table1[#All],2, FALSE)</f>
        <v>#REF!</v>
      </c>
      <c r="G91" s="8" t="e">
        <f ca="1">SUMIF(INDIRECT("'"&amp;$B91&amp;"'!$F$1:$F$999"), G$1, INDIRECT("'"&amp;$B91&amp;"'!$B$1:$B$999"))/VLOOKUP(G$1, Table1[#All],2, FALSE)</f>
        <v>#REF!</v>
      </c>
      <c r="H91" s="8" t="e">
        <f ca="1">SUMIF(INDIRECT("'"&amp;$B91&amp;"'!$F$1:$F$999"), H$1, INDIRECT("'"&amp;$B91&amp;"'!$B$1:$B$999"))/VLOOKUP(H$1, Table1[#All],2, FALSE)</f>
        <v>#REF!</v>
      </c>
      <c r="I91" s="8" t="e">
        <f ca="1">SUMIF(INDIRECT("'"&amp;$B91&amp;"'!$F$1:$F$999"), I$1, INDIRECT("'"&amp;$B91&amp;"'!$B$1:$B$999"))/VLOOKUP(I$1, Table1[#All],2, FALSE)</f>
        <v>#REF!</v>
      </c>
      <c r="J91" s="8" t="e">
        <f ca="1">SUMIF(INDIRECT("'"&amp;$B91&amp;"'!$F$1:$F$999"), J$1, INDIRECT("'"&amp;$B91&amp;"'!$B$1:$B$999"))/VLOOKUP(J$1, Table1[#All],2, FALSE)</f>
        <v>#REF!</v>
      </c>
      <c r="K91" s="8" t="e">
        <f ca="1">SUMIF(INDIRECT("'"&amp;$B91&amp;"'!$F$1:$F$999"), K$1, INDIRECT("'"&amp;$B91&amp;"'!$B$1:$B$999"))/VLOOKUP(K$1, Table1[#All],2, FALSE)</f>
        <v>#REF!</v>
      </c>
      <c r="L91" s="8" t="e">
        <f ca="1">SUMIF(INDIRECT("'"&amp;$B91&amp;"'!$F$1:$F$999"), L$1, INDIRECT("'"&amp;$B91&amp;"'!$B$1:$B$999"))/VLOOKUP(L$1, Table1[#All],2, FALSE)</f>
        <v>#REF!</v>
      </c>
      <c r="M91" s="8" t="e">
        <f ca="1">SUMIF(INDIRECT("'"&amp;$B91&amp;"'!$F$1:$F$999"), M$1, INDIRECT("'"&amp;$B91&amp;"'!$B$1:$B$999"))/VLOOKUP(M$1, Table1[#All],2, FALSE)</f>
        <v>#REF!</v>
      </c>
      <c r="N91" s="8" t="e">
        <f ca="1">SUMIF(INDIRECT("'"&amp;$B91&amp;"'!$F$1:$F$999"), N$1, INDIRECT("'"&amp;$B91&amp;"'!$B$1:$B$999"))/VLOOKUP(N$1, Table1[#All],2, FALSE)</f>
        <v>#REF!</v>
      </c>
      <c r="O91" s="8" t="e">
        <f ca="1">SUMIF(INDIRECT("'"&amp;$B91&amp;"'!$F$1:$F$999"), O$1, INDIRECT("'"&amp;$B91&amp;"'!$B$1:$B$999"))/VLOOKUP(O$1, Table1[#All],2, FALSE)</f>
        <v>#REF!</v>
      </c>
      <c r="P91" s="8" t="e">
        <f ca="1">SUMIF(INDIRECT("'"&amp;$B91&amp;"'!$F$1:$F$999"), P$1, INDIRECT("'"&amp;$B91&amp;"'!$B$1:$B$999"))/VLOOKUP(P$1, Table1[#All],2, FALSE)</f>
        <v>#REF!</v>
      </c>
      <c r="Q91" s="8" t="e">
        <f ca="1">SUMIF(INDIRECT("'"&amp;$B91&amp;"'!$F$1:$F$999"), Q$1, INDIRECT("'"&amp;$B91&amp;"'!$B$1:$B$999"))/VLOOKUP(Q$1, Table1[#All],2, FALSE)</f>
        <v>#REF!</v>
      </c>
      <c r="R91" s="8" t="e">
        <f ca="1">SUMIF(INDIRECT("'"&amp;$B91&amp;"'!$F$1:$F$999"), R$1, INDIRECT("'"&amp;$B91&amp;"'!$B$1:$B$999"))/VLOOKUP(R$1, Table1[#All],2, FALSE)</f>
        <v>#REF!</v>
      </c>
      <c r="S91" s="8" t="e">
        <f ca="1">SUMIF(INDIRECT("'"&amp;$B91&amp;"'!$F$1:$F$999"), S$1, INDIRECT("'"&amp;$B91&amp;"'!$B$1:$B$999"))/VLOOKUP(S$1, Table1[#All],2, FALSE)</f>
        <v>#REF!</v>
      </c>
      <c r="T91" s="9" t="e">
        <f t="shared" ca="1" si="4"/>
        <v>#REF!</v>
      </c>
    </row>
    <row r="92" spans="1:20" x14ac:dyDescent="0.25">
      <c r="A92" s="13">
        <f t="shared" si="6"/>
        <v>46174</v>
      </c>
      <c r="B92" s="12" t="str">
        <f t="shared" si="5"/>
        <v>June 2026</v>
      </c>
      <c r="C92" s="8" t="e">
        <f ca="1">SUMIF(INDIRECT("'"&amp;$B92&amp;"'!$F$1:$F$999"), C$1, INDIRECT("'"&amp;$B92&amp;"'!$B$1:$B$999"))/VLOOKUP(C$1, Table1[#All],2, FALSE)</f>
        <v>#REF!</v>
      </c>
      <c r="D92" s="8" t="e">
        <f ca="1">SUMIF(INDIRECT("'"&amp;$B92&amp;"'!$F$1:$F$999"), D$1, INDIRECT("'"&amp;$B92&amp;"'!$B$1:$B$999"))/VLOOKUP(D$1, Table1[#All],2, FALSE)</f>
        <v>#REF!</v>
      </c>
      <c r="E92" s="8" t="e">
        <f ca="1">SUMIF(INDIRECT("'"&amp;$B92&amp;"'!$F$1:$F$999"), E$1, INDIRECT("'"&amp;$B92&amp;"'!$B$1:$B$999"))/VLOOKUP(E$1, Table1[#All],2, FALSE)</f>
        <v>#REF!</v>
      </c>
      <c r="F92" s="8" t="e">
        <f ca="1">SUMIF(INDIRECT("'"&amp;$B92&amp;"'!$F$1:$F$999"), F$1, INDIRECT("'"&amp;$B92&amp;"'!$B$1:$B$999"))/VLOOKUP(F$1, Table1[#All],2, FALSE)</f>
        <v>#REF!</v>
      </c>
      <c r="G92" s="8" t="e">
        <f ca="1">SUMIF(INDIRECT("'"&amp;$B92&amp;"'!$F$1:$F$999"), G$1, INDIRECT("'"&amp;$B92&amp;"'!$B$1:$B$999"))/VLOOKUP(G$1, Table1[#All],2, FALSE)</f>
        <v>#REF!</v>
      </c>
      <c r="H92" s="8" t="e">
        <f ca="1">SUMIF(INDIRECT("'"&amp;$B92&amp;"'!$F$1:$F$999"), H$1, INDIRECT("'"&amp;$B92&amp;"'!$B$1:$B$999"))/VLOOKUP(H$1, Table1[#All],2, FALSE)</f>
        <v>#REF!</v>
      </c>
      <c r="I92" s="8" t="e">
        <f ca="1">SUMIF(INDIRECT("'"&amp;$B92&amp;"'!$F$1:$F$999"), I$1, INDIRECT("'"&amp;$B92&amp;"'!$B$1:$B$999"))/VLOOKUP(I$1, Table1[#All],2, FALSE)</f>
        <v>#REF!</v>
      </c>
      <c r="J92" s="8" t="e">
        <f ca="1">SUMIF(INDIRECT("'"&amp;$B92&amp;"'!$F$1:$F$999"), J$1, INDIRECT("'"&amp;$B92&amp;"'!$B$1:$B$999"))/VLOOKUP(J$1, Table1[#All],2, FALSE)</f>
        <v>#REF!</v>
      </c>
      <c r="K92" s="8" t="e">
        <f ca="1">SUMIF(INDIRECT("'"&amp;$B92&amp;"'!$F$1:$F$999"), K$1, INDIRECT("'"&amp;$B92&amp;"'!$B$1:$B$999"))/VLOOKUP(K$1, Table1[#All],2, FALSE)</f>
        <v>#REF!</v>
      </c>
      <c r="L92" s="8" t="e">
        <f ca="1">SUMIF(INDIRECT("'"&amp;$B92&amp;"'!$F$1:$F$999"), L$1, INDIRECT("'"&amp;$B92&amp;"'!$B$1:$B$999"))/VLOOKUP(L$1, Table1[#All],2, FALSE)</f>
        <v>#REF!</v>
      </c>
      <c r="M92" s="8" t="e">
        <f ca="1">SUMIF(INDIRECT("'"&amp;$B92&amp;"'!$F$1:$F$999"), M$1, INDIRECT("'"&amp;$B92&amp;"'!$B$1:$B$999"))/VLOOKUP(M$1, Table1[#All],2, FALSE)</f>
        <v>#REF!</v>
      </c>
      <c r="N92" s="8" t="e">
        <f ca="1">SUMIF(INDIRECT("'"&amp;$B92&amp;"'!$F$1:$F$999"), N$1, INDIRECT("'"&amp;$B92&amp;"'!$B$1:$B$999"))/VLOOKUP(N$1, Table1[#All],2, FALSE)</f>
        <v>#REF!</v>
      </c>
      <c r="O92" s="8" t="e">
        <f ca="1">SUMIF(INDIRECT("'"&amp;$B92&amp;"'!$F$1:$F$999"), O$1, INDIRECT("'"&amp;$B92&amp;"'!$B$1:$B$999"))/VLOOKUP(O$1, Table1[#All],2, FALSE)</f>
        <v>#REF!</v>
      </c>
      <c r="P92" s="8" t="e">
        <f ca="1">SUMIF(INDIRECT("'"&amp;$B92&amp;"'!$F$1:$F$999"), P$1, INDIRECT("'"&amp;$B92&amp;"'!$B$1:$B$999"))/VLOOKUP(P$1, Table1[#All],2, FALSE)</f>
        <v>#REF!</v>
      </c>
      <c r="Q92" s="8" t="e">
        <f ca="1">SUMIF(INDIRECT("'"&amp;$B92&amp;"'!$F$1:$F$999"), Q$1, INDIRECT("'"&amp;$B92&amp;"'!$B$1:$B$999"))/VLOOKUP(Q$1, Table1[#All],2, FALSE)</f>
        <v>#REF!</v>
      </c>
      <c r="R92" s="8" t="e">
        <f ca="1">SUMIF(INDIRECT("'"&amp;$B92&amp;"'!$F$1:$F$999"), R$1, INDIRECT("'"&amp;$B92&amp;"'!$B$1:$B$999"))/VLOOKUP(R$1, Table1[#All],2, FALSE)</f>
        <v>#REF!</v>
      </c>
      <c r="S92" s="8" t="e">
        <f ca="1">SUMIF(INDIRECT("'"&amp;$B92&amp;"'!$F$1:$F$999"), S$1, INDIRECT("'"&amp;$B92&amp;"'!$B$1:$B$999"))/VLOOKUP(S$1, Table1[#All],2, FALSE)</f>
        <v>#REF!</v>
      </c>
      <c r="T92" s="9" t="e">
        <f t="shared" ca="1" si="4"/>
        <v>#REF!</v>
      </c>
    </row>
    <row r="93" spans="1:20" x14ac:dyDescent="0.25">
      <c r="A93" s="13">
        <f t="shared" si="6"/>
        <v>46204</v>
      </c>
      <c r="B93" s="12" t="str">
        <f t="shared" si="5"/>
        <v>July 2026</v>
      </c>
      <c r="C93" s="8" t="e">
        <f ca="1">SUMIF(INDIRECT("'"&amp;$B93&amp;"'!$F$1:$F$999"), C$1, INDIRECT("'"&amp;$B93&amp;"'!$B$1:$B$999"))/VLOOKUP(C$1, Table1[#All],2, FALSE)</f>
        <v>#REF!</v>
      </c>
      <c r="D93" s="8" t="e">
        <f ca="1">SUMIF(INDIRECT("'"&amp;$B93&amp;"'!$F$1:$F$999"), D$1, INDIRECT("'"&amp;$B93&amp;"'!$B$1:$B$999"))/VLOOKUP(D$1, Table1[#All],2, FALSE)</f>
        <v>#REF!</v>
      </c>
      <c r="E93" s="8" t="e">
        <f ca="1">SUMIF(INDIRECT("'"&amp;$B93&amp;"'!$F$1:$F$999"), E$1, INDIRECT("'"&amp;$B93&amp;"'!$B$1:$B$999"))/VLOOKUP(E$1, Table1[#All],2, FALSE)</f>
        <v>#REF!</v>
      </c>
      <c r="F93" s="8" t="e">
        <f ca="1">SUMIF(INDIRECT("'"&amp;$B93&amp;"'!$F$1:$F$999"), F$1, INDIRECT("'"&amp;$B93&amp;"'!$B$1:$B$999"))/VLOOKUP(F$1, Table1[#All],2, FALSE)</f>
        <v>#REF!</v>
      </c>
      <c r="G93" s="8" t="e">
        <f ca="1">SUMIF(INDIRECT("'"&amp;$B93&amp;"'!$F$1:$F$999"), G$1, INDIRECT("'"&amp;$B93&amp;"'!$B$1:$B$999"))/VLOOKUP(G$1, Table1[#All],2, FALSE)</f>
        <v>#REF!</v>
      </c>
      <c r="H93" s="8" t="e">
        <f ca="1">SUMIF(INDIRECT("'"&amp;$B93&amp;"'!$F$1:$F$999"), H$1, INDIRECT("'"&amp;$B93&amp;"'!$B$1:$B$999"))/VLOOKUP(H$1, Table1[#All],2, FALSE)</f>
        <v>#REF!</v>
      </c>
      <c r="I93" s="8" t="e">
        <f ca="1">SUMIF(INDIRECT("'"&amp;$B93&amp;"'!$F$1:$F$999"), I$1, INDIRECT("'"&amp;$B93&amp;"'!$B$1:$B$999"))/VLOOKUP(I$1, Table1[#All],2, FALSE)</f>
        <v>#REF!</v>
      </c>
      <c r="J93" s="8" t="e">
        <f ca="1">SUMIF(INDIRECT("'"&amp;$B93&amp;"'!$F$1:$F$999"), J$1, INDIRECT("'"&amp;$B93&amp;"'!$B$1:$B$999"))/VLOOKUP(J$1, Table1[#All],2, FALSE)</f>
        <v>#REF!</v>
      </c>
      <c r="K93" s="8" t="e">
        <f ca="1">SUMIF(INDIRECT("'"&amp;$B93&amp;"'!$F$1:$F$999"), K$1, INDIRECT("'"&amp;$B93&amp;"'!$B$1:$B$999"))/VLOOKUP(K$1, Table1[#All],2, FALSE)</f>
        <v>#REF!</v>
      </c>
      <c r="L93" s="8" t="e">
        <f ca="1">SUMIF(INDIRECT("'"&amp;$B93&amp;"'!$F$1:$F$999"), L$1, INDIRECT("'"&amp;$B93&amp;"'!$B$1:$B$999"))/VLOOKUP(L$1, Table1[#All],2, FALSE)</f>
        <v>#REF!</v>
      </c>
      <c r="M93" s="8" t="e">
        <f ca="1">SUMIF(INDIRECT("'"&amp;$B93&amp;"'!$F$1:$F$999"), M$1, INDIRECT("'"&amp;$B93&amp;"'!$B$1:$B$999"))/VLOOKUP(M$1, Table1[#All],2, FALSE)</f>
        <v>#REF!</v>
      </c>
      <c r="N93" s="8" t="e">
        <f ca="1">SUMIF(INDIRECT("'"&amp;$B93&amp;"'!$F$1:$F$999"), N$1, INDIRECT("'"&amp;$B93&amp;"'!$B$1:$B$999"))/VLOOKUP(N$1, Table1[#All],2, FALSE)</f>
        <v>#REF!</v>
      </c>
      <c r="O93" s="8" t="e">
        <f ca="1">SUMIF(INDIRECT("'"&amp;$B93&amp;"'!$F$1:$F$999"), O$1, INDIRECT("'"&amp;$B93&amp;"'!$B$1:$B$999"))/VLOOKUP(O$1, Table1[#All],2, FALSE)</f>
        <v>#REF!</v>
      </c>
      <c r="P93" s="8" t="e">
        <f ca="1">SUMIF(INDIRECT("'"&amp;$B93&amp;"'!$F$1:$F$999"), P$1, INDIRECT("'"&amp;$B93&amp;"'!$B$1:$B$999"))/VLOOKUP(P$1, Table1[#All],2, FALSE)</f>
        <v>#REF!</v>
      </c>
      <c r="Q93" s="8" t="e">
        <f ca="1">SUMIF(INDIRECT("'"&amp;$B93&amp;"'!$F$1:$F$999"), Q$1, INDIRECT("'"&amp;$B93&amp;"'!$B$1:$B$999"))/VLOOKUP(Q$1, Table1[#All],2, FALSE)</f>
        <v>#REF!</v>
      </c>
      <c r="R93" s="8" t="e">
        <f ca="1">SUMIF(INDIRECT("'"&amp;$B93&amp;"'!$F$1:$F$999"), R$1, INDIRECT("'"&amp;$B93&amp;"'!$B$1:$B$999"))/VLOOKUP(R$1, Table1[#All],2, FALSE)</f>
        <v>#REF!</v>
      </c>
      <c r="S93" s="8" t="e">
        <f ca="1">SUMIF(INDIRECT("'"&amp;$B93&amp;"'!$F$1:$F$999"), S$1, INDIRECT("'"&amp;$B93&amp;"'!$B$1:$B$999"))/VLOOKUP(S$1, Table1[#All],2, FALSE)</f>
        <v>#REF!</v>
      </c>
      <c r="T93" s="9" t="e">
        <f t="shared" ca="1" si="4"/>
        <v>#REF!</v>
      </c>
    </row>
    <row r="94" spans="1:20" x14ac:dyDescent="0.25">
      <c r="A94" s="13">
        <f t="shared" si="6"/>
        <v>46235</v>
      </c>
      <c r="B94" s="12" t="str">
        <f t="shared" si="5"/>
        <v>August 2026</v>
      </c>
      <c r="C94" s="8" t="e">
        <f ca="1">SUMIF(INDIRECT("'"&amp;$B94&amp;"'!$F$1:$F$999"), C$1, INDIRECT("'"&amp;$B94&amp;"'!$B$1:$B$999"))/VLOOKUP(C$1, Table1[#All],2, FALSE)</f>
        <v>#REF!</v>
      </c>
      <c r="D94" s="8" t="e">
        <f ca="1">SUMIF(INDIRECT("'"&amp;$B94&amp;"'!$F$1:$F$999"), D$1, INDIRECT("'"&amp;$B94&amp;"'!$B$1:$B$999"))/VLOOKUP(D$1, Table1[#All],2, FALSE)</f>
        <v>#REF!</v>
      </c>
      <c r="E94" s="8" t="e">
        <f ca="1">SUMIF(INDIRECT("'"&amp;$B94&amp;"'!$F$1:$F$999"), E$1, INDIRECT("'"&amp;$B94&amp;"'!$B$1:$B$999"))/VLOOKUP(E$1, Table1[#All],2, FALSE)</f>
        <v>#REF!</v>
      </c>
      <c r="F94" s="8" t="e">
        <f ca="1">SUMIF(INDIRECT("'"&amp;$B94&amp;"'!$F$1:$F$999"), F$1, INDIRECT("'"&amp;$B94&amp;"'!$B$1:$B$999"))/VLOOKUP(F$1, Table1[#All],2, FALSE)</f>
        <v>#REF!</v>
      </c>
      <c r="G94" s="8" t="e">
        <f ca="1">SUMIF(INDIRECT("'"&amp;$B94&amp;"'!$F$1:$F$999"), G$1, INDIRECT("'"&amp;$B94&amp;"'!$B$1:$B$999"))/VLOOKUP(G$1, Table1[#All],2, FALSE)</f>
        <v>#REF!</v>
      </c>
      <c r="H94" s="8" t="e">
        <f ca="1">SUMIF(INDIRECT("'"&amp;$B94&amp;"'!$F$1:$F$999"), H$1, INDIRECT("'"&amp;$B94&amp;"'!$B$1:$B$999"))/VLOOKUP(H$1, Table1[#All],2, FALSE)</f>
        <v>#REF!</v>
      </c>
      <c r="I94" s="8" t="e">
        <f ca="1">SUMIF(INDIRECT("'"&amp;$B94&amp;"'!$F$1:$F$999"), I$1, INDIRECT("'"&amp;$B94&amp;"'!$B$1:$B$999"))/VLOOKUP(I$1, Table1[#All],2, FALSE)</f>
        <v>#REF!</v>
      </c>
      <c r="J94" s="8" t="e">
        <f ca="1">SUMIF(INDIRECT("'"&amp;$B94&amp;"'!$F$1:$F$999"), J$1, INDIRECT("'"&amp;$B94&amp;"'!$B$1:$B$999"))/VLOOKUP(J$1, Table1[#All],2, FALSE)</f>
        <v>#REF!</v>
      </c>
      <c r="K94" s="8" t="e">
        <f ca="1">SUMIF(INDIRECT("'"&amp;$B94&amp;"'!$F$1:$F$999"), K$1, INDIRECT("'"&amp;$B94&amp;"'!$B$1:$B$999"))/VLOOKUP(K$1, Table1[#All],2, FALSE)</f>
        <v>#REF!</v>
      </c>
      <c r="L94" s="8" t="e">
        <f ca="1">SUMIF(INDIRECT("'"&amp;$B94&amp;"'!$F$1:$F$999"), L$1, INDIRECT("'"&amp;$B94&amp;"'!$B$1:$B$999"))/VLOOKUP(L$1, Table1[#All],2, FALSE)</f>
        <v>#REF!</v>
      </c>
      <c r="M94" s="8" t="e">
        <f ca="1">SUMIF(INDIRECT("'"&amp;$B94&amp;"'!$F$1:$F$999"), M$1, INDIRECT("'"&amp;$B94&amp;"'!$B$1:$B$999"))/VLOOKUP(M$1, Table1[#All],2, FALSE)</f>
        <v>#REF!</v>
      </c>
      <c r="N94" s="8" t="e">
        <f ca="1">SUMIF(INDIRECT("'"&amp;$B94&amp;"'!$F$1:$F$999"), N$1, INDIRECT("'"&amp;$B94&amp;"'!$B$1:$B$999"))/VLOOKUP(N$1, Table1[#All],2, FALSE)</f>
        <v>#REF!</v>
      </c>
      <c r="O94" s="8" t="e">
        <f ca="1">SUMIF(INDIRECT("'"&amp;$B94&amp;"'!$F$1:$F$999"), O$1, INDIRECT("'"&amp;$B94&amp;"'!$B$1:$B$999"))/VLOOKUP(O$1, Table1[#All],2, FALSE)</f>
        <v>#REF!</v>
      </c>
      <c r="P94" s="8" t="e">
        <f ca="1">SUMIF(INDIRECT("'"&amp;$B94&amp;"'!$F$1:$F$999"), P$1, INDIRECT("'"&amp;$B94&amp;"'!$B$1:$B$999"))/VLOOKUP(P$1, Table1[#All],2, FALSE)</f>
        <v>#REF!</v>
      </c>
      <c r="Q94" s="8" t="e">
        <f ca="1">SUMIF(INDIRECT("'"&amp;$B94&amp;"'!$F$1:$F$999"), Q$1, INDIRECT("'"&amp;$B94&amp;"'!$B$1:$B$999"))/VLOOKUP(Q$1, Table1[#All],2, FALSE)</f>
        <v>#REF!</v>
      </c>
      <c r="R94" s="8" t="e">
        <f ca="1">SUMIF(INDIRECT("'"&amp;$B94&amp;"'!$F$1:$F$999"), R$1, INDIRECT("'"&amp;$B94&amp;"'!$B$1:$B$999"))/VLOOKUP(R$1, Table1[#All],2, FALSE)</f>
        <v>#REF!</v>
      </c>
      <c r="S94" s="8" t="e">
        <f ca="1">SUMIF(INDIRECT("'"&amp;$B94&amp;"'!$F$1:$F$999"), S$1, INDIRECT("'"&amp;$B94&amp;"'!$B$1:$B$999"))/VLOOKUP(S$1, Table1[#All],2, FALSE)</f>
        <v>#REF!</v>
      </c>
      <c r="T94" s="9" t="e">
        <f t="shared" ca="1" si="4"/>
        <v>#REF!</v>
      </c>
    </row>
    <row r="95" spans="1:20" x14ac:dyDescent="0.25">
      <c r="A95" s="13">
        <f t="shared" si="6"/>
        <v>46266</v>
      </c>
      <c r="B95" s="12" t="str">
        <f t="shared" si="5"/>
        <v>September 2026</v>
      </c>
      <c r="C95" s="8" t="e">
        <f ca="1">SUMIF(INDIRECT("'"&amp;$B95&amp;"'!$F$1:$F$999"), C$1, INDIRECT("'"&amp;$B95&amp;"'!$B$1:$B$999"))/VLOOKUP(C$1, Table1[#All],2, FALSE)</f>
        <v>#REF!</v>
      </c>
      <c r="D95" s="8" t="e">
        <f ca="1">SUMIF(INDIRECT("'"&amp;$B95&amp;"'!$F$1:$F$999"), D$1, INDIRECT("'"&amp;$B95&amp;"'!$B$1:$B$999"))/VLOOKUP(D$1, Table1[#All],2, FALSE)</f>
        <v>#REF!</v>
      </c>
      <c r="E95" s="8" t="e">
        <f ca="1">SUMIF(INDIRECT("'"&amp;$B95&amp;"'!$F$1:$F$999"), E$1, INDIRECT("'"&amp;$B95&amp;"'!$B$1:$B$999"))/VLOOKUP(E$1, Table1[#All],2, FALSE)</f>
        <v>#REF!</v>
      </c>
      <c r="F95" s="8" t="e">
        <f ca="1">SUMIF(INDIRECT("'"&amp;$B95&amp;"'!$F$1:$F$999"), F$1, INDIRECT("'"&amp;$B95&amp;"'!$B$1:$B$999"))/VLOOKUP(F$1, Table1[#All],2, FALSE)</f>
        <v>#REF!</v>
      </c>
      <c r="G95" s="8" t="e">
        <f ca="1">SUMIF(INDIRECT("'"&amp;$B95&amp;"'!$F$1:$F$999"), G$1, INDIRECT("'"&amp;$B95&amp;"'!$B$1:$B$999"))/VLOOKUP(G$1, Table1[#All],2, FALSE)</f>
        <v>#REF!</v>
      </c>
      <c r="H95" s="8" t="e">
        <f ca="1">SUMIF(INDIRECT("'"&amp;$B95&amp;"'!$F$1:$F$999"), H$1, INDIRECT("'"&amp;$B95&amp;"'!$B$1:$B$999"))/VLOOKUP(H$1, Table1[#All],2, FALSE)</f>
        <v>#REF!</v>
      </c>
      <c r="I95" s="8" t="e">
        <f ca="1">SUMIF(INDIRECT("'"&amp;$B95&amp;"'!$F$1:$F$999"), I$1, INDIRECT("'"&amp;$B95&amp;"'!$B$1:$B$999"))/VLOOKUP(I$1, Table1[#All],2, FALSE)</f>
        <v>#REF!</v>
      </c>
      <c r="J95" s="8" t="e">
        <f ca="1">SUMIF(INDIRECT("'"&amp;$B95&amp;"'!$F$1:$F$999"), J$1, INDIRECT("'"&amp;$B95&amp;"'!$B$1:$B$999"))/VLOOKUP(J$1, Table1[#All],2, FALSE)</f>
        <v>#REF!</v>
      </c>
      <c r="K95" s="8" t="e">
        <f ca="1">SUMIF(INDIRECT("'"&amp;$B95&amp;"'!$F$1:$F$999"), K$1, INDIRECT("'"&amp;$B95&amp;"'!$B$1:$B$999"))/VLOOKUP(K$1, Table1[#All],2, FALSE)</f>
        <v>#REF!</v>
      </c>
      <c r="L95" s="8" t="e">
        <f ca="1">SUMIF(INDIRECT("'"&amp;$B95&amp;"'!$F$1:$F$999"), L$1, INDIRECT("'"&amp;$B95&amp;"'!$B$1:$B$999"))/VLOOKUP(L$1, Table1[#All],2, FALSE)</f>
        <v>#REF!</v>
      </c>
      <c r="M95" s="8" t="e">
        <f ca="1">SUMIF(INDIRECT("'"&amp;$B95&amp;"'!$F$1:$F$999"), M$1, INDIRECT("'"&amp;$B95&amp;"'!$B$1:$B$999"))/VLOOKUP(M$1, Table1[#All],2, FALSE)</f>
        <v>#REF!</v>
      </c>
      <c r="N95" s="8" t="e">
        <f ca="1">SUMIF(INDIRECT("'"&amp;$B95&amp;"'!$F$1:$F$999"), N$1, INDIRECT("'"&amp;$B95&amp;"'!$B$1:$B$999"))/VLOOKUP(N$1, Table1[#All],2, FALSE)</f>
        <v>#REF!</v>
      </c>
      <c r="O95" s="8" t="e">
        <f ca="1">SUMIF(INDIRECT("'"&amp;$B95&amp;"'!$F$1:$F$999"), O$1, INDIRECT("'"&amp;$B95&amp;"'!$B$1:$B$999"))/VLOOKUP(O$1, Table1[#All],2, FALSE)</f>
        <v>#REF!</v>
      </c>
      <c r="P95" s="8" t="e">
        <f ca="1">SUMIF(INDIRECT("'"&amp;$B95&amp;"'!$F$1:$F$999"), P$1, INDIRECT("'"&amp;$B95&amp;"'!$B$1:$B$999"))/VLOOKUP(P$1, Table1[#All],2, FALSE)</f>
        <v>#REF!</v>
      </c>
      <c r="Q95" s="8" t="e">
        <f ca="1">SUMIF(INDIRECT("'"&amp;$B95&amp;"'!$F$1:$F$999"), Q$1, INDIRECT("'"&amp;$B95&amp;"'!$B$1:$B$999"))/VLOOKUP(Q$1, Table1[#All],2, FALSE)</f>
        <v>#REF!</v>
      </c>
      <c r="R95" s="8" t="e">
        <f ca="1">SUMIF(INDIRECT("'"&amp;$B95&amp;"'!$F$1:$F$999"), R$1, INDIRECT("'"&amp;$B95&amp;"'!$B$1:$B$999"))/VLOOKUP(R$1, Table1[#All],2, FALSE)</f>
        <v>#REF!</v>
      </c>
      <c r="S95" s="8" t="e">
        <f ca="1">SUMIF(INDIRECT("'"&amp;$B95&amp;"'!$F$1:$F$999"), S$1, INDIRECT("'"&amp;$B95&amp;"'!$B$1:$B$999"))/VLOOKUP(S$1, Table1[#All],2, FALSE)</f>
        <v>#REF!</v>
      </c>
      <c r="T95" s="9" t="e">
        <f t="shared" ca="1" si="4"/>
        <v>#REF!</v>
      </c>
    </row>
    <row r="96" spans="1:20" x14ac:dyDescent="0.25">
      <c r="A96" s="13">
        <f t="shared" si="6"/>
        <v>46296</v>
      </c>
      <c r="B96" s="12" t="str">
        <f t="shared" si="5"/>
        <v>October 2026</v>
      </c>
      <c r="C96" s="8" t="e">
        <f ca="1">SUMIF(INDIRECT("'"&amp;$B96&amp;"'!$F$1:$F$999"), C$1, INDIRECT("'"&amp;$B96&amp;"'!$B$1:$B$999"))/VLOOKUP(C$1, Table1[#All],2, FALSE)</f>
        <v>#REF!</v>
      </c>
      <c r="D96" s="8" t="e">
        <f ca="1">SUMIF(INDIRECT("'"&amp;$B96&amp;"'!$F$1:$F$999"), D$1, INDIRECT("'"&amp;$B96&amp;"'!$B$1:$B$999"))/VLOOKUP(D$1, Table1[#All],2, FALSE)</f>
        <v>#REF!</v>
      </c>
      <c r="E96" s="8" t="e">
        <f ca="1">SUMIF(INDIRECT("'"&amp;$B96&amp;"'!$F$1:$F$999"), E$1, INDIRECT("'"&amp;$B96&amp;"'!$B$1:$B$999"))/VLOOKUP(E$1, Table1[#All],2, FALSE)</f>
        <v>#REF!</v>
      </c>
      <c r="F96" s="8" t="e">
        <f ca="1">SUMIF(INDIRECT("'"&amp;$B96&amp;"'!$F$1:$F$999"), F$1, INDIRECT("'"&amp;$B96&amp;"'!$B$1:$B$999"))/VLOOKUP(F$1, Table1[#All],2, FALSE)</f>
        <v>#REF!</v>
      </c>
      <c r="G96" s="8" t="e">
        <f ca="1">SUMIF(INDIRECT("'"&amp;$B96&amp;"'!$F$1:$F$999"), G$1, INDIRECT("'"&amp;$B96&amp;"'!$B$1:$B$999"))/VLOOKUP(G$1, Table1[#All],2, FALSE)</f>
        <v>#REF!</v>
      </c>
      <c r="H96" s="8" t="e">
        <f ca="1">SUMIF(INDIRECT("'"&amp;$B96&amp;"'!$F$1:$F$999"), H$1, INDIRECT("'"&amp;$B96&amp;"'!$B$1:$B$999"))/VLOOKUP(H$1, Table1[#All],2, FALSE)</f>
        <v>#REF!</v>
      </c>
      <c r="I96" s="8" t="e">
        <f ca="1">SUMIF(INDIRECT("'"&amp;$B96&amp;"'!$F$1:$F$999"), I$1, INDIRECT("'"&amp;$B96&amp;"'!$B$1:$B$999"))/VLOOKUP(I$1, Table1[#All],2, FALSE)</f>
        <v>#REF!</v>
      </c>
      <c r="J96" s="8" t="e">
        <f ca="1">SUMIF(INDIRECT("'"&amp;$B96&amp;"'!$F$1:$F$999"), J$1, INDIRECT("'"&amp;$B96&amp;"'!$B$1:$B$999"))/VLOOKUP(J$1, Table1[#All],2, FALSE)</f>
        <v>#REF!</v>
      </c>
      <c r="K96" s="8" t="e">
        <f ca="1">SUMIF(INDIRECT("'"&amp;$B96&amp;"'!$F$1:$F$999"), K$1, INDIRECT("'"&amp;$B96&amp;"'!$B$1:$B$999"))/VLOOKUP(K$1, Table1[#All],2, FALSE)</f>
        <v>#REF!</v>
      </c>
      <c r="L96" s="8" t="e">
        <f ca="1">SUMIF(INDIRECT("'"&amp;$B96&amp;"'!$F$1:$F$999"), L$1, INDIRECT("'"&amp;$B96&amp;"'!$B$1:$B$999"))/VLOOKUP(L$1, Table1[#All],2, FALSE)</f>
        <v>#REF!</v>
      </c>
      <c r="M96" s="8" t="e">
        <f ca="1">SUMIF(INDIRECT("'"&amp;$B96&amp;"'!$F$1:$F$999"), M$1, INDIRECT("'"&amp;$B96&amp;"'!$B$1:$B$999"))/VLOOKUP(M$1, Table1[#All],2, FALSE)</f>
        <v>#REF!</v>
      </c>
      <c r="N96" s="8" t="e">
        <f ca="1">SUMIF(INDIRECT("'"&amp;$B96&amp;"'!$F$1:$F$999"), N$1, INDIRECT("'"&amp;$B96&amp;"'!$B$1:$B$999"))/VLOOKUP(N$1, Table1[#All],2, FALSE)</f>
        <v>#REF!</v>
      </c>
      <c r="O96" s="8" t="e">
        <f ca="1">SUMIF(INDIRECT("'"&amp;$B96&amp;"'!$F$1:$F$999"), O$1, INDIRECT("'"&amp;$B96&amp;"'!$B$1:$B$999"))/VLOOKUP(O$1, Table1[#All],2, FALSE)</f>
        <v>#REF!</v>
      </c>
      <c r="P96" s="8" t="e">
        <f ca="1">SUMIF(INDIRECT("'"&amp;$B96&amp;"'!$F$1:$F$999"), P$1, INDIRECT("'"&amp;$B96&amp;"'!$B$1:$B$999"))/VLOOKUP(P$1, Table1[#All],2, FALSE)</f>
        <v>#REF!</v>
      </c>
      <c r="Q96" s="8" t="e">
        <f ca="1">SUMIF(INDIRECT("'"&amp;$B96&amp;"'!$F$1:$F$999"), Q$1, INDIRECT("'"&amp;$B96&amp;"'!$B$1:$B$999"))/VLOOKUP(Q$1, Table1[#All],2, FALSE)</f>
        <v>#REF!</v>
      </c>
      <c r="R96" s="8" t="e">
        <f ca="1">SUMIF(INDIRECT("'"&amp;$B96&amp;"'!$F$1:$F$999"), R$1, INDIRECT("'"&amp;$B96&amp;"'!$B$1:$B$999"))/VLOOKUP(R$1, Table1[#All],2, FALSE)</f>
        <v>#REF!</v>
      </c>
      <c r="S96" s="8" t="e">
        <f ca="1">SUMIF(INDIRECT("'"&amp;$B96&amp;"'!$F$1:$F$999"), S$1, INDIRECT("'"&amp;$B96&amp;"'!$B$1:$B$999"))/VLOOKUP(S$1, Table1[#All],2, FALSE)</f>
        <v>#REF!</v>
      </c>
      <c r="T96" s="9" t="e">
        <f t="shared" ca="1" si="4"/>
        <v>#REF!</v>
      </c>
    </row>
    <row r="97" spans="1:20" x14ac:dyDescent="0.25">
      <c r="A97" s="13">
        <f t="shared" si="6"/>
        <v>46327</v>
      </c>
      <c r="B97" s="12" t="str">
        <f t="shared" si="5"/>
        <v>November 2026</v>
      </c>
      <c r="C97" s="8" t="e">
        <f ca="1">SUMIF(INDIRECT("'"&amp;$B97&amp;"'!$F$1:$F$999"), C$1, INDIRECT("'"&amp;$B97&amp;"'!$B$1:$B$999"))/VLOOKUP(C$1, Table1[#All],2, FALSE)</f>
        <v>#REF!</v>
      </c>
      <c r="D97" s="8" t="e">
        <f ca="1">SUMIF(INDIRECT("'"&amp;$B97&amp;"'!$F$1:$F$999"), D$1, INDIRECT("'"&amp;$B97&amp;"'!$B$1:$B$999"))/VLOOKUP(D$1, Table1[#All],2, FALSE)</f>
        <v>#REF!</v>
      </c>
      <c r="E97" s="8" t="e">
        <f ca="1">SUMIF(INDIRECT("'"&amp;$B97&amp;"'!$F$1:$F$999"), E$1, INDIRECT("'"&amp;$B97&amp;"'!$B$1:$B$999"))/VLOOKUP(E$1, Table1[#All],2, FALSE)</f>
        <v>#REF!</v>
      </c>
      <c r="F97" s="8" t="e">
        <f ca="1">SUMIF(INDIRECT("'"&amp;$B97&amp;"'!$F$1:$F$999"), F$1, INDIRECT("'"&amp;$B97&amp;"'!$B$1:$B$999"))/VLOOKUP(F$1, Table1[#All],2, FALSE)</f>
        <v>#REF!</v>
      </c>
      <c r="G97" s="8" t="e">
        <f ca="1">SUMIF(INDIRECT("'"&amp;$B97&amp;"'!$F$1:$F$999"), G$1, INDIRECT("'"&amp;$B97&amp;"'!$B$1:$B$999"))/VLOOKUP(G$1, Table1[#All],2, FALSE)</f>
        <v>#REF!</v>
      </c>
      <c r="H97" s="8" t="e">
        <f ca="1">SUMIF(INDIRECT("'"&amp;$B97&amp;"'!$F$1:$F$999"), H$1, INDIRECT("'"&amp;$B97&amp;"'!$B$1:$B$999"))/VLOOKUP(H$1, Table1[#All],2, FALSE)</f>
        <v>#REF!</v>
      </c>
      <c r="I97" s="8" t="e">
        <f ca="1">SUMIF(INDIRECT("'"&amp;$B97&amp;"'!$F$1:$F$999"), I$1, INDIRECT("'"&amp;$B97&amp;"'!$B$1:$B$999"))/VLOOKUP(I$1, Table1[#All],2, FALSE)</f>
        <v>#REF!</v>
      </c>
      <c r="J97" s="8" t="e">
        <f ca="1">SUMIF(INDIRECT("'"&amp;$B97&amp;"'!$F$1:$F$999"), J$1, INDIRECT("'"&amp;$B97&amp;"'!$B$1:$B$999"))/VLOOKUP(J$1, Table1[#All],2, FALSE)</f>
        <v>#REF!</v>
      </c>
      <c r="K97" s="8" t="e">
        <f ca="1">SUMIF(INDIRECT("'"&amp;$B97&amp;"'!$F$1:$F$999"), K$1, INDIRECT("'"&amp;$B97&amp;"'!$B$1:$B$999"))/VLOOKUP(K$1, Table1[#All],2, FALSE)</f>
        <v>#REF!</v>
      </c>
      <c r="L97" s="8" t="e">
        <f ca="1">SUMIF(INDIRECT("'"&amp;$B97&amp;"'!$F$1:$F$999"), L$1, INDIRECT("'"&amp;$B97&amp;"'!$B$1:$B$999"))/VLOOKUP(L$1, Table1[#All],2, FALSE)</f>
        <v>#REF!</v>
      </c>
      <c r="M97" s="8" t="e">
        <f ca="1">SUMIF(INDIRECT("'"&amp;$B97&amp;"'!$F$1:$F$999"), M$1, INDIRECT("'"&amp;$B97&amp;"'!$B$1:$B$999"))/VLOOKUP(M$1, Table1[#All],2, FALSE)</f>
        <v>#REF!</v>
      </c>
      <c r="N97" s="8" t="e">
        <f ca="1">SUMIF(INDIRECT("'"&amp;$B97&amp;"'!$F$1:$F$999"), N$1, INDIRECT("'"&amp;$B97&amp;"'!$B$1:$B$999"))/VLOOKUP(N$1, Table1[#All],2, FALSE)</f>
        <v>#REF!</v>
      </c>
      <c r="O97" s="8" t="e">
        <f ca="1">SUMIF(INDIRECT("'"&amp;$B97&amp;"'!$F$1:$F$999"), O$1, INDIRECT("'"&amp;$B97&amp;"'!$B$1:$B$999"))/VLOOKUP(O$1, Table1[#All],2, FALSE)</f>
        <v>#REF!</v>
      </c>
      <c r="P97" s="8" t="e">
        <f ca="1">SUMIF(INDIRECT("'"&amp;$B97&amp;"'!$F$1:$F$999"), P$1, INDIRECT("'"&amp;$B97&amp;"'!$B$1:$B$999"))/VLOOKUP(P$1, Table1[#All],2, FALSE)</f>
        <v>#REF!</v>
      </c>
      <c r="Q97" s="8" t="e">
        <f ca="1">SUMIF(INDIRECT("'"&amp;$B97&amp;"'!$F$1:$F$999"), Q$1, INDIRECT("'"&amp;$B97&amp;"'!$B$1:$B$999"))/VLOOKUP(Q$1, Table1[#All],2, FALSE)</f>
        <v>#REF!</v>
      </c>
      <c r="R97" s="8" t="e">
        <f ca="1">SUMIF(INDIRECT("'"&amp;$B97&amp;"'!$F$1:$F$999"), R$1, INDIRECT("'"&amp;$B97&amp;"'!$B$1:$B$999"))/VLOOKUP(R$1, Table1[#All],2, FALSE)</f>
        <v>#REF!</v>
      </c>
      <c r="S97" s="8" t="e">
        <f ca="1">SUMIF(INDIRECT("'"&amp;$B97&amp;"'!$F$1:$F$999"), S$1, INDIRECT("'"&amp;$B97&amp;"'!$B$1:$B$999"))/VLOOKUP(S$1, Table1[#All],2, FALSE)</f>
        <v>#REF!</v>
      </c>
      <c r="T97" s="9" t="e">
        <f t="shared" ca="1" si="4"/>
        <v>#REF!</v>
      </c>
    </row>
    <row r="98" spans="1:20" x14ac:dyDescent="0.25">
      <c r="A98" s="13">
        <f t="shared" si="6"/>
        <v>46357</v>
      </c>
      <c r="B98" s="12" t="str">
        <f t="shared" si="5"/>
        <v>December 2026</v>
      </c>
      <c r="C98" s="8" t="e">
        <f ca="1">SUMIF(INDIRECT("'"&amp;$B98&amp;"'!$F$1:$F$999"), C$1, INDIRECT("'"&amp;$B98&amp;"'!$B$1:$B$999"))/VLOOKUP(C$1, Table1[#All],2, FALSE)</f>
        <v>#REF!</v>
      </c>
      <c r="D98" s="8" t="e">
        <f ca="1">SUMIF(INDIRECT("'"&amp;$B98&amp;"'!$F$1:$F$999"), D$1, INDIRECT("'"&amp;$B98&amp;"'!$B$1:$B$999"))/VLOOKUP(D$1, Table1[#All],2, FALSE)</f>
        <v>#REF!</v>
      </c>
      <c r="E98" s="8" t="e">
        <f ca="1">SUMIF(INDIRECT("'"&amp;$B98&amp;"'!$F$1:$F$999"), E$1, INDIRECT("'"&amp;$B98&amp;"'!$B$1:$B$999"))/VLOOKUP(E$1, Table1[#All],2, FALSE)</f>
        <v>#REF!</v>
      </c>
      <c r="F98" s="8" t="e">
        <f ca="1">SUMIF(INDIRECT("'"&amp;$B98&amp;"'!$F$1:$F$999"), F$1, INDIRECT("'"&amp;$B98&amp;"'!$B$1:$B$999"))/VLOOKUP(F$1, Table1[#All],2, FALSE)</f>
        <v>#REF!</v>
      </c>
      <c r="G98" s="8" t="e">
        <f ca="1">SUMIF(INDIRECT("'"&amp;$B98&amp;"'!$F$1:$F$999"), G$1, INDIRECT("'"&amp;$B98&amp;"'!$B$1:$B$999"))/VLOOKUP(G$1, Table1[#All],2, FALSE)</f>
        <v>#REF!</v>
      </c>
      <c r="H98" s="8" t="e">
        <f ca="1">SUMIF(INDIRECT("'"&amp;$B98&amp;"'!$F$1:$F$999"), H$1, INDIRECT("'"&amp;$B98&amp;"'!$B$1:$B$999"))/VLOOKUP(H$1, Table1[#All],2, FALSE)</f>
        <v>#REF!</v>
      </c>
      <c r="I98" s="8" t="e">
        <f ca="1">SUMIF(INDIRECT("'"&amp;$B98&amp;"'!$F$1:$F$999"), I$1, INDIRECT("'"&amp;$B98&amp;"'!$B$1:$B$999"))/VLOOKUP(I$1, Table1[#All],2, FALSE)</f>
        <v>#REF!</v>
      </c>
      <c r="J98" s="8" t="e">
        <f ca="1">SUMIF(INDIRECT("'"&amp;$B98&amp;"'!$F$1:$F$999"), J$1, INDIRECT("'"&amp;$B98&amp;"'!$B$1:$B$999"))/VLOOKUP(J$1, Table1[#All],2, FALSE)</f>
        <v>#REF!</v>
      </c>
      <c r="K98" s="8" t="e">
        <f ca="1">SUMIF(INDIRECT("'"&amp;$B98&amp;"'!$F$1:$F$999"), K$1, INDIRECT("'"&amp;$B98&amp;"'!$B$1:$B$999"))/VLOOKUP(K$1, Table1[#All],2, FALSE)</f>
        <v>#REF!</v>
      </c>
      <c r="L98" s="8" t="e">
        <f ca="1">SUMIF(INDIRECT("'"&amp;$B98&amp;"'!$F$1:$F$999"), L$1, INDIRECT("'"&amp;$B98&amp;"'!$B$1:$B$999"))/VLOOKUP(L$1, Table1[#All],2, FALSE)</f>
        <v>#REF!</v>
      </c>
      <c r="M98" s="8" t="e">
        <f ca="1">SUMIF(INDIRECT("'"&amp;$B98&amp;"'!$F$1:$F$999"), M$1, INDIRECT("'"&amp;$B98&amp;"'!$B$1:$B$999"))/VLOOKUP(M$1, Table1[#All],2, FALSE)</f>
        <v>#REF!</v>
      </c>
      <c r="N98" s="8" t="e">
        <f ca="1">SUMIF(INDIRECT("'"&amp;$B98&amp;"'!$F$1:$F$999"), N$1, INDIRECT("'"&amp;$B98&amp;"'!$B$1:$B$999"))/VLOOKUP(N$1, Table1[#All],2, FALSE)</f>
        <v>#REF!</v>
      </c>
      <c r="O98" s="8" t="e">
        <f ca="1">SUMIF(INDIRECT("'"&amp;$B98&amp;"'!$F$1:$F$999"), O$1, INDIRECT("'"&amp;$B98&amp;"'!$B$1:$B$999"))/VLOOKUP(O$1, Table1[#All],2, FALSE)</f>
        <v>#REF!</v>
      </c>
      <c r="P98" s="8" t="e">
        <f ca="1">SUMIF(INDIRECT("'"&amp;$B98&amp;"'!$F$1:$F$999"), P$1, INDIRECT("'"&amp;$B98&amp;"'!$B$1:$B$999"))/VLOOKUP(P$1, Table1[#All],2, FALSE)</f>
        <v>#REF!</v>
      </c>
      <c r="Q98" s="8" t="e">
        <f ca="1">SUMIF(INDIRECT("'"&amp;$B98&amp;"'!$F$1:$F$999"), Q$1, INDIRECT("'"&amp;$B98&amp;"'!$B$1:$B$999"))/VLOOKUP(Q$1, Table1[#All],2, FALSE)</f>
        <v>#REF!</v>
      </c>
      <c r="R98" s="8" t="e">
        <f ca="1">SUMIF(INDIRECT("'"&amp;$B98&amp;"'!$F$1:$F$999"), R$1, INDIRECT("'"&amp;$B98&amp;"'!$B$1:$B$999"))/VLOOKUP(R$1, Table1[#All],2, FALSE)</f>
        <v>#REF!</v>
      </c>
      <c r="S98" s="8" t="e">
        <f ca="1">SUMIF(INDIRECT("'"&amp;$B98&amp;"'!$F$1:$F$999"), S$1, INDIRECT("'"&amp;$B98&amp;"'!$B$1:$B$999"))/VLOOKUP(S$1, Table1[#All],2, FALSE)</f>
        <v>#REF!</v>
      </c>
      <c r="T98" s="9" t="e">
        <f t="shared" ca="1" si="4"/>
        <v>#REF!</v>
      </c>
    </row>
    <row r="99" spans="1:20" x14ac:dyDescent="0.25">
      <c r="A99" s="13">
        <f t="shared" si="6"/>
        <v>46388</v>
      </c>
      <c r="B99" s="12" t="str">
        <f t="shared" si="5"/>
        <v>January 2027</v>
      </c>
      <c r="C99" s="8" t="e">
        <f ca="1">SUMIF(INDIRECT("'"&amp;$B99&amp;"'!$F$1:$F$999"), C$1, INDIRECT("'"&amp;$B99&amp;"'!$B$1:$B$999"))/VLOOKUP(C$1, Table1[#All],2, FALSE)</f>
        <v>#REF!</v>
      </c>
      <c r="D99" s="8" t="e">
        <f ca="1">SUMIF(INDIRECT("'"&amp;$B99&amp;"'!$F$1:$F$999"), D$1, INDIRECT("'"&amp;$B99&amp;"'!$B$1:$B$999"))/VLOOKUP(D$1, Table1[#All],2, FALSE)</f>
        <v>#REF!</v>
      </c>
      <c r="E99" s="8" t="e">
        <f ca="1">SUMIF(INDIRECT("'"&amp;$B99&amp;"'!$F$1:$F$999"), E$1, INDIRECT("'"&amp;$B99&amp;"'!$B$1:$B$999"))/VLOOKUP(E$1, Table1[#All],2, FALSE)</f>
        <v>#REF!</v>
      </c>
      <c r="F99" s="8" t="e">
        <f ca="1">SUMIF(INDIRECT("'"&amp;$B99&amp;"'!$F$1:$F$999"), F$1, INDIRECT("'"&amp;$B99&amp;"'!$B$1:$B$999"))/VLOOKUP(F$1, Table1[#All],2, FALSE)</f>
        <v>#REF!</v>
      </c>
      <c r="G99" s="8" t="e">
        <f ca="1">SUMIF(INDIRECT("'"&amp;$B99&amp;"'!$F$1:$F$999"), G$1, INDIRECT("'"&amp;$B99&amp;"'!$B$1:$B$999"))/VLOOKUP(G$1, Table1[#All],2, FALSE)</f>
        <v>#REF!</v>
      </c>
      <c r="H99" s="8" t="e">
        <f ca="1">SUMIF(INDIRECT("'"&amp;$B99&amp;"'!$F$1:$F$999"), H$1, INDIRECT("'"&amp;$B99&amp;"'!$B$1:$B$999"))/VLOOKUP(H$1, Table1[#All],2, FALSE)</f>
        <v>#REF!</v>
      </c>
      <c r="I99" s="8" t="e">
        <f ca="1">SUMIF(INDIRECT("'"&amp;$B99&amp;"'!$F$1:$F$999"), I$1, INDIRECT("'"&amp;$B99&amp;"'!$B$1:$B$999"))/VLOOKUP(I$1, Table1[#All],2, FALSE)</f>
        <v>#REF!</v>
      </c>
      <c r="J99" s="8" t="e">
        <f ca="1">SUMIF(INDIRECT("'"&amp;$B99&amp;"'!$F$1:$F$999"), J$1, INDIRECT("'"&amp;$B99&amp;"'!$B$1:$B$999"))/VLOOKUP(J$1, Table1[#All],2, FALSE)</f>
        <v>#REF!</v>
      </c>
      <c r="K99" s="8" t="e">
        <f ca="1">SUMIF(INDIRECT("'"&amp;$B99&amp;"'!$F$1:$F$999"), K$1, INDIRECT("'"&amp;$B99&amp;"'!$B$1:$B$999"))/VLOOKUP(K$1, Table1[#All],2, FALSE)</f>
        <v>#REF!</v>
      </c>
      <c r="L99" s="8" t="e">
        <f ca="1">SUMIF(INDIRECT("'"&amp;$B99&amp;"'!$F$1:$F$999"), L$1, INDIRECT("'"&amp;$B99&amp;"'!$B$1:$B$999"))/VLOOKUP(L$1, Table1[#All],2, FALSE)</f>
        <v>#REF!</v>
      </c>
      <c r="M99" s="8" t="e">
        <f ca="1">SUMIF(INDIRECT("'"&amp;$B99&amp;"'!$F$1:$F$999"), M$1, INDIRECT("'"&amp;$B99&amp;"'!$B$1:$B$999"))/VLOOKUP(M$1, Table1[#All],2, FALSE)</f>
        <v>#REF!</v>
      </c>
      <c r="N99" s="8" t="e">
        <f ca="1">SUMIF(INDIRECT("'"&amp;$B99&amp;"'!$F$1:$F$999"), N$1, INDIRECT("'"&amp;$B99&amp;"'!$B$1:$B$999"))/VLOOKUP(N$1, Table1[#All],2, FALSE)</f>
        <v>#REF!</v>
      </c>
      <c r="O99" s="8" t="e">
        <f ca="1">SUMIF(INDIRECT("'"&amp;$B99&amp;"'!$F$1:$F$999"), O$1, INDIRECT("'"&amp;$B99&amp;"'!$B$1:$B$999"))/VLOOKUP(O$1, Table1[#All],2, FALSE)</f>
        <v>#REF!</v>
      </c>
      <c r="P99" s="8" t="e">
        <f ca="1">SUMIF(INDIRECT("'"&amp;$B99&amp;"'!$F$1:$F$999"), P$1, INDIRECT("'"&amp;$B99&amp;"'!$B$1:$B$999"))/VLOOKUP(P$1, Table1[#All],2, FALSE)</f>
        <v>#REF!</v>
      </c>
      <c r="Q99" s="8" t="e">
        <f ca="1">SUMIF(INDIRECT("'"&amp;$B99&amp;"'!$F$1:$F$999"), Q$1, INDIRECT("'"&amp;$B99&amp;"'!$B$1:$B$999"))/VLOOKUP(Q$1, Table1[#All],2, FALSE)</f>
        <v>#REF!</v>
      </c>
      <c r="R99" s="8" t="e">
        <f ca="1">SUMIF(INDIRECT("'"&amp;$B99&amp;"'!$F$1:$F$999"), R$1, INDIRECT("'"&amp;$B99&amp;"'!$B$1:$B$999"))/VLOOKUP(R$1, Table1[#All],2, FALSE)</f>
        <v>#REF!</v>
      </c>
      <c r="S99" s="8" t="e">
        <f ca="1">SUMIF(INDIRECT("'"&amp;$B99&amp;"'!$F$1:$F$999"), S$1, INDIRECT("'"&amp;$B99&amp;"'!$B$1:$B$999"))/VLOOKUP(S$1, Table1[#All],2, FALSE)</f>
        <v>#REF!</v>
      </c>
      <c r="T99" s="9" t="e">
        <f t="shared" ref="T99:T132" ca="1" si="7">SUM(INDIRECT("'"&amp;B99&amp;"'!B1:B999"))</f>
        <v>#REF!</v>
      </c>
    </row>
    <row r="100" spans="1:20" x14ac:dyDescent="0.25">
      <c r="A100" s="13">
        <f t="shared" si="6"/>
        <v>46419</v>
      </c>
      <c r="B100" s="12" t="str">
        <f t="shared" si="5"/>
        <v>February 2027</v>
      </c>
      <c r="C100" s="8" t="e">
        <f ca="1">SUMIF(INDIRECT("'"&amp;$B100&amp;"'!$F$1:$F$999"), C$1, INDIRECT("'"&amp;$B100&amp;"'!$B$1:$B$999"))/VLOOKUP(C$1, Table1[#All],2, FALSE)</f>
        <v>#REF!</v>
      </c>
      <c r="D100" s="8" t="e">
        <f ca="1">SUMIF(INDIRECT("'"&amp;$B100&amp;"'!$F$1:$F$999"), D$1, INDIRECT("'"&amp;$B100&amp;"'!$B$1:$B$999"))/VLOOKUP(D$1, Table1[#All],2, FALSE)</f>
        <v>#REF!</v>
      </c>
      <c r="E100" s="8" t="e">
        <f ca="1">SUMIF(INDIRECT("'"&amp;$B100&amp;"'!$F$1:$F$999"), E$1, INDIRECT("'"&amp;$B100&amp;"'!$B$1:$B$999"))/VLOOKUP(E$1, Table1[#All],2, FALSE)</f>
        <v>#REF!</v>
      </c>
      <c r="F100" s="8" t="e">
        <f ca="1">SUMIF(INDIRECT("'"&amp;$B100&amp;"'!$F$1:$F$999"), F$1, INDIRECT("'"&amp;$B100&amp;"'!$B$1:$B$999"))/VLOOKUP(F$1, Table1[#All],2, FALSE)</f>
        <v>#REF!</v>
      </c>
      <c r="G100" s="8" t="e">
        <f ca="1">SUMIF(INDIRECT("'"&amp;$B100&amp;"'!$F$1:$F$999"), G$1, INDIRECT("'"&amp;$B100&amp;"'!$B$1:$B$999"))/VLOOKUP(G$1, Table1[#All],2, FALSE)</f>
        <v>#REF!</v>
      </c>
      <c r="H100" s="8" t="e">
        <f ca="1">SUMIF(INDIRECT("'"&amp;$B100&amp;"'!$F$1:$F$999"), H$1, INDIRECT("'"&amp;$B100&amp;"'!$B$1:$B$999"))/VLOOKUP(H$1, Table1[#All],2, FALSE)</f>
        <v>#REF!</v>
      </c>
      <c r="I100" s="8" t="e">
        <f ca="1">SUMIF(INDIRECT("'"&amp;$B100&amp;"'!$F$1:$F$999"), I$1, INDIRECT("'"&amp;$B100&amp;"'!$B$1:$B$999"))/VLOOKUP(I$1, Table1[#All],2, FALSE)</f>
        <v>#REF!</v>
      </c>
      <c r="J100" s="8" t="e">
        <f ca="1">SUMIF(INDIRECT("'"&amp;$B100&amp;"'!$F$1:$F$999"), J$1, INDIRECT("'"&amp;$B100&amp;"'!$B$1:$B$999"))/VLOOKUP(J$1, Table1[#All],2, FALSE)</f>
        <v>#REF!</v>
      </c>
      <c r="K100" s="8" t="e">
        <f ca="1">SUMIF(INDIRECT("'"&amp;$B100&amp;"'!$F$1:$F$999"), K$1, INDIRECT("'"&amp;$B100&amp;"'!$B$1:$B$999"))/VLOOKUP(K$1, Table1[#All],2, FALSE)</f>
        <v>#REF!</v>
      </c>
      <c r="L100" s="8" t="e">
        <f ca="1">SUMIF(INDIRECT("'"&amp;$B100&amp;"'!$F$1:$F$999"), L$1, INDIRECT("'"&amp;$B100&amp;"'!$B$1:$B$999"))/VLOOKUP(L$1, Table1[#All],2, FALSE)</f>
        <v>#REF!</v>
      </c>
      <c r="M100" s="8" t="e">
        <f ca="1">SUMIF(INDIRECT("'"&amp;$B100&amp;"'!$F$1:$F$999"), M$1, INDIRECT("'"&amp;$B100&amp;"'!$B$1:$B$999"))/VLOOKUP(M$1, Table1[#All],2, FALSE)</f>
        <v>#REF!</v>
      </c>
      <c r="N100" s="8" t="e">
        <f ca="1">SUMIF(INDIRECT("'"&amp;$B100&amp;"'!$F$1:$F$999"), N$1, INDIRECT("'"&amp;$B100&amp;"'!$B$1:$B$999"))/VLOOKUP(N$1, Table1[#All],2, FALSE)</f>
        <v>#REF!</v>
      </c>
      <c r="O100" s="8" t="e">
        <f ca="1">SUMIF(INDIRECT("'"&amp;$B100&amp;"'!$F$1:$F$999"), O$1, INDIRECT("'"&amp;$B100&amp;"'!$B$1:$B$999"))/VLOOKUP(O$1, Table1[#All],2, FALSE)</f>
        <v>#REF!</v>
      </c>
      <c r="P100" s="8" t="e">
        <f ca="1">SUMIF(INDIRECT("'"&amp;$B100&amp;"'!$F$1:$F$999"), P$1, INDIRECT("'"&amp;$B100&amp;"'!$B$1:$B$999"))/VLOOKUP(P$1, Table1[#All],2, FALSE)</f>
        <v>#REF!</v>
      </c>
      <c r="Q100" s="8" t="e">
        <f ca="1">SUMIF(INDIRECT("'"&amp;$B100&amp;"'!$F$1:$F$999"), Q$1, INDIRECT("'"&amp;$B100&amp;"'!$B$1:$B$999"))/VLOOKUP(Q$1, Table1[#All],2, FALSE)</f>
        <v>#REF!</v>
      </c>
      <c r="R100" s="8" t="e">
        <f ca="1">SUMIF(INDIRECT("'"&amp;$B100&amp;"'!$F$1:$F$999"), R$1, INDIRECT("'"&amp;$B100&amp;"'!$B$1:$B$999"))/VLOOKUP(R$1, Table1[#All],2, FALSE)</f>
        <v>#REF!</v>
      </c>
      <c r="S100" s="8" t="e">
        <f ca="1">SUMIF(INDIRECT("'"&amp;$B100&amp;"'!$F$1:$F$999"), S$1, INDIRECT("'"&amp;$B100&amp;"'!$B$1:$B$999"))/VLOOKUP(S$1, Table1[#All],2, FALSE)</f>
        <v>#REF!</v>
      </c>
      <c r="T100" s="9" t="e">
        <f t="shared" ca="1" si="7"/>
        <v>#REF!</v>
      </c>
    </row>
    <row r="101" spans="1:20" x14ac:dyDescent="0.25">
      <c r="A101" s="13">
        <f t="shared" si="6"/>
        <v>46447</v>
      </c>
      <c r="B101" s="12" t="str">
        <f t="shared" si="5"/>
        <v>March 2027</v>
      </c>
      <c r="C101" s="8" t="e">
        <f ca="1">SUMIF(INDIRECT("'"&amp;$B101&amp;"'!$F$1:$F$999"), C$1, INDIRECT("'"&amp;$B101&amp;"'!$B$1:$B$999"))/VLOOKUP(C$1, Table1[#All],2, FALSE)</f>
        <v>#REF!</v>
      </c>
      <c r="D101" s="8" t="e">
        <f ca="1">SUMIF(INDIRECT("'"&amp;$B101&amp;"'!$F$1:$F$999"), D$1, INDIRECT("'"&amp;$B101&amp;"'!$B$1:$B$999"))/VLOOKUP(D$1, Table1[#All],2, FALSE)</f>
        <v>#REF!</v>
      </c>
      <c r="E101" s="8" t="e">
        <f ca="1">SUMIF(INDIRECT("'"&amp;$B101&amp;"'!$F$1:$F$999"), E$1, INDIRECT("'"&amp;$B101&amp;"'!$B$1:$B$999"))/VLOOKUP(E$1, Table1[#All],2, FALSE)</f>
        <v>#REF!</v>
      </c>
      <c r="F101" s="8" t="e">
        <f ca="1">SUMIF(INDIRECT("'"&amp;$B101&amp;"'!$F$1:$F$999"), F$1, INDIRECT("'"&amp;$B101&amp;"'!$B$1:$B$999"))/VLOOKUP(F$1, Table1[#All],2, FALSE)</f>
        <v>#REF!</v>
      </c>
      <c r="G101" s="8" t="e">
        <f ca="1">SUMIF(INDIRECT("'"&amp;$B101&amp;"'!$F$1:$F$999"), G$1, INDIRECT("'"&amp;$B101&amp;"'!$B$1:$B$999"))/VLOOKUP(G$1, Table1[#All],2, FALSE)</f>
        <v>#REF!</v>
      </c>
      <c r="H101" s="8" t="e">
        <f ca="1">SUMIF(INDIRECT("'"&amp;$B101&amp;"'!$F$1:$F$999"), H$1, INDIRECT("'"&amp;$B101&amp;"'!$B$1:$B$999"))/VLOOKUP(H$1, Table1[#All],2, FALSE)</f>
        <v>#REF!</v>
      </c>
      <c r="I101" s="8" t="e">
        <f ca="1">SUMIF(INDIRECT("'"&amp;$B101&amp;"'!$F$1:$F$999"), I$1, INDIRECT("'"&amp;$B101&amp;"'!$B$1:$B$999"))/VLOOKUP(I$1, Table1[#All],2, FALSE)</f>
        <v>#REF!</v>
      </c>
      <c r="J101" s="8" t="e">
        <f ca="1">SUMIF(INDIRECT("'"&amp;$B101&amp;"'!$F$1:$F$999"), J$1, INDIRECT("'"&amp;$B101&amp;"'!$B$1:$B$999"))/VLOOKUP(J$1, Table1[#All],2, FALSE)</f>
        <v>#REF!</v>
      </c>
      <c r="K101" s="8" t="e">
        <f ca="1">SUMIF(INDIRECT("'"&amp;$B101&amp;"'!$F$1:$F$999"), K$1, INDIRECT("'"&amp;$B101&amp;"'!$B$1:$B$999"))/VLOOKUP(K$1, Table1[#All],2, FALSE)</f>
        <v>#REF!</v>
      </c>
      <c r="L101" s="8" t="e">
        <f ca="1">SUMIF(INDIRECT("'"&amp;$B101&amp;"'!$F$1:$F$999"), L$1, INDIRECT("'"&amp;$B101&amp;"'!$B$1:$B$999"))/VLOOKUP(L$1, Table1[#All],2, FALSE)</f>
        <v>#REF!</v>
      </c>
      <c r="M101" s="8" t="e">
        <f ca="1">SUMIF(INDIRECT("'"&amp;$B101&amp;"'!$F$1:$F$999"), M$1, INDIRECT("'"&amp;$B101&amp;"'!$B$1:$B$999"))/VLOOKUP(M$1, Table1[#All],2, FALSE)</f>
        <v>#REF!</v>
      </c>
      <c r="N101" s="8" t="e">
        <f ca="1">SUMIF(INDIRECT("'"&amp;$B101&amp;"'!$F$1:$F$999"), N$1, INDIRECT("'"&amp;$B101&amp;"'!$B$1:$B$999"))/VLOOKUP(N$1, Table1[#All],2, FALSE)</f>
        <v>#REF!</v>
      </c>
      <c r="O101" s="8" t="e">
        <f ca="1">SUMIF(INDIRECT("'"&amp;$B101&amp;"'!$F$1:$F$999"), O$1, INDIRECT("'"&amp;$B101&amp;"'!$B$1:$B$999"))/VLOOKUP(O$1, Table1[#All],2, FALSE)</f>
        <v>#REF!</v>
      </c>
      <c r="P101" s="8" t="e">
        <f ca="1">SUMIF(INDIRECT("'"&amp;$B101&amp;"'!$F$1:$F$999"), P$1, INDIRECT("'"&amp;$B101&amp;"'!$B$1:$B$999"))/VLOOKUP(P$1, Table1[#All],2, FALSE)</f>
        <v>#REF!</v>
      </c>
      <c r="Q101" s="8" t="e">
        <f ca="1">SUMIF(INDIRECT("'"&amp;$B101&amp;"'!$F$1:$F$999"), Q$1, INDIRECT("'"&amp;$B101&amp;"'!$B$1:$B$999"))/VLOOKUP(Q$1, Table1[#All],2, FALSE)</f>
        <v>#REF!</v>
      </c>
      <c r="R101" s="8" t="e">
        <f ca="1">SUMIF(INDIRECT("'"&amp;$B101&amp;"'!$F$1:$F$999"), R$1, INDIRECT("'"&amp;$B101&amp;"'!$B$1:$B$999"))/VLOOKUP(R$1, Table1[#All],2, FALSE)</f>
        <v>#REF!</v>
      </c>
      <c r="S101" s="8" t="e">
        <f ca="1">SUMIF(INDIRECT("'"&amp;$B101&amp;"'!$F$1:$F$999"), S$1, INDIRECT("'"&amp;$B101&amp;"'!$B$1:$B$999"))/VLOOKUP(S$1, Table1[#All],2, FALSE)</f>
        <v>#REF!</v>
      </c>
      <c r="T101" s="9" t="e">
        <f t="shared" ca="1" si="7"/>
        <v>#REF!</v>
      </c>
    </row>
    <row r="102" spans="1:20" x14ac:dyDescent="0.25">
      <c r="A102" s="13">
        <f t="shared" si="6"/>
        <v>46478</v>
      </c>
      <c r="B102" s="12" t="str">
        <f t="shared" si="5"/>
        <v>April 2027</v>
      </c>
      <c r="C102" s="8" t="e">
        <f ca="1">SUMIF(INDIRECT("'"&amp;$B102&amp;"'!$F$1:$F$999"), C$1, INDIRECT("'"&amp;$B102&amp;"'!$B$1:$B$999"))/VLOOKUP(C$1, Table1[#All],2, FALSE)</f>
        <v>#REF!</v>
      </c>
      <c r="D102" s="8" t="e">
        <f ca="1">SUMIF(INDIRECT("'"&amp;$B102&amp;"'!$F$1:$F$999"), D$1, INDIRECT("'"&amp;$B102&amp;"'!$B$1:$B$999"))/VLOOKUP(D$1, Table1[#All],2, FALSE)</f>
        <v>#REF!</v>
      </c>
      <c r="E102" s="8" t="e">
        <f ca="1">SUMIF(INDIRECT("'"&amp;$B102&amp;"'!$F$1:$F$999"), E$1, INDIRECT("'"&amp;$B102&amp;"'!$B$1:$B$999"))/VLOOKUP(E$1, Table1[#All],2, FALSE)</f>
        <v>#REF!</v>
      </c>
      <c r="F102" s="8" t="e">
        <f ca="1">SUMIF(INDIRECT("'"&amp;$B102&amp;"'!$F$1:$F$999"), F$1, INDIRECT("'"&amp;$B102&amp;"'!$B$1:$B$999"))/VLOOKUP(F$1, Table1[#All],2, FALSE)</f>
        <v>#REF!</v>
      </c>
      <c r="G102" s="8" t="e">
        <f ca="1">SUMIF(INDIRECT("'"&amp;$B102&amp;"'!$F$1:$F$999"), G$1, INDIRECT("'"&amp;$B102&amp;"'!$B$1:$B$999"))/VLOOKUP(G$1, Table1[#All],2, FALSE)</f>
        <v>#REF!</v>
      </c>
      <c r="H102" s="8" t="e">
        <f ca="1">SUMIF(INDIRECT("'"&amp;$B102&amp;"'!$F$1:$F$999"), H$1, INDIRECT("'"&amp;$B102&amp;"'!$B$1:$B$999"))/VLOOKUP(H$1, Table1[#All],2, FALSE)</f>
        <v>#REF!</v>
      </c>
      <c r="I102" s="8" t="e">
        <f ca="1">SUMIF(INDIRECT("'"&amp;$B102&amp;"'!$F$1:$F$999"), I$1, INDIRECT("'"&amp;$B102&amp;"'!$B$1:$B$999"))/VLOOKUP(I$1, Table1[#All],2, FALSE)</f>
        <v>#REF!</v>
      </c>
      <c r="J102" s="8" t="e">
        <f ca="1">SUMIF(INDIRECT("'"&amp;$B102&amp;"'!$F$1:$F$999"), J$1, INDIRECT("'"&amp;$B102&amp;"'!$B$1:$B$999"))/VLOOKUP(J$1, Table1[#All],2, FALSE)</f>
        <v>#REF!</v>
      </c>
      <c r="K102" s="8" t="e">
        <f ca="1">SUMIF(INDIRECT("'"&amp;$B102&amp;"'!$F$1:$F$999"), K$1, INDIRECT("'"&amp;$B102&amp;"'!$B$1:$B$999"))/VLOOKUP(K$1, Table1[#All],2, FALSE)</f>
        <v>#REF!</v>
      </c>
      <c r="L102" s="8" t="e">
        <f ca="1">SUMIF(INDIRECT("'"&amp;$B102&amp;"'!$F$1:$F$999"), L$1, INDIRECT("'"&amp;$B102&amp;"'!$B$1:$B$999"))/VLOOKUP(L$1, Table1[#All],2, FALSE)</f>
        <v>#REF!</v>
      </c>
      <c r="M102" s="8" t="e">
        <f ca="1">SUMIF(INDIRECT("'"&amp;$B102&amp;"'!$F$1:$F$999"), M$1, INDIRECT("'"&amp;$B102&amp;"'!$B$1:$B$999"))/VLOOKUP(M$1, Table1[#All],2, FALSE)</f>
        <v>#REF!</v>
      </c>
      <c r="N102" s="8" t="e">
        <f ca="1">SUMIF(INDIRECT("'"&amp;$B102&amp;"'!$F$1:$F$999"), N$1, INDIRECT("'"&amp;$B102&amp;"'!$B$1:$B$999"))/VLOOKUP(N$1, Table1[#All],2, FALSE)</f>
        <v>#REF!</v>
      </c>
      <c r="O102" s="8" t="e">
        <f ca="1">SUMIF(INDIRECT("'"&amp;$B102&amp;"'!$F$1:$F$999"), O$1, INDIRECT("'"&amp;$B102&amp;"'!$B$1:$B$999"))/VLOOKUP(O$1, Table1[#All],2, FALSE)</f>
        <v>#REF!</v>
      </c>
      <c r="P102" s="8" t="e">
        <f ca="1">SUMIF(INDIRECT("'"&amp;$B102&amp;"'!$F$1:$F$999"), P$1, INDIRECT("'"&amp;$B102&amp;"'!$B$1:$B$999"))/VLOOKUP(P$1, Table1[#All],2, FALSE)</f>
        <v>#REF!</v>
      </c>
      <c r="Q102" s="8" t="e">
        <f ca="1">SUMIF(INDIRECT("'"&amp;$B102&amp;"'!$F$1:$F$999"), Q$1, INDIRECT("'"&amp;$B102&amp;"'!$B$1:$B$999"))/VLOOKUP(Q$1, Table1[#All],2, FALSE)</f>
        <v>#REF!</v>
      </c>
      <c r="R102" s="8" t="e">
        <f ca="1">SUMIF(INDIRECT("'"&amp;$B102&amp;"'!$F$1:$F$999"), R$1, INDIRECT("'"&amp;$B102&amp;"'!$B$1:$B$999"))/VLOOKUP(R$1, Table1[#All],2, FALSE)</f>
        <v>#REF!</v>
      </c>
      <c r="S102" s="8" t="e">
        <f ca="1">SUMIF(INDIRECT("'"&amp;$B102&amp;"'!$F$1:$F$999"), S$1, INDIRECT("'"&amp;$B102&amp;"'!$B$1:$B$999"))/VLOOKUP(S$1, Table1[#All],2, FALSE)</f>
        <v>#REF!</v>
      </c>
      <c r="T102" s="9" t="e">
        <f t="shared" ca="1" si="7"/>
        <v>#REF!</v>
      </c>
    </row>
    <row r="103" spans="1:20" x14ac:dyDescent="0.25">
      <c r="A103" s="13">
        <f t="shared" si="6"/>
        <v>46508</v>
      </c>
      <c r="B103" s="12" t="str">
        <f t="shared" si="5"/>
        <v>May 2027</v>
      </c>
      <c r="C103" s="8" t="e">
        <f ca="1">SUMIF(INDIRECT("'"&amp;$B103&amp;"'!$F$1:$F$999"), C$1, INDIRECT("'"&amp;$B103&amp;"'!$B$1:$B$999"))/VLOOKUP(C$1, Table1[#All],2, FALSE)</f>
        <v>#REF!</v>
      </c>
      <c r="D103" s="8" t="e">
        <f ca="1">SUMIF(INDIRECT("'"&amp;$B103&amp;"'!$F$1:$F$999"), D$1, INDIRECT("'"&amp;$B103&amp;"'!$B$1:$B$999"))/VLOOKUP(D$1, Table1[#All],2, FALSE)</f>
        <v>#REF!</v>
      </c>
      <c r="E103" s="8" t="e">
        <f ca="1">SUMIF(INDIRECT("'"&amp;$B103&amp;"'!$F$1:$F$999"), E$1, INDIRECT("'"&amp;$B103&amp;"'!$B$1:$B$999"))/VLOOKUP(E$1, Table1[#All],2, FALSE)</f>
        <v>#REF!</v>
      </c>
      <c r="F103" s="8" t="e">
        <f ca="1">SUMIF(INDIRECT("'"&amp;$B103&amp;"'!$F$1:$F$999"), F$1, INDIRECT("'"&amp;$B103&amp;"'!$B$1:$B$999"))/VLOOKUP(F$1, Table1[#All],2, FALSE)</f>
        <v>#REF!</v>
      </c>
      <c r="G103" s="8" t="e">
        <f ca="1">SUMIF(INDIRECT("'"&amp;$B103&amp;"'!$F$1:$F$999"), G$1, INDIRECT("'"&amp;$B103&amp;"'!$B$1:$B$999"))/VLOOKUP(G$1, Table1[#All],2, FALSE)</f>
        <v>#REF!</v>
      </c>
      <c r="H103" s="8" t="e">
        <f ca="1">SUMIF(INDIRECT("'"&amp;$B103&amp;"'!$F$1:$F$999"), H$1, INDIRECT("'"&amp;$B103&amp;"'!$B$1:$B$999"))/VLOOKUP(H$1, Table1[#All],2, FALSE)</f>
        <v>#REF!</v>
      </c>
      <c r="I103" s="8" t="e">
        <f ca="1">SUMIF(INDIRECT("'"&amp;$B103&amp;"'!$F$1:$F$999"), I$1, INDIRECT("'"&amp;$B103&amp;"'!$B$1:$B$999"))/VLOOKUP(I$1, Table1[#All],2, FALSE)</f>
        <v>#REF!</v>
      </c>
      <c r="J103" s="8" t="e">
        <f ca="1">SUMIF(INDIRECT("'"&amp;$B103&amp;"'!$F$1:$F$999"), J$1, INDIRECT("'"&amp;$B103&amp;"'!$B$1:$B$999"))/VLOOKUP(J$1, Table1[#All],2, FALSE)</f>
        <v>#REF!</v>
      </c>
      <c r="K103" s="8" t="e">
        <f ca="1">SUMIF(INDIRECT("'"&amp;$B103&amp;"'!$F$1:$F$999"), K$1, INDIRECT("'"&amp;$B103&amp;"'!$B$1:$B$999"))/VLOOKUP(K$1, Table1[#All],2, FALSE)</f>
        <v>#REF!</v>
      </c>
      <c r="L103" s="8" t="e">
        <f ca="1">SUMIF(INDIRECT("'"&amp;$B103&amp;"'!$F$1:$F$999"), L$1, INDIRECT("'"&amp;$B103&amp;"'!$B$1:$B$999"))/VLOOKUP(L$1, Table1[#All],2, FALSE)</f>
        <v>#REF!</v>
      </c>
      <c r="M103" s="8" t="e">
        <f ca="1">SUMIF(INDIRECT("'"&amp;$B103&amp;"'!$F$1:$F$999"), M$1, INDIRECT("'"&amp;$B103&amp;"'!$B$1:$B$999"))/VLOOKUP(M$1, Table1[#All],2, FALSE)</f>
        <v>#REF!</v>
      </c>
      <c r="N103" s="8" t="e">
        <f ca="1">SUMIF(INDIRECT("'"&amp;$B103&amp;"'!$F$1:$F$999"), N$1, INDIRECT("'"&amp;$B103&amp;"'!$B$1:$B$999"))/VLOOKUP(N$1, Table1[#All],2, FALSE)</f>
        <v>#REF!</v>
      </c>
      <c r="O103" s="8" t="e">
        <f ca="1">SUMIF(INDIRECT("'"&amp;$B103&amp;"'!$F$1:$F$999"), O$1, INDIRECT("'"&amp;$B103&amp;"'!$B$1:$B$999"))/VLOOKUP(O$1, Table1[#All],2, FALSE)</f>
        <v>#REF!</v>
      </c>
      <c r="P103" s="8" t="e">
        <f ca="1">SUMIF(INDIRECT("'"&amp;$B103&amp;"'!$F$1:$F$999"), P$1, INDIRECT("'"&amp;$B103&amp;"'!$B$1:$B$999"))/VLOOKUP(P$1, Table1[#All],2, FALSE)</f>
        <v>#REF!</v>
      </c>
      <c r="Q103" s="8" t="e">
        <f ca="1">SUMIF(INDIRECT("'"&amp;$B103&amp;"'!$F$1:$F$999"), Q$1, INDIRECT("'"&amp;$B103&amp;"'!$B$1:$B$999"))/VLOOKUP(Q$1, Table1[#All],2, FALSE)</f>
        <v>#REF!</v>
      </c>
      <c r="R103" s="8" t="e">
        <f ca="1">SUMIF(INDIRECT("'"&amp;$B103&amp;"'!$F$1:$F$999"), R$1, INDIRECT("'"&amp;$B103&amp;"'!$B$1:$B$999"))/VLOOKUP(R$1, Table1[#All],2, FALSE)</f>
        <v>#REF!</v>
      </c>
      <c r="S103" s="8" t="e">
        <f ca="1">SUMIF(INDIRECT("'"&amp;$B103&amp;"'!$F$1:$F$999"), S$1, INDIRECT("'"&amp;$B103&amp;"'!$B$1:$B$999"))/VLOOKUP(S$1, Table1[#All],2, FALSE)</f>
        <v>#REF!</v>
      </c>
      <c r="T103" s="9" t="e">
        <f t="shared" ca="1" si="7"/>
        <v>#REF!</v>
      </c>
    </row>
    <row r="104" spans="1:20" x14ac:dyDescent="0.25">
      <c r="A104" s="13">
        <f t="shared" si="6"/>
        <v>46539</v>
      </c>
      <c r="B104" s="12" t="str">
        <f t="shared" si="5"/>
        <v>June 2027</v>
      </c>
      <c r="C104" s="8" t="e">
        <f ca="1">SUMIF(INDIRECT("'"&amp;$B104&amp;"'!$F$1:$F$999"), C$1, INDIRECT("'"&amp;$B104&amp;"'!$B$1:$B$999"))/VLOOKUP(C$1, Table1[#All],2, FALSE)</f>
        <v>#REF!</v>
      </c>
      <c r="D104" s="8" t="e">
        <f ca="1">SUMIF(INDIRECT("'"&amp;$B104&amp;"'!$F$1:$F$999"), D$1, INDIRECT("'"&amp;$B104&amp;"'!$B$1:$B$999"))/VLOOKUP(D$1, Table1[#All],2, FALSE)</f>
        <v>#REF!</v>
      </c>
      <c r="E104" s="8" t="e">
        <f ca="1">SUMIF(INDIRECT("'"&amp;$B104&amp;"'!$F$1:$F$999"), E$1, INDIRECT("'"&amp;$B104&amp;"'!$B$1:$B$999"))/VLOOKUP(E$1, Table1[#All],2, FALSE)</f>
        <v>#REF!</v>
      </c>
      <c r="F104" s="8" t="e">
        <f ca="1">SUMIF(INDIRECT("'"&amp;$B104&amp;"'!$F$1:$F$999"), F$1, INDIRECT("'"&amp;$B104&amp;"'!$B$1:$B$999"))/VLOOKUP(F$1, Table1[#All],2, FALSE)</f>
        <v>#REF!</v>
      </c>
      <c r="G104" s="8" t="e">
        <f ca="1">SUMIF(INDIRECT("'"&amp;$B104&amp;"'!$F$1:$F$999"), G$1, INDIRECT("'"&amp;$B104&amp;"'!$B$1:$B$999"))/VLOOKUP(G$1, Table1[#All],2, FALSE)</f>
        <v>#REF!</v>
      </c>
      <c r="H104" s="8" t="e">
        <f ca="1">SUMIF(INDIRECT("'"&amp;$B104&amp;"'!$F$1:$F$999"), H$1, INDIRECT("'"&amp;$B104&amp;"'!$B$1:$B$999"))/VLOOKUP(H$1, Table1[#All],2, FALSE)</f>
        <v>#REF!</v>
      </c>
      <c r="I104" s="8" t="e">
        <f ca="1">SUMIF(INDIRECT("'"&amp;$B104&amp;"'!$F$1:$F$999"), I$1, INDIRECT("'"&amp;$B104&amp;"'!$B$1:$B$999"))/VLOOKUP(I$1, Table1[#All],2, FALSE)</f>
        <v>#REF!</v>
      </c>
      <c r="J104" s="8" t="e">
        <f ca="1">SUMIF(INDIRECT("'"&amp;$B104&amp;"'!$F$1:$F$999"), J$1, INDIRECT("'"&amp;$B104&amp;"'!$B$1:$B$999"))/VLOOKUP(J$1, Table1[#All],2, FALSE)</f>
        <v>#REF!</v>
      </c>
      <c r="K104" s="8" t="e">
        <f ca="1">SUMIF(INDIRECT("'"&amp;$B104&amp;"'!$F$1:$F$999"), K$1, INDIRECT("'"&amp;$B104&amp;"'!$B$1:$B$999"))/VLOOKUP(K$1, Table1[#All],2, FALSE)</f>
        <v>#REF!</v>
      </c>
      <c r="L104" s="8" t="e">
        <f ca="1">SUMIF(INDIRECT("'"&amp;$B104&amp;"'!$F$1:$F$999"), L$1, INDIRECT("'"&amp;$B104&amp;"'!$B$1:$B$999"))/VLOOKUP(L$1, Table1[#All],2, FALSE)</f>
        <v>#REF!</v>
      </c>
      <c r="M104" s="8" t="e">
        <f ca="1">SUMIF(INDIRECT("'"&amp;$B104&amp;"'!$F$1:$F$999"), M$1, INDIRECT("'"&amp;$B104&amp;"'!$B$1:$B$999"))/VLOOKUP(M$1, Table1[#All],2, FALSE)</f>
        <v>#REF!</v>
      </c>
      <c r="N104" s="8" t="e">
        <f ca="1">SUMIF(INDIRECT("'"&amp;$B104&amp;"'!$F$1:$F$999"), N$1, INDIRECT("'"&amp;$B104&amp;"'!$B$1:$B$999"))/VLOOKUP(N$1, Table1[#All],2, FALSE)</f>
        <v>#REF!</v>
      </c>
      <c r="O104" s="8" t="e">
        <f ca="1">SUMIF(INDIRECT("'"&amp;$B104&amp;"'!$F$1:$F$999"), O$1, INDIRECT("'"&amp;$B104&amp;"'!$B$1:$B$999"))/VLOOKUP(O$1, Table1[#All],2, FALSE)</f>
        <v>#REF!</v>
      </c>
      <c r="P104" s="8" t="e">
        <f ca="1">SUMIF(INDIRECT("'"&amp;$B104&amp;"'!$F$1:$F$999"), P$1, INDIRECT("'"&amp;$B104&amp;"'!$B$1:$B$999"))/VLOOKUP(P$1, Table1[#All],2, FALSE)</f>
        <v>#REF!</v>
      </c>
      <c r="Q104" s="8" t="e">
        <f ca="1">SUMIF(INDIRECT("'"&amp;$B104&amp;"'!$F$1:$F$999"), Q$1, INDIRECT("'"&amp;$B104&amp;"'!$B$1:$B$999"))/VLOOKUP(Q$1, Table1[#All],2, FALSE)</f>
        <v>#REF!</v>
      </c>
      <c r="R104" s="8" t="e">
        <f ca="1">SUMIF(INDIRECT("'"&amp;$B104&amp;"'!$F$1:$F$999"), R$1, INDIRECT("'"&amp;$B104&amp;"'!$B$1:$B$999"))/VLOOKUP(R$1, Table1[#All],2, FALSE)</f>
        <v>#REF!</v>
      </c>
      <c r="S104" s="8" t="e">
        <f ca="1">SUMIF(INDIRECT("'"&amp;$B104&amp;"'!$F$1:$F$999"), S$1, INDIRECT("'"&amp;$B104&amp;"'!$B$1:$B$999"))/VLOOKUP(S$1, Table1[#All],2, FALSE)</f>
        <v>#REF!</v>
      </c>
      <c r="T104" s="9" t="e">
        <f t="shared" ca="1" si="7"/>
        <v>#REF!</v>
      </c>
    </row>
    <row r="105" spans="1:20" x14ac:dyDescent="0.25">
      <c r="A105" s="13">
        <f t="shared" si="6"/>
        <v>46569</v>
      </c>
      <c r="B105" s="12" t="str">
        <f t="shared" si="5"/>
        <v>July 2027</v>
      </c>
      <c r="C105" s="8" t="e">
        <f ca="1">SUMIF(INDIRECT("'"&amp;$B105&amp;"'!$F$1:$F$999"), C$1, INDIRECT("'"&amp;$B105&amp;"'!$B$1:$B$999"))/VLOOKUP(C$1, Table1[#All],2, FALSE)</f>
        <v>#REF!</v>
      </c>
      <c r="D105" s="8" t="e">
        <f ca="1">SUMIF(INDIRECT("'"&amp;$B105&amp;"'!$F$1:$F$999"), D$1, INDIRECT("'"&amp;$B105&amp;"'!$B$1:$B$999"))/VLOOKUP(D$1, Table1[#All],2, FALSE)</f>
        <v>#REF!</v>
      </c>
      <c r="E105" s="8" t="e">
        <f ca="1">SUMIF(INDIRECT("'"&amp;$B105&amp;"'!$F$1:$F$999"), E$1, INDIRECT("'"&amp;$B105&amp;"'!$B$1:$B$999"))/VLOOKUP(E$1, Table1[#All],2, FALSE)</f>
        <v>#REF!</v>
      </c>
      <c r="F105" s="8" t="e">
        <f ca="1">SUMIF(INDIRECT("'"&amp;$B105&amp;"'!$F$1:$F$999"), F$1, INDIRECT("'"&amp;$B105&amp;"'!$B$1:$B$999"))/VLOOKUP(F$1, Table1[#All],2, FALSE)</f>
        <v>#REF!</v>
      </c>
      <c r="G105" s="8" t="e">
        <f ca="1">SUMIF(INDIRECT("'"&amp;$B105&amp;"'!$F$1:$F$999"), G$1, INDIRECT("'"&amp;$B105&amp;"'!$B$1:$B$999"))/VLOOKUP(G$1, Table1[#All],2, FALSE)</f>
        <v>#REF!</v>
      </c>
      <c r="H105" s="8" t="e">
        <f ca="1">SUMIF(INDIRECT("'"&amp;$B105&amp;"'!$F$1:$F$999"), H$1, INDIRECT("'"&amp;$B105&amp;"'!$B$1:$B$999"))/VLOOKUP(H$1, Table1[#All],2, FALSE)</f>
        <v>#REF!</v>
      </c>
      <c r="I105" s="8" t="e">
        <f ca="1">SUMIF(INDIRECT("'"&amp;$B105&amp;"'!$F$1:$F$999"), I$1, INDIRECT("'"&amp;$B105&amp;"'!$B$1:$B$999"))/VLOOKUP(I$1, Table1[#All],2, FALSE)</f>
        <v>#REF!</v>
      </c>
      <c r="J105" s="8" t="e">
        <f ca="1">SUMIF(INDIRECT("'"&amp;$B105&amp;"'!$F$1:$F$999"), J$1, INDIRECT("'"&amp;$B105&amp;"'!$B$1:$B$999"))/VLOOKUP(J$1, Table1[#All],2, FALSE)</f>
        <v>#REF!</v>
      </c>
      <c r="K105" s="8" t="e">
        <f ca="1">SUMIF(INDIRECT("'"&amp;$B105&amp;"'!$F$1:$F$999"), K$1, INDIRECT("'"&amp;$B105&amp;"'!$B$1:$B$999"))/VLOOKUP(K$1, Table1[#All],2, FALSE)</f>
        <v>#REF!</v>
      </c>
      <c r="L105" s="8" t="e">
        <f ca="1">SUMIF(INDIRECT("'"&amp;$B105&amp;"'!$F$1:$F$999"), L$1, INDIRECT("'"&amp;$B105&amp;"'!$B$1:$B$999"))/VLOOKUP(L$1, Table1[#All],2, FALSE)</f>
        <v>#REF!</v>
      </c>
      <c r="M105" s="8" t="e">
        <f ca="1">SUMIF(INDIRECT("'"&amp;$B105&amp;"'!$F$1:$F$999"), M$1, INDIRECT("'"&amp;$B105&amp;"'!$B$1:$B$999"))/VLOOKUP(M$1, Table1[#All],2, FALSE)</f>
        <v>#REF!</v>
      </c>
      <c r="N105" s="8" t="e">
        <f ca="1">SUMIF(INDIRECT("'"&amp;$B105&amp;"'!$F$1:$F$999"), N$1, INDIRECT("'"&amp;$B105&amp;"'!$B$1:$B$999"))/VLOOKUP(N$1, Table1[#All],2, FALSE)</f>
        <v>#REF!</v>
      </c>
      <c r="O105" s="8" t="e">
        <f ca="1">SUMIF(INDIRECT("'"&amp;$B105&amp;"'!$F$1:$F$999"), O$1, INDIRECT("'"&amp;$B105&amp;"'!$B$1:$B$999"))/VLOOKUP(O$1, Table1[#All],2, FALSE)</f>
        <v>#REF!</v>
      </c>
      <c r="P105" s="8" t="e">
        <f ca="1">SUMIF(INDIRECT("'"&amp;$B105&amp;"'!$F$1:$F$999"), P$1, INDIRECT("'"&amp;$B105&amp;"'!$B$1:$B$999"))/VLOOKUP(P$1, Table1[#All],2, FALSE)</f>
        <v>#REF!</v>
      </c>
      <c r="Q105" s="8" t="e">
        <f ca="1">SUMIF(INDIRECT("'"&amp;$B105&amp;"'!$F$1:$F$999"), Q$1, INDIRECT("'"&amp;$B105&amp;"'!$B$1:$B$999"))/VLOOKUP(Q$1, Table1[#All],2, FALSE)</f>
        <v>#REF!</v>
      </c>
      <c r="R105" s="8" t="e">
        <f ca="1">SUMIF(INDIRECT("'"&amp;$B105&amp;"'!$F$1:$F$999"), R$1, INDIRECT("'"&amp;$B105&amp;"'!$B$1:$B$999"))/VLOOKUP(R$1, Table1[#All],2, FALSE)</f>
        <v>#REF!</v>
      </c>
      <c r="S105" s="8" t="e">
        <f ca="1">SUMIF(INDIRECT("'"&amp;$B105&amp;"'!$F$1:$F$999"), S$1, INDIRECT("'"&amp;$B105&amp;"'!$B$1:$B$999"))/VLOOKUP(S$1, Table1[#All],2, FALSE)</f>
        <v>#REF!</v>
      </c>
      <c r="T105" s="9" t="e">
        <f t="shared" ca="1" si="7"/>
        <v>#REF!</v>
      </c>
    </row>
    <row r="106" spans="1:20" x14ac:dyDescent="0.25">
      <c r="A106" s="13">
        <f t="shared" si="6"/>
        <v>46600</v>
      </c>
      <c r="B106" s="12" t="str">
        <f t="shared" si="5"/>
        <v>August 2027</v>
      </c>
      <c r="C106" s="8" t="e">
        <f ca="1">SUMIF(INDIRECT("'"&amp;$B106&amp;"'!$F$1:$F$999"), C$1, INDIRECT("'"&amp;$B106&amp;"'!$B$1:$B$999"))/VLOOKUP(C$1, Table1[#All],2, FALSE)</f>
        <v>#REF!</v>
      </c>
      <c r="D106" s="8" t="e">
        <f ca="1">SUMIF(INDIRECT("'"&amp;$B106&amp;"'!$F$1:$F$999"), D$1, INDIRECT("'"&amp;$B106&amp;"'!$B$1:$B$999"))/VLOOKUP(D$1, Table1[#All],2, FALSE)</f>
        <v>#REF!</v>
      </c>
      <c r="E106" s="8" t="e">
        <f ca="1">SUMIF(INDIRECT("'"&amp;$B106&amp;"'!$F$1:$F$999"), E$1, INDIRECT("'"&amp;$B106&amp;"'!$B$1:$B$999"))/VLOOKUP(E$1, Table1[#All],2, FALSE)</f>
        <v>#REF!</v>
      </c>
      <c r="F106" s="8" t="e">
        <f ca="1">SUMIF(INDIRECT("'"&amp;$B106&amp;"'!$F$1:$F$999"), F$1, INDIRECT("'"&amp;$B106&amp;"'!$B$1:$B$999"))/VLOOKUP(F$1, Table1[#All],2, FALSE)</f>
        <v>#REF!</v>
      </c>
      <c r="G106" s="8" t="e">
        <f ca="1">SUMIF(INDIRECT("'"&amp;$B106&amp;"'!$F$1:$F$999"), G$1, INDIRECT("'"&amp;$B106&amp;"'!$B$1:$B$999"))/VLOOKUP(G$1, Table1[#All],2, FALSE)</f>
        <v>#REF!</v>
      </c>
      <c r="H106" s="8" t="e">
        <f ca="1">SUMIF(INDIRECT("'"&amp;$B106&amp;"'!$F$1:$F$999"), H$1, INDIRECT("'"&amp;$B106&amp;"'!$B$1:$B$999"))/VLOOKUP(H$1, Table1[#All],2, FALSE)</f>
        <v>#REF!</v>
      </c>
      <c r="I106" s="8" t="e">
        <f ca="1">SUMIF(INDIRECT("'"&amp;$B106&amp;"'!$F$1:$F$999"), I$1, INDIRECT("'"&amp;$B106&amp;"'!$B$1:$B$999"))/VLOOKUP(I$1, Table1[#All],2, FALSE)</f>
        <v>#REF!</v>
      </c>
      <c r="J106" s="8" t="e">
        <f ca="1">SUMIF(INDIRECT("'"&amp;$B106&amp;"'!$F$1:$F$999"), J$1, INDIRECT("'"&amp;$B106&amp;"'!$B$1:$B$999"))/VLOOKUP(J$1, Table1[#All],2, FALSE)</f>
        <v>#REF!</v>
      </c>
      <c r="K106" s="8" t="e">
        <f ca="1">SUMIF(INDIRECT("'"&amp;$B106&amp;"'!$F$1:$F$999"), K$1, INDIRECT("'"&amp;$B106&amp;"'!$B$1:$B$999"))/VLOOKUP(K$1, Table1[#All],2, FALSE)</f>
        <v>#REF!</v>
      </c>
      <c r="L106" s="8" t="e">
        <f ca="1">SUMIF(INDIRECT("'"&amp;$B106&amp;"'!$F$1:$F$999"), L$1, INDIRECT("'"&amp;$B106&amp;"'!$B$1:$B$999"))/VLOOKUP(L$1, Table1[#All],2, FALSE)</f>
        <v>#REF!</v>
      </c>
      <c r="M106" s="8" t="e">
        <f ca="1">SUMIF(INDIRECT("'"&amp;$B106&amp;"'!$F$1:$F$999"), M$1, INDIRECT("'"&amp;$B106&amp;"'!$B$1:$B$999"))/VLOOKUP(M$1, Table1[#All],2, FALSE)</f>
        <v>#REF!</v>
      </c>
      <c r="N106" s="8" t="e">
        <f ca="1">SUMIF(INDIRECT("'"&amp;$B106&amp;"'!$F$1:$F$999"), N$1, INDIRECT("'"&amp;$B106&amp;"'!$B$1:$B$999"))/VLOOKUP(N$1, Table1[#All],2, FALSE)</f>
        <v>#REF!</v>
      </c>
      <c r="O106" s="8" t="e">
        <f ca="1">SUMIF(INDIRECT("'"&amp;$B106&amp;"'!$F$1:$F$999"), O$1, INDIRECT("'"&amp;$B106&amp;"'!$B$1:$B$999"))/VLOOKUP(O$1, Table1[#All],2, FALSE)</f>
        <v>#REF!</v>
      </c>
      <c r="P106" s="8" t="e">
        <f ca="1">SUMIF(INDIRECT("'"&amp;$B106&amp;"'!$F$1:$F$999"), P$1, INDIRECT("'"&amp;$B106&amp;"'!$B$1:$B$999"))/VLOOKUP(P$1, Table1[#All],2, FALSE)</f>
        <v>#REF!</v>
      </c>
      <c r="Q106" s="8" t="e">
        <f ca="1">SUMIF(INDIRECT("'"&amp;$B106&amp;"'!$F$1:$F$999"), Q$1, INDIRECT("'"&amp;$B106&amp;"'!$B$1:$B$999"))/VLOOKUP(Q$1, Table1[#All],2, FALSE)</f>
        <v>#REF!</v>
      </c>
      <c r="R106" s="8" t="e">
        <f ca="1">SUMIF(INDIRECT("'"&amp;$B106&amp;"'!$F$1:$F$999"), R$1, INDIRECT("'"&amp;$B106&amp;"'!$B$1:$B$999"))/VLOOKUP(R$1, Table1[#All],2, FALSE)</f>
        <v>#REF!</v>
      </c>
      <c r="S106" s="8" t="e">
        <f ca="1">SUMIF(INDIRECT("'"&amp;$B106&amp;"'!$F$1:$F$999"), S$1, INDIRECT("'"&amp;$B106&amp;"'!$B$1:$B$999"))/VLOOKUP(S$1, Table1[#All],2, FALSE)</f>
        <v>#REF!</v>
      </c>
      <c r="T106" s="9" t="e">
        <f t="shared" ca="1" si="7"/>
        <v>#REF!</v>
      </c>
    </row>
    <row r="107" spans="1:20" x14ac:dyDescent="0.25">
      <c r="A107" s="13">
        <f t="shared" si="6"/>
        <v>46631</v>
      </c>
      <c r="B107" s="12" t="str">
        <f t="shared" si="5"/>
        <v>September 2027</v>
      </c>
      <c r="C107" s="8" t="e">
        <f ca="1">SUMIF(INDIRECT("'"&amp;$B107&amp;"'!$F$1:$F$999"), C$1, INDIRECT("'"&amp;$B107&amp;"'!$B$1:$B$999"))/VLOOKUP(C$1, Table1[#All],2, FALSE)</f>
        <v>#REF!</v>
      </c>
      <c r="D107" s="8" t="e">
        <f ca="1">SUMIF(INDIRECT("'"&amp;$B107&amp;"'!$F$1:$F$999"), D$1, INDIRECT("'"&amp;$B107&amp;"'!$B$1:$B$999"))/VLOOKUP(D$1, Table1[#All],2, FALSE)</f>
        <v>#REF!</v>
      </c>
      <c r="E107" s="8" t="e">
        <f ca="1">SUMIF(INDIRECT("'"&amp;$B107&amp;"'!$F$1:$F$999"), E$1, INDIRECT("'"&amp;$B107&amp;"'!$B$1:$B$999"))/VLOOKUP(E$1, Table1[#All],2, FALSE)</f>
        <v>#REF!</v>
      </c>
      <c r="F107" s="8" t="e">
        <f ca="1">SUMIF(INDIRECT("'"&amp;$B107&amp;"'!$F$1:$F$999"), F$1, INDIRECT("'"&amp;$B107&amp;"'!$B$1:$B$999"))/VLOOKUP(F$1, Table1[#All],2, FALSE)</f>
        <v>#REF!</v>
      </c>
      <c r="G107" s="8" t="e">
        <f ca="1">SUMIF(INDIRECT("'"&amp;$B107&amp;"'!$F$1:$F$999"), G$1, INDIRECT("'"&amp;$B107&amp;"'!$B$1:$B$999"))/VLOOKUP(G$1, Table1[#All],2, FALSE)</f>
        <v>#REF!</v>
      </c>
      <c r="H107" s="8" t="e">
        <f ca="1">SUMIF(INDIRECT("'"&amp;$B107&amp;"'!$F$1:$F$999"), H$1, INDIRECT("'"&amp;$B107&amp;"'!$B$1:$B$999"))/VLOOKUP(H$1, Table1[#All],2, FALSE)</f>
        <v>#REF!</v>
      </c>
      <c r="I107" s="8" t="e">
        <f ca="1">SUMIF(INDIRECT("'"&amp;$B107&amp;"'!$F$1:$F$999"), I$1, INDIRECT("'"&amp;$B107&amp;"'!$B$1:$B$999"))/VLOOKUP(I$1, Table1[#All],2, FALSE)</f>
        <v>#REF!</v>
      </c>
      <c r="J107" s="8" t="e">
        <f ca="1">SUMIF(INDIRECT("'"&amp;$B107&amp;"'!$F$1:$F$999"), J$1, INDIRECT("'"&amp;$B107&amp;"'!$B$1:$B$999"))/VLOOKUP(J$1, Table1[#All],2, FALSE)</f>
        <v>#REF!</v>
      </c>
      <c r="K107" s="8" t="e">
        <f ca="1">SUMIF(INDIRECT("'"&amp;$B107&amp;"'!$F$1:$F$999"), K$1, INDIRECT("'"&amp;$B107&amp;"'!$B$1:$B$999"))/VLOOKUP(K$1, Table1[#All],2, FALSE)</f>
        <v>#REF!</v>
      </c>
      <c r="L107" s="8" t="e">
        <f ca="1">SUMIF(INDIRECT("'"&amp;$B107&amp;"'!$F$1:$F$999"), L$1, INDIRECT("'"&amp;$B107&amp;"'!$B$1:$B$999"))/VLOOKUP(L$1, Table1[#All],2, FALSE)</f>
        <v>#REF!</v>
      </c>
      <c r="M107" s="8" t="e">
        <f ca="1">SUMIF(INDIRECT("'"&amp;$B107&amp;"'!$F$1:$F$999"), M$1, INDIRECT("'"&amp;$B107&amp;"'!$B$1:$B$999"))/VLOOKUP(M$1, Table1[#All],2, FALSE)</f>
        <v>#REF!</v>
      </c>
      <c r="N107" s="8" t="e">
        <f ca="1">SUMIF(INDIRECT("'"&amp;$B107&amp;"'!$F$1:$F$999"), N$1, INDIRECT("'"&amp;$B107&amp;"'!$B$1:$B$999"))/VLOOKUP(N$1, Table1[#All],2, FALSE)</f>
        <v>#REF!</v>
      </c>
      <c r="O107" s="8" t="e">
        <f ca="1">SUMIF(INDIRECT("'"&amp;$B107&amp;"'!$F$1:$F$999"), O$1, INDIRECT("'"&amp;$B107&amp;"'!$B$1:$B$999"))/VLOOKUP(O$1, Table1[#All],2, FALSE)</f>
        <v>#REF!</v>
      </c>
      <c r="P107" s="8" t="e">
        <f ca="1">SUMIF(INDIRECT("'"&amp;$B107&amp;"'!$F$1:$F$999"), P$1, INDIRECT("'"&amp;$B107&amp;"'!$B$1:$B$999"))/VLOOKUP(P$1, Table1[#All],2, FALSE)</f>
        <v>#REF!</v>
      </c>
      <c r="Q107" s="8" t="e">
        <f ca="1">SUMIF(INDIRECT("'"&amp;$B107&amp;"'!$F$1:$F$999"), Q$1, INDIRECT("'"&amp;$B107&amp;"'!$B$1:$B$999"))/VLOOKUP(Q$1, Table1[#All],2, FALSE)</f>
        <v>#REF!</v>
      </c>
      <c r="R107" s="8" t="e">
        <f ca="1">SUMIF(INDIRECT("'"&amp;$B107&amp;"'!$F$1:$F$999"), R$1, INDIRECT("'"&amp;$B107&amp;"'!$B$1:$B$999"))/VLOOKUP(R$1, Table1[#All],2, FALSE)</f>
        <v>#REF!</v>
      </c>
      <c r="S107" s="8" t="e">
        <f ca="1">SUMIF(INDIRECT("'"&amp;$B107&amp;"'!$F$1:$F$999"), S$1, INDIRECT("'"&amp;$B107&amp;"'!$B$1:$B$999"))/VLOOKUP(S$1, Table1[#All],2, FALSE)</f>
        <v>#REF!</v>
      </c>
      <c r="T107" s="9" t="e">
        <f t="shared" ca="1" si="7"/>
        <v>#REF!</v>
      </c>
    </row>
    <row r="108" spans="1:20" x14ac:dyDescent="0.25">
      <c r="A108" s="13">
        <f t="shared" si="6"/>
        <v>46661</v>
      </c>
      <c r="B108" s="12" t="str">
        <f t="shared" si="5"/>
        <v>October 2027</v>
      </c>
      <c r="C108" s="8" t="e">
        <f ca="1">SUMIF(INDIRECT("'"&amp;$B108&amp;"'!$F$1:$F$999"), C$1, INDIRECT("'"&amp;$B108&amp;"'!$B$1:$B$999"))/VLOOKUP(C$1, Table1[#All],2, FALSE)</f>
        <v>#REF!</v>
      </c>
      <c r="D108" s="8" t="e">
        <f ca="1">SUMIF(INDIRECT("'"&amp;$B108&amp;"'!$F$1:$F$999"), D$1, INDIRECT("'"&amp;$B108&amp;"'!$B$1:$B$999"))/VLOOKUP(D$1, Table1[#All],2, FALSE)</f>
        <v>#REF!</v>
      </c>
      <c r="E108" s="8" t="e">
        <f ca="1">SUMIF(INDIRECT("'"&amp;$B108&amp;"'!$F$1:$F$999"), E$1, INDIRECT("'"&amp;$B108&amp;"'!$B$1:$B$999"))/VLOOKUP(E$1, Table1[#All],2, FALSE)</f>
        <v>#REF!</v>
      </c>
      <c r="F108" s="8" t="e">
        <f ca="1">SUMIF(INDIRECT("'"&amp;$B108&amp;"'!$F$1:$F$999"), F$1, INDIRECT("'"&amp;$B108&amp;"'!$B$1:$B$999"))/VLOOKUP(F$1, Table1[#All],2, FALSE)</f>
        <v>#REF!</v>
      </c>
      <c r="G108" s="8" t="e">
        <f ca="1">SUMIF(INDIRECT("'"&amp;$B108&amp;"'!$F$1:$F$999"), G$1, INDIRECT("'"&amp;$B108&amp;"'!$B$1:$B$999"))/VLOOKUP(G$1, Table1[#All],2, FALSE)</f>
        <v>#REF!</v>
      </c>
      <c r="H108" s="8" t="e">
        <f ca="1">SUMIF(INDIRECT("'"&amp;$B108&amp;"'!$F$1:$F$999"), H$1, INDIRECT("'"&amp;$B108&amp;"'!$B$1:$B$999"))/VLOOKUP(H$1, Table1[#All],2, FALSE)</f>
        <v>#REF!</v>
      </c>
      <c r="I108" s="8" t="e">
        <f ca="1">SUMIF(INDIRECT("'"&amp;$B108&amp;"'!$F$1:$F$999"), I$1, INDIRECT("'"&amp;$B108&amp;"'!$B$1:$B$999"))/VLOOKUP(I$1, Table1[#All],2, FALSE)</f>
        <v>#REF!</v>
      </c>
      <c r="J108" s="8" t="e">
        <f ca="1">SUMIF(INDIRECT("'"&amp;$B108&amp;"'!$F$1:$F$999"), J$1, INDIRECT("'"&amp;$B108&amp;"'!$B$1:$B$999"))/VLOOKUP(J$1, Table1[#All],2, FALSE)</f>
        <v>#REF!</v>
      </c>
      <c r="K108" s="8" t="e">
        <f ca="1">SUMIF(INDIRECT("'"&amp;$B108&amp;"'!$F$1:$F$999"), K$1, INDIRECT("'"&amp;$B108&amp;"'!$B$1:$B$999"))/VLOOKUP(K$1, Table1[#All],2, FALSE)</f>
        <v>#REF!</v>
      </c>
      <c r="L108" s="8" t="e">
        <f ca="1">SUMIF(INDIRECT("'"&amp;$B108&amp;"'!$F$1:$F$999"), L$1, INDIRECT("'"&amp;$B108&amp;"'!$B$1:$B$999"))/VLOOKUP(L$1, Table1[#All],2, FALSE)</f>
        <v>#REF!</v>
      </c>
      <c r="M108" s="8" t="e">
        <f ca="1">SUMIF(INDIRECT("'"&amp;$B108&amp;"'!$F$1:$F$999"), M$1, INDIRECT("'"&amp;$B108&amp;"'!$B$1:$B$999"))/VLOOKUP(M$1, Table1[#All],2, FALSE)</f>
        <v>#REF!</v>
      </c>
      <c r="N108" s="8" t="e">
        <f ca="1">SUMIF(INDIRECT("'"&amp;$B108&amp;"'!$F$1:$F$999"), N$1, INDIRECT("'"&amp;$B108&amp;"'!$B$1:$B$999"))/VLOOKUP(N$1, Table1[#All],2, FALSE)</f>
        <v>#REF!</v>
      </c>
      <c r="O108" s="8" t="e">
        <f ca="1">SUMIF(INDIRECT("'"&amp;$B108&amp;"'!$F$1:$F$999"), O$1, INDIRECT("'"&amp;$B108&amp;"'!$B$1:$B$999"))/VLOOKUP(O$1, Table1[#All],2, FALSE)</f>
        <v>#REF!</v>
      </c>
      <c r="P108" s="8" t="e">
        <f ca="1">SUMIF(INDIRECT("'"&amp;$B108&amp;"'!$F$1:$F$999"), P$1, INDIRECT("'"&amp;$B108&amp;"'!$B$1:$B$999"))/VLOOKUP(P$1, Table1[#All],2, FALSE)</f>
        <v>#REF!</v>
      </c>
      <c r="Q108" s="8" t="e">
        <f ca="1">SUMIF(INDIRECT("'"&amp;$B108&amp;"'!$F$1:$F$999"), Q$1, INDIRECT("'"&amp;$B108&amp;"'!$B$1:$B$999"))/VLOOKUP(Q$1, Table1[#All],2, FALSE)</f>
        <v>#REF!</v>
      </c>
      <c r="R108" s="8" t="e">
        <f ca="1">SUMIF(INDIRECT("'"&amp;$B108&amp;"'!$F$1:$F$999"), R$1, INDIRECT("'"&amp;$B108&amp;"'!$B$1:$B$999"))/VLOOKUP(R$1, Table1[#All],2, FALSE)</f>
        <v>#REF!</v>
      </c>
      <c r="S108" s="8" t="e">
        <f ca="1">SUMIF(INDIRECT("'"&amp;$B108&amp;"'!$F$1:$F$999"), S$1, INDIRECT("'"&amp;$B108&amp;"'!$B$1:$B$999"))/VLOOKUP(S$1, Table1[#All],2, FALSE)</f>
        <v>#REF!</v>
      </c>
      <c r="T108" s="9" t="e">
        <f t="shared" ca="1" si="7"/>
        <v>#REF!</v>
      </c>
    </row>
    <row r="109" spans="1:20" x14ac:dyDescent="0.25">
      <c r="A109" s="13">
        <f t="shared" si="6"/>
        <v>46692</v>
      </c>
      <c r="B109" s="12" t="str">
        <f t="shared" si="5"/>
        <v>November 2027</v>
      </c>
      <c r="C109" s="8" t="e">
        <f ca="1">SUMIF(INDIRECT("'"&amp;$B109&amp;"'!$F$1:$F$999"), C$1, INDIRECT("'"&amp;$B109&amp;"'!$B$1:$B$999"))/VLOOKUP(C$1, Table1[#All],2, FALSE)</f>
        <v>#REF!</v>
      </c>
      <c r="D109" s="8" t="e">
        <f ca="1">SUMIF(INDIRECT("'"&amp;$B109&amp;"'!$F$1:$F$999"), D$1, INDIRECT("'"&amp;$B109&amp;"'!$B$1:$B$999"))/VLOOKUP(D$1, Table1[#All],2, FALSE)</f>
        <v>#REF!</v>
      </c>
      <c r="E109" s="8" t="e">
        <f ca="1">SUMIF(INDIRECT("'"&amp;$B109&amp;"'!$F$1:$F$999"), E$1, INDIRECT("'"&amp;$B109&amp;"'!$B$1:$B$999"))/VLOOKUP(E$1, Table1[#All],2, FALSE)</f>
        <v>#REF!</v>
      </c>
      <c r="F109" s="8" t="e">
        <f ca="1">SUMIF(INDIRECT("'"&amp;$B109&amp;"'!$F$1:$F$999"), F$1, INDIRECT("'"&amp;$B109&amp;"'!$B$1:$B$999"))/VLOOKUP(F$1, Table1[#All],2, FALSE)</f>
        <v>#REF!</v>
      </c>
      <c r="G109" s="8" t="e">
        <f ca="1">SUMIF(INDIRECT("'"&amp;$B109&amp;"'!$F$1:$F$999"), G$1, INDIRECT("'"&amp;$B109&amp;"'!$B$1:$B$999"))/VLOOKUP(G$1, Table1[#All],2, FALSE)</f>
        <v>#REF!</v>
      </c>
      <c r="H109" s="8" t="e">
        <f ca="1">SUMIF(INDIRECT("'"&amp;$B109&amp;"'!$F$1:$F$999"), H$1, INDIRECT("'"&amp;$B109&amp;"'!$B$1:$B$999"))/VLOOKUP(H$1, Table1[#All],2, FALSE)</f>
        <v>#REF!</v>
      </c>
      <c r="I109" s="8" t="e">
        <f ca="1">SUMIF(INDIRECT("'"&amp;$B109&amp;"'!$F$1:$F$999"), I$1, INDIRECT("'"&amp;$B109&amp;"'!$B$1:$B$999"))/VLOOKUP(I$1, Table1[#All],2, FALSE)</f>
        <v>#REF!</v>
      </c>
      <c r="J109" s="8" t="e">
        <f ca="1">SUMIF(INDIRECT("'"&amp;$B109&amp;"'!$F$1:$F$999"), J$1, INDIRECT("'"&amp;$B109&amp;"'!$B$1:$B$999"))/VLOOKUP(J$1, Table1[#All],2, FALSE)</f>
        <v>#REF!</v>
      </c>
      <c r="K109" s="8" t="e">
        <f ca="1">SUMIF(INDIRECT("'"&amp;$B109&amp;"'!$F$1:$F$999"), K$1, INDIRECT("'"&amp;$B109&amp;"'!$B$1:$B$999"))/VLOOKUP(K$1, Table1[#All],2, FALSE)</f>
        <v>#REF!</v>
      </c>
      <c r="L109" s="8" t="e">
        <f ca="1">SUMIF(INDIRECT("'"&amp;$B109&amp;"'!$F$1:$F$999"), L$1, INDIRECT("'"&amp;$B109&amp;"'!$B$1:$B$999"))/VLOOKUP(L$1, Table1[#All],2, FALSE)</f>
        <v>#REF!</v>
      </c>
      <c r="M109" s="8" t="e">
        <f ca="1">SUMIF(INDIRECT("'"&amp;$B109&amp;"'!$F$1:$F$999"), M$1, INDIRECT("'"&amp;$B109&amp;"'!$B$1:$B$999"))/VLOOKUP(M$1, Table1[#All],2, FALSE)</f>
        <v>#REF!</v>
      </c>
      <c r="N109" s="8" t="e">
        <f ca="1">SUMIF(INDIRECT("'"&amp;$B109&amp;"'!$F$1:$F$999"), N$1, INDIRECT("'"&amp;$B109&amp;"'!$B$1:$B$999"))/VLOOKUP(N$1, Table1[#All],2, FALSE)</f>
        <v>#REF!</v>
      </c>
      <c r="O109" s="8" t="e">
        <f ca="1">SUMIF(INDIRECT("'"&amp;$B109&amp;"'!$F$1:$F$999"), O$1, INDIRECT("'"&amp;$B109&amp;"'!$B$1:$B$999"))/VLOOKUP(O$1, Table1[#All],2, FALSE)</f>
        <v>#REF!</v>
      </c>
      <c r="P109" s="8" t="e">
        <f ca="1">SUMIF(INDIRECT("'"&amp;$B109&amp;"'!$F$1:$F$999"), P$1, INDIRECT("'"&amp;$B109&amp;"'!$B$1:$B$999"))/VLOOKUP(P$1, Table1[#All],2, FALSE)</f>
        <v>#REF!</v>
      </c>
      <c r="Q109" s="8" t="e">
        <f ca="1">SUMIF(INDIRECT("'"&amp;$B109&amp;"'!$F$1:$F$999"), Q$1, INDIRECT("'"&amp;$B109&amp;"'!$B$1:$B$999"))/VLOOKUP(Q$1, Table1[#All],2, FALSE)</f>
        <v>#REF!</v>
      </c>
      <c r="R109" s="8" t="e">
        <f ca="1">SUMIF(INDIRECT("'"&amp;$B109&amp;"'!$F$1:$F$999"), R$1, INDIRECT("'"&amp;$B109&amp;"'!$B$1:$B$999"))/VLOOKUP(R$1, Table1[#All],2, FALSE)</f>
        <v>#REF!</v>
      </c>
      <c r="S109" s="8" t="e">
        <f ca="1">SUMIF(INDIRECT("'"&amp;$B109&amp;"'!$F$1:$F$999"), S$1, INDIRECT("'"&amp;$B109&amp;"'!$B$1:$B$999"))/VLOOKUP(S$1, Table1[#All],2, FALSE)</f>
        <v>#REF!</v>
      </c>
      <c r="T109" s="9" t="e">
        <f t="shared" ca="1" si="7"/>
        <v>#REF!</v>
      </c>
    </row>
    <row r="110" spans="1:20" x14ac:dyDescent="0.25">
      <c r="A110" s="13">
        <f t="shared" si="6"/>
        <v>46722</v>
      </c>
      <c r="B110" s="12" t="str">
        <f t="shared" si="5"/>
        <v>December 2027</v>
      </c>
      <c r="C110" s="8" t="e">
        <f ca="1">SUMIF(INDIRECT("'"&amp;$B110&amp;"'!$F$1:$F$999"), C$1, INDIRECT("'"&amp;$B110&amp;"'!$B$1:$B$999"))/VLOOKUP(C$1, Table1[#All],2, FALSE)</f>
        <v>#REF!</v>
      </c>
      <c r="D110" s="8" t="e">
        <f ca="1">SUMIF(INDIRECT("'"&amp;$B110&amp;"'!$F$1:$F$999"), D$1, INDIRECT("'"&amp;$B110&amp;"'!$B$1:$B$999"))/VLOOKUP(D$1, Table1[#All],2, FALSE)</f>
        <v>#REF!</v>
      </c>
      <c r="E110" s="8" t="e">
        <f ca="1">SUMIF(INDIRECT("'"&amp;$B110&amp;"'!$F$1:$F$999"), E$1, INDIRECT("'"&amp;$B110&amp;"'!$B$1:$B$999"))/VLOOKUP(E$1, Table1[#All],2, FALSE)</f>
        <v>#REF!</v>
      </c>
      <c r="F110" s="8" t="e">
        <f ca="1">SUMIF(INDIRECT("'"&amp;$B110&amp;"'!$F$1:$F$999"), F$1, INDIRECT("'"&amp;$B110&amp;"'!$B$1:$B$999"))/VLOOKUP(F$1, Table1[#All],2, FALSE)</f>
        <v>#REF!</v>
      </c>
      <c r="G110" s="8" t="e">
        <f ca="1">SUMIF(INDIRECT("'"&amp;$B110&amp;"'!$F$1:$F$999"), G$1, INDIRECT("'"&amp;$B110&amp;"'!$B$1:$B$999"))/VLOOKUP(G$1, Table1[#All],2, FALSE)</f>
        <v>#REF!</v>
      </c>
      <c r="H110" s="8" t="e">
        <f ca="1">SUMIF(INDIRECT("'"&amp;$B110&amp;"'!$F$1:$F$999"), H$1, INDIRECT("'"&amp;$B110&amp;"'!$B$1:$B$999"))/VLOOKUP(H$1, Table1[#All],2, FALSE)</f>
        <v>#REF!</v>
      </c>
      <c r="I110" s="8" t="e">
        <f ca="1">SUMIF(INDIRECT("'"&amp;$B110&amp;"'!$F$1:$F$999"), I$1, INDIRECT("'"&amp;$B110&amp;"'!$B$1:$B$999"))/VLOOKUP(I$1, Table1[#All],2, FALSE)</f>
        <v>#REF!</v>
      </c>
      <c r="J110" s="8" t="e">
        <f ca="1">SUMIF(INDIRECT("'"&amp;$B110&amp;"'!$F$1:$F$999"), J$1, INDIRECT("'"&amp;$B110&amp;"'!$B$1:$B$999"))/VLOOKUP(J$1, Table1[#All],2, FALSE)</f>
        <v>#REF!</v>
      </c>
      <c r="K110" s="8" t="e">
        <f ca="1">SUMIF(INDIRECT("'"&amp;$B110&amp;"'!$F$1:$F$999"), K$1, INDIRECT("'"&amp;$B110&amp;"'!$B$1:$B$999"))/VLOOKUP(K$1, Table1[#All],2, FALSE)</f>
        <v>#REF!</v>
      </c>
      <c r="L110" s="8" t="e">
        <f ca="1">SUMIF(INDIRECT("'"&amp;$B110&amp;"'!$F$1:$F$999"), L$1, INDIRECT("'"&amp;$B110&amp;"'!$B$1:$B$999"))/VLOOKUP(L$1, Table1[#All],2, FALSE)</f>
        <v>#REF!</v>
      </c>
      <c r="M110" s="8" t="e">
        <f ca="1">SUMIF(INDIRECT("'"&amp;$B110&amp;"'!$F$1:$F$999"), M$1, INDIRECT("'"&amp;$B110&amp;"'!$B$1:$B$999"))/VLOOKUP(M$1, Table1[#All],2, FALSE)</f>
        <v>#REF!</v>
      </c>
      <c r="N110" s="8" t="e">
        <f ca="1">SUMIF(INDIRECT("'"&amp;$B110&amp;"'!$F$1:$F$999"), N$1, INDIRECT("'"&amp;$B110&amp;"'!$B$1:$B$999"))/VLOOKUP(N$1, Table1[#All],2, FALSE)</f>
        <v>#REF!</v>
      </c>
      <c r="O110" s="8" t="e">
        <f ca="1">SUMIF(INDIRECT("'"&amp;$B110&amp;"'!$F$1:$F$999"), O$1, INDIRECT("'"&amp;$B110&amp;"'!$B$1:$B$999"))/VLOOKUP(O$1, Table1[#All],2, FALSE)</f>
        <v>#REF!</v>
      </c>
      <c r="P110" s="8" t="e">
        <f ca="1">SUMIF(INDIRECT("'"&amp;$B110&amp;"'!$F$1:$F$999"), P$1, INDIRECT("'"&amp;$B110&amp;"'!$B$1:$B$999"))/VLOOKUP(P$1, Table1[#All],2, FALSE)</f>
        <v>#REF!</v>
      </c>
      <c r="Q110" s="8" t="e">
        <f ca="1">SUMIF(INDIRECT("'"&amp;$B110&amp;"'!$F$1:$F$999"), Q$1, INDIRECT("'"&amp;$B110&amp;"'!$B$1:$B$999"))/VLOOKUP(Q$1, Table1[#All],2, FALSE)</f>
        <v>#REF!</v>
      </c>
      <c r="R110" s="8" t="e">
        <f ca="1">SUMIF(INDIRECT("'"&amp;$B110&amp;"'!$F$1:$F$999"), R$1, INDIRECT("'"&amp;$B110&amp;"'!$B$1:$B$999"))/VLOOKUP(R$1, Table1[#All],2, FALSE)</f>
        <v>#REF!</v>
      </c>
      <c r="S110" s="8" t="e">
        <f ca="1">SUMIF(INDIRECT("'"&amp;$B110&amp;"'!$F$1:$F$999"), S$1, INDIRECT("'"&amp;$B110&amp;"'!$B$1:$B$999"))/VLOOKUP(S$1, Table1[#All],2, FALSE)</f>
        <v>#REF!</v>
      </c>
      <c r="T110" s="9" t="e">
        <f t="shared" ca="1" si="7"/>
        <v>#REF!</v>
      </c>
    </row>
    <row r="111" spans="1:20" x14ac:dyDescent="0.25">
      <c r="A111" s="13">
        <f t="shared" si="6"/>
        <v>46753</v>
      </c>
      <c r="B111" s="12" t="str">
        <f t="shared" si="5"/>
        <v>January 2028</v>
      </c>
      <c r="C111" s="8" t="e">
        <f ca="1">SUMIF(INDIRECT("'"&amp;$B111&amp;"'!$F$1:$F$999"), C$1, INDIRECT("'"&amp;$B111&amp;"'!$B$1:$B$999"))/VLOOKUP(C$1, Table1[#All],2, FALSE)</f>
        <v>#REF!</v>
      </c>
      <c r="D111" s="8" t="e">
        <f ca="1">SUMIF(INDIRECT("'"&amp;$B111&amp;"'!$F$1:$F$999"), D$1, INDIRECT("'"&amp;$B111&amp;"'!$B$1:$B$999"))/VLOOKUP(D$1, Table1[#All],2, FALSE)</f>
        <v>#REF!</v>
      </c>
      <c r="E111" s="8" t="e">
        <f ca="1">SUMIF(INDIRECT("'"&amp;$B111&amp;"'!$F$1:$F$999"), E$1, INDIRECT("'"&amp;$B111&amp;"'!$B$1:$B$999"))/VLOOKUP(E$1, Table1[#All],2, FALSE)</f>
        <v>#REF!</v>
      </c>
      <c r="F111" s="8" t="e">
        <f ca="1">SUMIF(INDIRECT("'"&amp;$B111&amp;"'!$F$1:$F$999"), F$1, INDIRECT("'"&amp;$B111&amp;"'!$B$1:$B$999"))/VLOOKUP(F$1, Table1[#All],2, FALSE)</f>
        <v>#REF!</v>
      </c>
      <c r="G111" s="8" t="e">
        <f ca="1">SUMIF(INDIRECT("'"&amp;$B111&amp;"'!$F$1:$F$999"), G$1, INDIRECT("'"&amp;$B111&amp;"'!$B$1:$B$999"))/VLOOKUP(G$1, Table1[#All],2, FALSE)</f>
        <v>#REF!</v>
      </c>
      <c r="H111" s="8" t="e">
        <f ca="1">SUMIF(INDIRECT("'"&amp;$B111&amp;"'!$F$1:$F$999"), H$1, INDIRECT("'"&amp;$B111&amp;"'!$B$1:$B$999"))/VLOOKUP(H$1, Table1[#All],2, FALSE)</f>
        <v>#REF!</v>
      </c>
      <c r="I111" s="8" t="e">
        <f ca="1">SUMIF(INDIRECT("'"&amp;$B111&amp;"'!$F$1:$F$999"), I$1, INDIRECT("'"&amp;$B111&amp;"'!$B$1:$B$999"))/VLOOKUP(I$1, Table1[#All],2, FALSE)</f>
        <v>#REF!</v>
      </c>
      <c r="J111" s="8" t="e">
        <f ca="1">SUMIF(INDIRECT("'"&amp;$B111&amp;"'!$F$1:$F$999"), J$1, INDIRECT("'"&amp;$B111&amp;"'!$B$1:$B$999"))/VLOOKUP(J$1, Table1[#All],2, FALSE)</f>
        <v>#REF!</v>
      </c>
      <c r="K111" s="8" t="e">
        <f ca="1">SUMIF(INDIRECT("'"&amp;$B111&amp;"'!$F$1:$F$999"), K$1, INDIRECT("'"&amp;$B111&amp;"'!$B$1:$B$999"))/VLOOKUP(K$1, Table1[#All],2, FALSE)</f>
        <v>#REF!</v>
      </c>
      <c r="L111" s="8" t="e">
        <f ca="1">SUMIF(INDIRECT("'"&amp;$B111&amp;"'!$F$1:$F$999"), L$1, INDIRECT("'"&amp;$B111&amp;"'!$B$1:$B$999"))/VLOOKUP(L$1, Table1[#All],2, FALSE)</f>
        <v>#REF!</v>
      </c>
      <c r="M111" s="8" t="e">
        <f ca="1">SUMIF(INDIRECT("'"&amp;$B111&amp;"'!$F$1:$F$999"), M$1, INDIRECT("'"&amp;$B111&amp;"'!$B$1:$B$999"))/VLOOKUP(M$1, Table1[#All],2, FALSE)</f>
        <v>#REF!</v>
      </c>
      <c r="N111" s="8" t="e">
        <f ca="1">SUMIF(INDIRECT("'"&amp;$B111&amp;"'!$F$1:$F$999"), N$1, INDIRECT("'"&amp;$B111&amp;"'!$B$1:$B$999"))/VLOOKUP(N$1, Table1[#All],2, FALSE)</f>
        <v>#REF!</v>
      </c>
      <c r="O111" s="8" t="e">
        <f ca="1">SUMIF(INDIRECT("'"&amp;$B111&amp;"'!$F$1:$F$999"), O$1, INDIRECT("'"&amp;$B111&amp;"'!$B$1:$B$999"))/VLOOKUP(O$1, Table1[#All],2, FALSE)</f>
        <v>#REF!</v>
      </c>
      <c r="P111" s="8" t="e">
        <f ca="1">SUMIF(INDIRECT("'"&amp;$B111&amp;"'!$F$1:$F$999"), P$1, INDIRECT("'"&amp;$B111&amp;"'!$B$1:$B$999"))/VLOOKUP(P$1, Table1[#All],2, FALSE)</f>
        <v>#REF!</v>
      </c>
      <c r="Q111" s="8" t="e">
        <f ca="1">SUMIF(INDIRECT("'"&amp;$B111&amp;"'!$F$1:$F$999"), Q$1, INDIRECT("'"&amp;$B111&amp;"'!$B$1:$B$999"))/VLOOKUP(Q$1, Table1[#All],2, FALSE)</f>
        <v>#REF!</v>
      </c>
      <c r="R111" s="8" t="e">
        <f ca="1">SUMIF(INDIRECT("'"&amp;$B111&amp;"'!$F$1:$F$999"), R$1, INDIRECT("'"&amp;$B111&amp;"'!$B$1:$B$999"))/VLOOKUP(R$1, Table1[#All],2, FALSE)</f>
        <v>#REF!</v>
      </c>
      <c r="S111" s="8" t="e">
        <f ca="1">SUMIF(INDIRECT("'"&amp;$B111&amp;"'!$F$1:$F$999"), S$1, INDIRECT("'"&amp;$B111&amp;"'!$B$1:$B$999"))/VLOOKUP(S$1, Table1[#All],2, FALSE)</f>
        <v>#REF!</v>
      </c>
      <c r="T111" s="9" t="e">
        <f t="shared" ca="1" si="7"/>
        <v>#REF!</v>
      </c>
    </row>
    <row r="112" spans="1:20" x14ac:dyDescent="0.25">
      <c r="A112" s="13">
        <f t="shared" si="6"/>
        <v>46784</v>
      </c>
      <c r="B112" s="12" t="str">
        <f t="shared" si="5"/>
        <v>February 2028</v>
      </c>
      <c r="C112" s="8" t="e">
        <f ca="1">SUMIF(INDIRECT("'"&amp;$B112&amp;"'!$F$1:$F$999"), C$1, INDIRECT("'"&amp;$B112&amp;"'!$B$1:$B$999"))/VLOOKUP(C$1, Table1[#All],2, FALSE)</f>
        <v>#REF!</v>
      </c>
      <c r="D112" s="8" t="e">
        <f ca="1">SUMIF(INDIRECT("'"&amp;$B112&amp;"'!$F$1:$F$999"), D$1, INDIRECT("'"&amp;$B112&amp;"'!$B$1:$B$999"))/VLOOKUP(D$1, Table1[#All],2, FALSE)</f>
        <v>#REF!</v>
      </c>
      <c r="E112" s="8" t="e">
        <f ca="1">SUMIF(INDIRECT("'"&amp;$B112&amp;"'!$F$1:$F$999"), E$1, INDIRECT("'"&amp;$B112&amp;"'!$B$1:$B$999"))/VLOOKUP(E$1, Table1[#All],2, FALSE)</f>
        <v>#REF!</v>
      </c>
      <c r="F112" s="8" t="e">
        <f ca="1">SUMIF(INDIRECT("'"&amp;$B112&amp;"'!$F$1:$F$999"), F$1, INDIRECT("'"&amp;$B112&amp;"'!$B$1:$B$999"))/VLOOKUP(F$1, Table1[#All],2, FALSE)</f>
        <v>#REF!</v>
      </c>
      <c r="G112" s="8" t="e">
        <f ca="1">SUMIF(INDIRECT("'"&amp;$B112&amp;"'!$F$1:$F$999"), G$1, INDIRECT("'"&amp;$B112&amp;"'!$B$1:$B$999"))/VLOOKUP(G$1, Table1[#All],2, FALSE)</f>
        <v>#REF!</v>
      </c>
      <c r="H112" s="8" t="e">
        <f ca="1">SUMIF(INDIRECT("'"&amp;$B112&amp;"'!$F$1:$F$999"), H$1, INDIRECT("'"&amp;$B112&amp;"'!$B$1:$B$999"))/VLOOKUP(H$1, Table1[#All],2, FALSE)</f>
        <v>#REF!</v>
      </c>
      <c r="I112" s="8" t="e">
        <f ca="1">SUMIF(INDIRECT("'"&amp;$B112&amp;"'!$F$1:$F$999"), I$1, INDIRECT("'"&amp;$B112&amp;"'!$B$1:$B$999"))/VLOOKUP(I$1, Table1[#All],2, FALSE)</f>
        <v>#REF!</v>
      </c>
      <c r="J112" s="8" t="e">
        <f ca="1">SUMIF(INDIRECT("'"&amp;$B112&amp;"'!$F$1:$F$999"), J$1, INDIRECT("'"&amp;$B112&amp;"'!$B$1:$B$999"))/VLOOKUP(J$1, Table1[#All],2, FALSE)</f>
        <v>#REF!</v>
      </c>
      <c r="K112" s="8" t="e">
        <f ca="1">SUMIF(INDIRECT("'"&amp;$B112&amp;"'!$F$1:$F$999"), K$1, INDIRECT("'"&amp;$B112&amp;"'!$B$1:$B$999"))/VLOOKUP(K$1, Table1[#All],2, FALSE)</f>
        <v>#REF!</v>
      </c>
      <c r="L112" s="8" t="e">
        <f ca="1">SUMIF(INDIRECT("'"&amp;$B112&amp;"'!$F$1:$F$999"), L$1, INDIRECT("'"&amp;$B112&amp;"'!$B$1:$B$999"))/VLOOKUP(L$1, Table1[#All],2, FALSE)</f>
        <v>#REF!</v>
      </c>
      <c r="M112" s="8" t="e">
        <f ca="1">SUMIF(INDIRECT("'"&amp;$B112&amp;"'!$F$1:$F$999"), M$1, INDIRECT("'"&amp;$B112&amp;"'!$B$1:$B$999"))/VLOOKUP(M$1, Table1[#All],2, FALSE)</f>
        <v>#REF!</v>
      </c>
      <c r="N112" s="8" t="e">
        <f ca="1">SUMIF(INDIRECT("'"&amp;$B112&amp;"'!$F$1:$F$999"), N$1, INDIRECT("'"&amp;$B112&amp;"'!$B$1:$B$999"))/VLOOKUP(N$1, Table1[#All],2, FALSE)</f>
        <v>#REF!</v>
      </c>
      <c r="O112" s="8" t="e">
        <f ca="1">SUMIF(INDIRECT("'"&amp;$B112&amp;"'!$F$1:$F$999"), O$1, INDIRECT("'"&amp;$B112&amp;"'!$B$1:$B$999"))/VLOOKUP(O$1, Table1[#All],2, FALSE)</f>
        <v>#REF!</v>
      </c>
      <c r="P112" s="8" t="e">
        <f ca="1">SUMIF(INDIRECT("'"&amp;$B112&amp;"'!$F$1:$F$999"), P$1, INDIRECT("'"&amp;$B112&amp;"'!$B$1:$B$999"))/VLOOKUP(P$1, Table1[#All],2, FALSE)</f>
        <v>#REF!</v>
      </c>
      <c r="Q112" s="8" t="e">
        <f ca="1">SUMIF(INDIRECT("'"&amp;$B112&amp;"'!$F$1:$F$999"), Q$1, INDIRECT("'"&amp;$B112&amp;"'!$B$1:$B$999"))/VLOOKUP(Q$1, Table1[#All],2, FALSE)</f>
        <v>#REF!</v>
      </c>
      <c r="R112" s="8" t="e">
        <f ca="1">SUMIF(INDIRECT("'"&amp;$B112&amp;"'!$F$1:$F$999"), R$1, INDIRECT("'"&amp;$B112&amp;"'!$B$1:$B$999"))/VLOOKUP(R$1, Table1[#All],2, FALSE)</f>
        <v>#REF!</v>
      </c>
      <c r="S112" s="8" t="e">
        <f ca="1">SUMIF(INDIRECT("'"&amp;$B112&amp;"'!$F$1:$F$999"), S$1, INDIRECT("'"&amp;$B112&amp;"'!$B$1:$B$999"))/VLOOKUP(S$1, Table1[#All],2, FALSE)</f>
        <v>#REF!</v>
      </c>
      <c r="T112" s="9" t="e">
        <f t="shared" ca="1" si="7"/>
        <v>#REF!</v>
      </c>
    </row>
    <row r="113" spans="1:20" x14ac:dyDescent="0.25">
      <c r="A113" s="13">
        <f t="shared" si="6"/>
        <v>46813</v>
      </c>
      <c r="B113" s="12" t="str">
        <f t="shared" si="5"/>
        <v>March 2028</v>
      </c>
      <c r="C113" s="8" t="e">
        <f ca="1">SUMIF(INDIRECT("'"&amp;$B113&amp;"'!$F$1:$F$999"), C$1, INDIRECT("'"&amp;$B113&amp;"'!$B$1:$B$999"))/VLOOKUP(C$1, Table1[#All],2, FALSE)</f>
        <v>#REF!</v>
      </c>
      <c r="D113" s="8" t="e">
        <f ca="1">SUMIF(INDIRECT("'"&amp;$B113&amp;"'!$F$1:$F$999"), D$1, INDIRECT("'"&amp;$B113&amp;"'!$B$1:$B$999"))/VLOOKUP(D$1, Table1[#All],2, FALSE)</f>
        <v>#REF!</v>
      </c>
      <c r="E113" s="8" t="e">
        <f ca="1">SUMIF(INDIRECT("'"&amp;$B113&amp;"'!$F$1:$F$999"), E$1, INDIRECT("'"&amp;$B113&amp;"'!$B$1:$B$999"))/VLOOKUP(E$1, Table1[#All],2, FALSE)</f>
        <v>#REF!</v>
      </c>
      <c r="F113" s="8" t="e">
        <f ca="1">SUMIF(INDIRECT("'"&amp;$B113&amp;"'!$F$1:$F$999"), F$1, INDIRECT("'"&amp;$B113&amp;"'!$B$1:$B$999"))/VLOOKUP(F$1, Table1[#All],2, FALSE)</f>
        <v>#REF!</v>
      </c>
      <c r="G113" s="8" t="e">
        <f ca="1">SUMIF(INDIRECT("'"&amp;$B113&amp;"'!$F$1:$F$999"), G$1, INDIRECT("'"&amp;$B113&amp;"'!$B$1:$B$999"))/VLOOKUP(G$1, Table1[#All],2, FALSE)</f>
        <v>#REF!</v>
      </c>
      <c r="H113" s="8" t="e">
        <f ca="1">SUMIF(INDIRECT("'"&amp;$B113&amp;"'!$F$1:$F$999"), H$1, INDIRECT("'"&amp;$B113&amp;"'!$B$1:$B$999"))/VLOOKUP(H$1, Table1[#All],2, FALSE)</f>
        <v>#REF!</v>
      </c>
      <c r="I113" s="8" t="e">
        <f ca="1">SUMIF(INDIRECT("'"&amp;$B113&amp;"'!$F$1:$F$999"), I$1, INDIRECT("'"&amp;$B113&amp;"'!$B$1:$B$999"))/VLOOKUP(I$1, Table1[#All],2, FALSE)</f>
        <v>#REF!</v>
      </c>
      <c r="J113" s="8" t="e">
        <f ca="1">SUMIF(INDIRECT("'"&amp;$B113&amp;"'!$F$1:$F$999"), J$1, INDIRECT("'"&amp;$B113&amp;"'!$B$1:$B$999"))/VLOOKUP(J$1, Table1[#All],2, FALSE)</f>
        <v>#REF!</v>
      </c>
      <c r="K113" s="8" t="e">
        <f ca="1">SUMIF(INDIRECT("'"&amp;$B113&amp;"'!$F$1:$F$999"), K$1, INDIRECT("'"&amp;$B113&amp;"'!$B$1:$B$999"))/VLOOKUP(K$1, Table1[#All],2, FALSE)</f>
        <v>#REF!</v>
      </c>
      <c r="L113" s="8" t="e">
        <f ca="1">SUMIF(INDIRECT("'"&amp;$B113&amp;"'!$F$1:$F$999"), L$1, INDIRECT("'"&amp;$B113&amp;"'!$B$1:$B$999"))/VLOOKUP(L$1, Table1[#All],2, FALSE)</f>
        <v>#REF!</v>
      </c>
      <c r="M113" s="8" t="e">
        <f ca="1">SUMIF(INDIRECT("'"&amp;$B113&amp;"'!$F$1:$F$999"), M$1, INDIRECT("'"&amp;$B113&amp;"'!$B$1:$B$999"))/VLOOKUP(M$1, Table1[#All],2, FALSE)</f>
        <v>#REF!</v>
      </c>
      <c r="N113" s="8" t="e">
        <f ca="1">SUMIF(INDIRECT("'"&amp;$B113&amp;"'!$F$1:$F$999"), N$1, INDIRECT("'"&amp;$B113&amp;"'!$B$1:$B$999"))/VLOOKUP(N$1, Table1[#All],2, FALSE)</f>
        <v>#REF!</v>
      </c>
      <c r="O113" s="8" t="e">
        <f ca="1">SUMIF(INDIRECT("'"&amp;$B113&amp;"'!$F$1:$F$999"), O$1, INDIRECT("'"&amp;$B113&amp;"'!$B$1:$B$999"))/VLOOKUP(O$1, Table1[#All],2, FALSE)</f>
        <v>#REF!</v>
      </c>
      <c r="P113" s="8" t="e">
        <f ca="1">SUMIF(INDIRECT("'"&amp;$B113&amp;"'!$F$1:$F$999"), P$1, INDIRECT("'"&amp;$B113&amp;"'!$B$1:$B$999"))/VLOOKUP(P$1, Table1[#All],2, FALSE)</f>
        <v>#REF!</v>
      </c>
      <c r="Q113" s="8" t="e">
        <f ca="1">SUMIF(INDIRECT("'"&amp;$B113&amp;"'!$F$1:$F$999"), Q$1, INDIRECT("'"&amp;$B113&amp;"'!$B$1:$B$999"))/VLOOKUP(Q$1, Table1[#All],2, FALSE)</f>
        <v>#REF!</v>
      </c>
      <c r="R113" s="8" t="e">
        <f ca="1">SUMIF(INDIRECT("'"&amp;$B113&amp;"'!$F$1:$F$999"), R$1, INDIRECT("'"&amp;$B113&amp;"'!$B$1:$B$999"))/VLOOKUP(R$1, Table1[#All],2, FALSE)</f>
        <v>#REF!</v>
      </c>
      <c r="S113" s="8" t="e">
        <f ca="1">SUMIF(INDIRECT("'"&amp;$B113&amp;"'!$F$1:$F$999"), S$1, INDIRECT("'"&amp;$B113&amp;"'!$B$1:$B$999"))/VLOOKUP(S$1, Table1[#All],2, FALSE)</f>
        <v>#REF!</v>
      </c>
      <c r="T113" s="9" t="e">
        <f t="shared" ca="1" si="7"/>
        <v>#REF!</v>
      </c>
    </row>
    <row r="114" spans="1:20" x14ac:dyDescent="0.25">
      <c r="A114" s="13">
        <f t="shared" si="6"/>
        <v>46844</v>
      </c>
      <c r="B114" s="12" t="str">
        <f t="shared" si="5"/>
        <v>April 2028</v>
      </c>
      <c r="C114" s="8" t="e">
        <f ca="1">SUMIF(INDIRECT("'"&amp;$B114&amp;"'!$F$1:$F$999"), C$1, INDIRECT("'"&amp;$B114&amp;"'!$B$1:$B$999"))/VLOOKUP(C$1, Table1[#All],2, FALSE)</f>
        <v>#REF!</v>
      </c>
      <c r="D114" s="8" t="e">
        <f ca="1">SUMIF(INDIRECT("'"&amp;$B114&amp;"'!$F$1:$F$999"), D$1, INDIRECT("'"&amp;$B114&amp;"'!$B$1:$B$999"))/VLOOKUP(D$1, Table1[#All],2, FALSE)</f>
        <v>#REF!</v>
      </c>
      <c r="E114" s="8" t="e">
        <f ca="1">SUMIF(INDIRECT("'"&amp;$B114&amp;"'!$F$1:$F$999"), E$1, INDIRECT("'"&amp;$B114&amp;"'!$B$1:$B$999"))/VLOOKUP(E$1, Table1[#All],2, FALSE)</f>
        <v>#REF!</v>
      </c>
      <c r="F114" s="8" t="e">
        <f ca="1">SUMIF(INDIRECT("'"&amp;$B114&amp;"'!$F$1:$F$999"), F$1, INDIRECT("'"&amp;$B114&amp;"'!$B$1:$B$999"))/VLOOKUP(F$1, Table1[#All],2, FALSE)</f>
        <v>#REF!</v>
      </c>
      <c r="G114" s="8" t="e">
        <f ca="1">SUMIF(INDIRECT("'"&amp;$B114&amp;"'!$F$1:$F$999"), G$1, INDIRECT("'"&amp;$B114&amp;"'!$B$1:$B$999"))/VLOOKUP(G$1, Table1[#All],2, FALSE)</f>
        <v>#REF!</v>
      </c>
      <c r="H114" s="8" t="e">
        <f ca="1">SUMIF(INDIRECT("'"&amp;$B114&amp;"'!$F$1:$F$999"), H$1, INDIRECT("'"&amp;$B114&amp;"'!$B$1:$B$999"))/VLOOKUP(H$1, Table1[#All],2, FALSE)</f>
        <v>#REF!</v>
      </c>
      <c r="I114" s="8" t="e">
        <f ca="1">SUMIF(INDIRECT("'"&amp;$B114&amp;"'!$F$1:$F$999"), I$1, INDIRECT("'"&amp;$B114&amp;"'!$B$1:$B$999"))/VLOOKUP(I$1, Table1[#All],2, FALSE)</f>
        <v>#REF!</v>
      </c>
      <c r="J114" s="8" t="e">
        <f ca="1">SUMIF(INDIRECT("'"&amp;$B114&amp;"'!$F$1:$F$999"), J$1, INDIRECT("'"&amp;$B114&amp;"'!$B$1:$B$999"))/VLOOKUP(J$1, Table1[#All],2, FALSE)</f>
        <v>#REF!</v>
      </c>
      <c r="K114" s="8" t="e">
        <f ca="1">SUMIF(INDIRECT("'"&amp;$B114&amp;"'!$F$1:$F$999"), K$1, INDIRECT("'"&amp;$B114&amp;"'!$B$1:$B$999"))/VLOOKUP(K$1, Table1[#All],2, FALSE)</f>
        <v>#REF!</v>
      </c>
      <c r="L114" s="8" t="e">
        <f ca="1">SUMIF(INDIRECT("'"&amp;$B114&amp;"'!$F$1:$F$999"), L$1, INDIRECT("'"&amp;$B114&amp;"'!$B$1:$B$999"))/VLOOKUP(L$1, Table1[#All],2, FALSE)</f>
        <v>#REF!</v>
      </c>
      <c r="M114" s="8" t="e">
        <f ca="1">SUMIF(INDIRECT("'"&amp;$B114&amp;"'!$F$1:$F$999"), M$1, INDIRECT("'"&amp;$B114&amp;"'!$B$1:$B$999"))/VLOOKUP(M$1, Table1[#All],2, FALSE)</f>
        <v>#REF!</v>
      </c>
      <c r="N114" s="8" t="e">
        <f ca="1">SUMIF(INDIRECT("'"&amp;$B114&amp;"'!$F$1:$F$999"), N$1, INDIRECT("'"&amp;$B114&amp;"'!$B$1:$B$999"))/VLOOKUP(N$1, Table1[#All],2, FALSE)</f>
        <v>#REF!</v>
      </c>
      <c r="O114" s="8" t="e">
        <f ca="1">SUMIF(INDIRECT("'"&amp;$B114&amp;"'!$F$1:$F$999"), O$1, INDIRECT("'"&amp;$B114&amp;"'!$B$1:$B$999"))/VLOOKUP(O$1, Table1[#All],2, FALSE)</f>
        <v>#REF!</v>
      </c>
      <c r="P114" s="8" t="e">
        <f ca="1">SUMIF(INDIRECT("'"&amp;$B114&amp;"'!$F$1:$F$999"), P$1, INDIRECT("'"&amp;$B114&amp;"'!$B$1:$B$999"))/VLOOKUP(P$1, Table1[#All],2, FALSE)</f>
        <v>#REF!</v>
      </c>
      <c r="Q114" s="8" t="e">
        <f ca="1">SUMIF(INDIRECT("'"&amp;$B114&amp;"'!$F$1:$F$999"), Q$1, INDIRECT("'"&amp;$B114&amp;"'!$B$1:$B$999"))/VLOOKUP(Q$1, Table1[#All],2, FALSE)</f>
        <v>#REF!</v>
      </c>
      <c r="R114" s="8" t="e">
        <f ca="1">SUMIF(INDIRECT("'"&amp;$B114&amp;"'!$F$1:$F$999"), R$1, INDIRECT("'"&amp;$B114&amp;"'!$B$1:$B$999"))/VLOOKUP(R$1, Table1[#All],2, FALSE)</f>
        <v>#REF!</v>
      </c>
      <c r="S114" s="8" t="e">
        <f ca="1">SUMIF(INDIRECT("'"&amp;$B114&amp;"'!$F$1:$F$999"), S$1, INDIRECT("'"&amp;$B114&amp;"'!$B$1:$B$999"))/VLOOKUP(S$1, Table1[#All],2, FALSE)</f>
        <v>#REF!</v>
      </c>
      <c r="T114" s="9" t="e">
        <f t="shared" ca="1" si="7"/>
        <v>#REF!</v>
      </c>
    </row>
    <row r="115" spans="1:20" x14ac:dyDescent="0.25">
      <c r="A115" s="13">
        <f t="shared" si="6"/>
        <v>46874</v>
      </c>
      <c r="B115" s="12" t="str">
        <f t="shared" si="5"/>
        <v>May 2028</v>
      </c>
      <c r="C115" s="8" t="e">
        <f ca="1">SUMIF(INDIRECT("'"&amp;$B115&amp;"'!$F$1:$F$999"), C$1, INDIRECT("'"&amp;$B115&amp;"'!$B$1:$B$999"))/VLOOKUP(C$1, Table1[#All],2, FALSE)</f>
        <v>#REF!</v>
      </c>
      <c r="D115" s="8" t="e">
        <f ca="1">SUMIF(INDIRECT("'"&amp;$B115&amp;"'!$F$1:$F$999"), D$1, INDIRECT("'"&amp;$B115&amp;"'!$B$1:$B$999"))/VLOOKUP(D$1, Table1[#All],2, FALSE)</f>
        <v>#REF!</v>
      </c>
      <c r="E115" s="8" t="e">
        <f ca="1">SUMIF(INDIRECT("'"&amp;$B115&amp;"'!$F$1:$F$999"), E$1, INDIRECT("'"&amp;$B115&amp;"'!$B$1:$B$999"))/VLOOKUP(E$1, Table1[#All],2, FALSE)</f>
        <v>#REF!</v>
      </c>
      <c r="F115" s="8" t="e">
        <f ca="1">SUMIF(INDIRECT("'"&amp;$B115&amp;"'!$F$1:$F$999"), F$1, INDIRECT("'"&amp;$B115&amp;"'!$B$1:$B$999"))/VLOOKUP(F$1, Table1[#All],2, FALSE)</f>
        <v>#REF!</v>
      </c>
      <c r="G115" s="8" t="e">
        <f ca="1">SUMIF(INDIRECT("'"&amp;$B115&amp;"'!$F$1:$F$999"), G$1, INDIRECT("'"&amp;$B115&amp;"'!$B$1:$B$999"))/VLOOKUP(G$1, Table1[#All],2, FALSE)</f>
        <v>#REF!</v>
      </c>
      <c r="H115" s="8" t="e">
        <f ca="1">SUMIF(INDIRECT("'"&amp;$B115&amp;"'!$F$1:$F$999"), H$1, INDIRECT("'"&amp;$B115&amp;"'!$B$1:$B$999"))/VLOOKUP(H$1, Table1[#All],2, FALSE)</f>
        <v>#REF!</v>
      </c>
      <c r="I115" s="8" t="e">
        <f ca="1">SUMIF(INDIRECT("'"&amp;$B115&amp;"'!$F$1:$F$999"), I$1, INDIRECT("'"&amp;$B115&amp;"'!$B$1:$B$999"))/VLOOKUP(I$1, Table1[#All],2, FALSE)</f>
        <v>#REF!</v>
      </c>
      <c r="J115" s="8" t="e">
        <f ca="1">SUMIF(INDIRECT("'"&amp;$B115&amp;"'!$F$1:$F$999"), J$1, INDIRECT("'"&amp;$B115&amp;"'!$B$1:$B$999"))/VLOOKUP(J$1, Table1[#All],2, FALSE)</f>
        <v>#REF!</v>
      </c>
      <c r="K115" s="8" t="e">
        <f ca="1">SUMIF(INDIRECT("'"&amp;$B115&amp;"'!$F$1:$F$999"), K$1, INDIRECT("'"&amp;$B115&amp;"'!$B$1:$B$999"))/VLOOKUP(K$1, Table1[#All],2, FALSE)</f>
        <v>#REF!</v>
      </c>
      <c r="L115" s="8" t="e">
        <f ca="1">SUMIF(INDIRECT("'"&amp;$B115&amp;"'!$F$1:$F$999"), L$1, INDIRECT("'"&amp;$B115&amp;"'!$B$1:$B$999"))/VLOOKUP(L$1, Table1[#All],2, FALSE)</f>
        <v>#REF!</v>
      </c>
      <c r="M115" s="8" t="e">
        <f ca="1">SUMIF(INDIRECT("'"&amp;$B115&amp;"'!$F$1:$F$999"), M$1, INDIRECT("'"&amp;$B115&amp;"'!$B$1:$B$999"))/VLOOKUP(M$1, Table1[#All],2, FALSE)</f>
        <v>#REF!</v>
      </c>
      <c r="N115" s="8" t="e">
        <f ca="1">SUMIF(INDIRECT("'"&amp;$B115&amp;"'!$F$1:$F$999"), N$1, INDIRECT("'"&amp;$B115&amp;"'!$B$1:$B$999"))/VLOOKUP(N$1, Table1[#All],2, FALSE)</f>
        <v>#REF!</v>
      </c>
      <c r="O115" s="8" t="e">
        <f ca="1">SUMIF(INDIRECT("'"&amp;$B115&amp;"'!$F$1:$F$999"), O$1, INDIRECT("'"&amp;$B115&amp;"'!$B$1:$B$999"))/VLOOKUP(O$1, Table1[#All],2, FALSE)</f>
        <v>#REF!</v>
      </c>
      <c r="P115" s="8" t="e">
        <f ca="1">SUMIF(INDIRECT("'"&amp;$B115&amp;"'!$F$1:$F$999"), P$1, INDIRECT("'"&amp;$B115&amp;"'!$B$1:$B$999"))/VLOOKUP(P$1, Table1[#All],2, FALSE)</f>
        <v>#REF!</v>
      </c>
      <c r="Q115" s="8" t="e">
        <f ca="1">SUMIF(INDIRECT("'"&amp;$B115&amp;"'!$F$1:$F$999"), Q$1, INDIRECT("'"&amp;$B115&amp;"'!$B$1:$B$999"))/VLOOKUP(Q$1, Table1[#All],2, FALSE)</f>
        <v>#REF!</v>
      </c>
      <c r="R115" s="8" t="e">
        <f ca="1">SUMIF(INDIRECT("'"&amp;$B115&amp;"'!$F$1:$F$999"), R$1, INDIRECT("'"&amp;$B115&amp;"'!$B$1:$B$999"))/VLOOKUP(R$1, Table1[#All],2, FALSE)</f>
        <v>#REF!</v>
      </c>
      <c r="S115" s="8" t="e">
        <f ca="1">SUMIF(INDIRECT("'"&amp;$B115&amp;"'!$F$1:$F$999"), S$1, INDIRECT("'"&amp;$B115&amp;"'!$B$1:$B$999"))/VLOOKUP(S$1, Table1[#All],2, FALSE)</f>
        <v>#REF!</v>
      </c>
      <c r="T115" s="9" t="e">
        <f t="shared" ca="1" si="7"/>
        <v>#REF!</v>
      </c>
    </row>
    <row r="116" spans="1:20" x14ac:dyDescent="0.25">
      <c r="A116" s="13">
        <f t="shared" si="6"/>
        <v>46905</v>
      </c>
      <c r="B116" s="12" t="str">
        <f t="shared" si="5"/>
        <v>June 2028</v>
      </c>
      <c r="C116" s="8" t="e">
        <f ca="1">SUMIF(INDIRECT("'"&amp;$B116&amp;"'!$F$1:$F$999"), C$1, INDIRECT("'"&amp;$B116&amp;"'!$B$1:$B$999"))/VLOOKUP(C$1, Table1[#All],2, FALSE)</f>
        <v>#REF!</v>
      </c>
      <c r="D116" s="8" t="e">
        <f ca="1">SUMIF(INDIRECT("'"&amp;$B116&amp;"'!$F$1:$F$999"), D$1, INDIRECT("'"&amp;$B116&amp;"'!$B$1:$B$999"))/VLOOKUP(D$1, Table1[#All],2, FALSE)</f>
        <v>#REF!</v>
      </c>
      <c r="E116" s="8" t="e">
        <f ca="1">SUMIF(INDIRECT("'"&amp;$B116&amp;"'!$F$1:$F$999"), E$1, INDIRECT("'"&amp;$B116&amp;"'!$B$1:$B$999"))/VLOOKUP(E$1, Table1[#All],2, FALSE)</f>
        <v>#REF!</v>
      </c>
      <c r="F116" s="8" t="e">
        <f ca="1">SUMIF(INDIRECT("'"&amp;$B116&amp;"'!$F$1:$F$999"), F$1, INDIRECT("'"&amp;$B116&amp;"'!$B$1:$B$999"))/VLOOKUP(F$1, Table1[#All],2, FALSE)</f>
        <v>#REF!</v>
      </c>
      <c r="G116" s="8" t="e">
        <f ca="1">SUMIF(INDIRECT("'"&amp;$B116&amp;"'!$F$1:$F$999"), G$1, INDIRECT("'"&amp;$B116&amp;"'!$B$1:$B$999"))/VLOOKUP(G$1, Table1[#All],2, FALSE)</f>
        <v>#REF!</v>
      </c>
      <c r="H116" s="8" t="e">
        <f ca="1">SUMIF(INDIRECT("'"&amp;$B116&amp;"'!$F$1:$F$999"), H$1, INDIRECT("'"&amp;$B116&amp;"'!$B$1:$B$999"))/VLOOKUP(H$1, Table1[#All],2, FALSE)</f>
        <v>#REF!</v>
      </c>
      <c r="I116" s="8" t="e">
        <f ca="1">SUMIF(INDIRECT("'"&amp;$B116&amp;"'!$F$1:$F$999"), I$1, INDIRECT("'"&amp;$B116&amp;"'!$B$1:$B$999"))/VLOOKUP(I$1, Table1[#All],2, FALSE)</f>
        <v>#REF!</v>
      </c>
      <c r="J116" s="8" t="e">
        <f ca="1">SUMIF(INDIRECT("'"&amp;$B116&amp;"'!$F$1:$F$999"), J$1, INDIRECT("'"&amp;$B116&amp;"'!$B$1:$B$999"))/VLOOKUP(J$1, Table1[#All],2, FALSE)</f>
        <v>#REF!</v>
      </c>
      <c r="K116" s="8" t="e">
        <f ca="1">SUMIF(INDIRECT("'"&amp;$B116&amp;"'!$F$1:$F$999"), K$1, INDIRECT("'"&amp;$B116&amp;"'!$B$1:$B$999"))/VLOOKUP(K$1, Table1[#All],2, FALSE)</f>
        <v>#REF!</v>
      </c>
      <c r="L116" s="8" t="e">
        <f ca="1">SUMIF(INDIRECT("'"&amp;$B116&amp;"'!$F$1:$F$999"), L$1, INDIRECT("'"&amp;$B116&amp;"'!$B$1:$B$999"))/VLOOKUP(L$1, Table1[#All],2, FALSE)</f>
        <v>#REF!</v>
      </c>
      <c r="M116" s="8" t="e">
        <f ca="1">SUMIF(INDIRECT("'"&amp;$B116&amp;"'!$F$1:$F$999"), M$1, INDIRECT("'"&amp;$B116&amp;"'!$B$1:$B$999"))/VLOOKUP(M$1, Table1[#All],2, FALSE)</f>
        <v>#REF!</v>
      </c>
      <c r="N116" s="8" t="e">
        <f ca="1">SUMIF(INDIRECT("'"&amp;$B116&amp;"'!$F$1:$F$999"), N$1, INDIRECT("'"&amp;$B116&amp;"'!$B$1:$B$999"))/VLOOKUP(N$1, Table1[#All],2, FALSE)</f>
        <v>#REF!</v>
      </c>
      <c r="O116" s="8" t="e">
        <f ca="1">SUMIF(INDIRECT("'"&amp;$B116&amp;"'!$F$1:$F$999"), O$1, INDIRECT("'"&amp;$B116&amp;"'!$B$1:$B$999"))/VLOOKUP(O$1, Table1[#All],2, FALSE)</f>
        <v>#REF!</v>
      </c>
      <c r="P116" s="8" t="e">
        <f ca="1">SUMIF(INDIRECT("'"&amp;$B116&amp;"'!$F$1:$F$999"), P$1, INDIRECT("'"&amp;$B116&amp;"'!$B$1:$B$999"))/VLOOKUP(P$1, Table1[#All],2, FALSE)</f>
        <v>#REF!</v>
      </c>
      <c r="Q116" s="8" t="e">
        <f ca="1">SUMIF(INDIRECT("'"&amp;$B116&amp;"'!$F$1:$F$999"), Q$1, INDIRECT("'"&amp;$B116&amp;"'!$B$1:$B$999"))/VLOOKUP(Q$1, Table1[#All],2, FALSE)</f>
        <v>#REF!</v>
      </c>
      <c r="R116" s="8" t="e">
        <f ca="1">SUMIF(INDIRECT("'"&amp;$B116&amp;"'!$F$1:$F$999"), R$1, INDIRECT("'"&amp;$B116&amp;"'!$B$1:$B$999"))/VLOOKUP(R$1, Table1[#All],2, FALSE)</f>
        <v>#REF!</v>
      </c>
      <c r="S116" s="8" t="e">
        <f ca="1">SUMIF(INDIRECT("'"&amp;$B116&amp;"'!$F$1:$F$999"), S$1, INDIRECT("'"&amp;$B116&amp;"'!$B$1:$B$999"))/VLOOKUP(S$1, Table1[#All],2, FALSE)</f>
        <v>#REF!</v>
      </c>
      <c r="T116" s="9" t="e">
        <f t="shared" ca="1" si="7"/>
        <v>#REF!</v>
      </c>
    </row>
    <row r="117" spans="1:20" x14ac:dyDescent="0.25">
      <c r="A117" s="13">
        <f t="shared" si="6"/>
        <v>46935</v>
      </c>
      <c r="B117" s="12" t="str">
        <f t="shared" si="5"/>
        <v>July 2028</v>
      </c>
      <c r="C117" s="8" t="e">
        <f ca="1">SUMIF(INDIRECT("'"&amp;$B117&amp;"'!$F$1:$F$999"), C$1, INDIRECT("'"&amp;$B117&amp;"'!$B$1:$B$999"))/VLOOKUP(C$1, Table1[#All],2, FALSE)</f>
        <v>#REF!</v>
      </c>
      <c r="D117" s="8" t="e">
        <f ca="1">SUMIF(INDIRECT("'"&amp;$B117&amp;"'!$F$1:$F$999"), D$1, INDIRECT("'"&amp;$B117&amp;"'!$B$1:$B$999"))/VLOOKUP(D$1, Table1[#All],2, FALSE)</f>
        <v>#REF!</v>
      </c>
      <c r="E117" s="8" t="e">
        <f ca="1">SUMIF(INDIRECT("'"&amp;$B117&amp;"'!$F$1:$F$999"), E$1, INDIRECT("'"&amp;$B117&amp;"'!$B$1:$B$999"))/VLOOKUP(E$1, Table1[#All],2, FALSE)</f>
        <v>#REF!</v>
      </c>
      <c r="F117" s="8" t="e">
        <f ca="1">SUMIF(INDIRECT("'"&amp;$B117&amp;"'!$F$1:$F$999"), F$1, INDIRECT("'"&amp;$B117&amp;"'!$B$1:$B$999"))/VLOOKUP(F$1, Table1[#All],2, FALSE)</f>
        <v>#REF!</v>
      </c>
      <c r="G117" s="8" t="e">
        <f ca="1">SUMIF(INDIRECT("'"&amp;$B117&amp;"'!$F$1:$F$999"), G$1, INDIRECT("'"&amp;$B117&amp;"'!$B$1:$B$999"))/VLOOKUP(G$1, Table1[#All],2, FALSE)</f>
        <v>#REF!</v>
      </c>
      <c r="H117" s="8" t="e">
        <f ca="1">SUMIF(INDIRECT("'"&amp;$B117&amp;"'!$F$1:$F$999"), H$1, INDIRECT("'"&amp;$B117&amp;"'!$B$1:$B$999"))/VLOOKUP(H$1, Table1[#All],2, FALSE)</f>
        <v>#REF!</v>
      </c>
      <c r="I117" s="8" t="e">
        <f ca="1">SUMIF(INDIRECT("'"&amp;$B117&amp;"'!$F$1:$F$999"), I$1, INDIRECT("'"&amp;$B117&amp;"'!$B$1:$B$999"))/VLOOKUP(I$1, Table1[#All],2, FALSE)</f>
        <v>#REF!</v>
      </c>
      <c r="J117" s="8" t="e">
        <f ca="1">SUMIF(INDIRECT("'"&amp;$B117&amp;"'!$F$1:$F$999"), J$1, INDIRECT("'"&amp;$B117&amp;"'!$B$1:$B$999"))/VLOOKUP(J$1, Table1[#All],2, FALSE)</f>
        <v>#REF!</v>
      </c>
      <c r="K117" s="8" t="e">
        <f ca="1">SUMIF(INDIRECT("'"&amp;$B117&amp;"'!$F$1:$F$999"), K$1, INDIRECT("'"&amp;$B117&amp;"'!$B$1:$B$999"))/VLOOKUP(K$1, Table1[#All],2, FALSE)</f>
        <v>#REF!</v>
      </c>
      <c r="L117" s="8" t="e">
        <f ca="1">SUMIF(INDIRECT("'"&amp;$B117&amp;"'!$F$1:$F$999"), L$1, INDIRECT("'"&amp;$B117&amp;"'!$B$1:$B$999"))/VLOOKUP(L$1, Table1[#All],2, FALSE)</f>
        <v>#REF!</v>
      </c>
      <c r="M117" s="8" t="e">
        <f ca="1">SUMIF(INDIRECT("'"&amp;$B117&amp;"'!$F$1:$F$999"), M$1, INDIRECT("'"&amp;$B117&amp;"'!$B$1:$B$999"))/VLOOKUP(M$1, Table1[#All],2, FALSE)</f>
        <v>#REF!</v>
      </c>
      <c r="N117" s="8" t="e">
        <f ca="1">SUMIF(INDIRECT("'"&amp;$B117&amp;"'!$F$1:$F$999"), N$1, INDIRECT("'"&amp;$B117&amp;"'!$B$1:$B$999"))/VLOOKUP(N$1, Table1[#All],2, FALSE)</f>
        <v>#REF!</v>
      </c>
      <c r="O117" s="8" t="e">
        <f ca="1">SUMIF(INDIRECT("'"&amp;$B117&amp;"'!$F$1:$F$999"), O$1, INDIRECT("'"&amp;$B117&amp;"'!$B$1:$B$999"))/VLOOKUP(O$1, Table1[#All],2, FALSE)</f>
        <v>#REF!</v>
      </c>
      <c r="P117" s="8" t="e">
        <f ca="1">SUMIF(INDIRECT("'"&amp;$B117&amp;"'!$F$1:$F$999"), P$1, INDIRECT("'"&amp;$B117&amp;"'!$B$1:$B$999"))/VLOOKUP(P$1, Table1[#All],2, FALSE)</f>
        <v>#REF!</v>
      </c>
      <c r="Q117" s="8" t="e">
        <f ca="1">SUMIF(INDIRECT("'"&amp;$B117&amp;"'!$F$1:$F$999"), Q$1, INDIRECT("'"&amp;$B117&amp;"'!$B$1:$B$999"))/VLOOKUP(Q$1, Table1[#All],2, FALSE)</f>
        <v>#REF!</v>
      </c>
      <c r="R117" s="8" t="e">
        <f ca="1">SUMIF(INDIRECT("'"&amp;$B117&amp;"'!$F$1:$F$999"), R$1, INDIRECT("'"&amp;$B117&amp;"'!$B$1:$B$999"))/VLOOKUP(R$1, Table1[#All],2, FALSE)</f>
        <v>#REF!</v>
      </c>
      <c r="S117" s="8" t="e">
        <f ca="1">SUMIF(INDIRECT("'"&amp;$B117&amp;"'!$F$1:$F$999"), S$1, INDIRECT("'"&amp;$B117&amp;"'!$B$1:$B$999"))/VLOOKUP(S$1, Table1[#All],2, FALSE)</f>
        <v>#REF!</v>
      </c>
      <c r="T117" s="9" t="e">
        <f t="shared" ca="1" si="7"/>
        <v>#REF!</v>
      </c>
    </row>
    <row r="118" spans="1:20" x14ac:dyDescent="0.25">
      <c r="A118" s="13">
        <f t="shared" si="6"/>
        <v>46966</v>
      </c>
      <c r="B118" s="12" t="str">
        <f t="shared" si="5"/>
        <v>August 2028</v>
      </c>
      <c r="C118" s="8" t="e">
        <f ca="1">SUMIF(INDIRECT("'"&amp;$B118&amp;"'!$F$1:$F$999"), C$1, INDIRECT("'"&amp;$B118&amp;"'!$B$1:$B$999"))/VLOOKUP(C$1, Table1[#All],2, FALSE)</f>
        <v>#REF!</v>
      </c>
      <c r="D118" s="8" t="e">
        <f ca="1">SUMIF(INDIRECT("'"&amp;$B118&amp;"'!$F$1:$F$999"), D$1, INDIRECT("'"&amp;$B118&amp;"'!$B$1:$B$999"))/VLOOKUP(D$1, Table1[#All],2, FALSE)</f>
        <v>#REF!</v>
      </c>
      <c r="E118" s="8" t="e">
        <f ca="1">SUMIF(INDIRECT("'"&amp;$B118&amp;"'!$F$1:$F$999"), E$1, INDIRECT("'"&amp;$B118&amp;"'!$B$1:$B$999"))/VLOOKUP(E$1, Table1[#All],2, FALSE)</f>
        <v>#REF!</v>
      </c>
      <c r="F118" s="8" t="e">
        <f ca="1">SUMIF(INDIRECT("'"&amp;$B118&amp;"'!$F$1:$F$999"), F$1, INDIRECT("'"&amp;$B118&amp;"'!$B$1:$B$999"))/VLOOKUP(F$1, Table1[#All],2, FALSE)</f>
        <v>#REF!</v>
      </c>
      <c r="G118" s="8" t="e">
        <f ca="1">SUMIF(INDIRECT("'"&amp;$B118&amp;"'!$F$1:$F$999"), G$1, INDIRECT("'"&amp;$B118&amp;"'!$B$1:$B$999"))/VLOOKUP(G$1, Table1[#All],2, FALSE)</f>
        <v>#REF!</v>
      </c>
      <c r="H118" s="8" t="e">
        <f ca="1">SUMIF(INDIRECT("'"&amp;$B118&amp;"'!$F$1:$F$999"), H$1, INDIRECT("'"&amp;$B118&amp;"'!$B$1:$B$999"))/VLOOKUP(H$1, Table1[#All],2, FALSE)</f>
        <v>#REF!</v>
      </c>
      <c r="I118" s="8" t="e">
        <f ca="1">SUMIF(INDIRECT("'"&amp;$B118&amp;"'!$F$1:$F$999"), I$1, INDIRECT("'"&amp;$B118&amp;"'!$B$1:$B$999"))/VLOOKUP(I$1, Table1[#All],2, FALSE)</f>
        <v>#REF!</v>
      </c>
      <c r="J118" s="8" t="e">
        <f ca="1">SUMIF(INDIRECT("'"&amp;$B118&amp;"'!$F$1:$F$999"), J$1, INDIRECT("'"&amp;$B118&amp;"'!$B$1:$B$999"))/VLOOKUP(J$1, Table1[#All],2, FALSE)</f>
        <v>#REF!</v>
      </c>
      <c r="K118" s="8" t="e">
        <f ca="1">SUMIF(INDIRECT("'"&amp;$B118&amp;"'!$F$1:$F$999"), K$1, INDIRECT("'"&amp;$B118&amp;"'!$B$1:$B$999"))/VLOOKUP(K$1, Table1[#All],2, FALSE)</f>
        <v>#REF!</v>
      </c>
      <c r="L118" s="8" t="e">
        <f ca="1">SUMIF(INDIRECT("'"&amp;$B118&amp;"'!$F$1:$F$999"), L$1, INDIRECT("'"&amp;$B118&amp;"'!$B$1:$B$999"))/VLOOKUP(L$1, Table1[#All],2, FALSE)</f>
        <v>#REF!</v>
      </c>
      <c r="M118" s="8" t="e">
        <f ca="1">SUMIF(INDIRECT("'"&amp;$B118&amp;"'!$F$1:$F$999"), M$1, INDIRECT("'"&amp;$B118&amp;"'!$B$1:$B$999"))/VLOOKUP(M$1, Table1[#All],2, FALSE)</f>
        <v>#REF!</v>
      </c>
      <c r="N118" s="8" t="e">
        <f ca="1">SUMIF(INDIRECT("'"&amp;$B118&amp;"'!$F$1:$F$999"), N$1, INDIRECT("'"&amp;$B118&amp;"'!$B$1:$B$999"))/VLOOKUP(N$1, Table1[#All],2, FALSE)</f>
        <v>#REF!</v>
      </c>
      <c r="O118" s="8" t="e">
        <f ca="1">SUMIF(INDIRECT("'"&amp;$B118&amp;"'!$F$1:$F$999"), O$1, INDIRECT("'"&amp;$B118&amp;"'!$B$1:$B$999"))/VLOOKUP(O$1, Table1[#All],2, FALSE)</f>
        <v>#REF!</v>
      </c>
      <c r="P118" s="8" t="e">
        <f ca="1">SUMIF(INDIRECT("'"&amp;$B118&amp;"'!$F$1:$F$999"), P$1, INDIRECT("'"&amp;$B118&amp;"'!$B$1:$B$999"))/VLOOKUP(P$1, Table1[#All],2, FALSE)</f>
        <v>#REF!</v>
      </c>
      <c r="Q118" s="8" t="e">
        <f ca="1">SUMIF(INDIRECT("'"&amp;$B118&amp;"'!$F$1:$F$999"), Q$1, INDIRECT("'"&amp;$B118&amp;"'!$B$1:$B$999"))/VLOOKUP(Q$1, Table1[#All],2, FALSE)</f>
        <v>#REF!</v>
      </c>
      <c r="R118" s="8" t="e">
        <f ca="1">SUMIF(INDIRECT("'"&amp;$B118&amp;"'!$F$1:$F$999"), R$1, INDIRECT("'"&amp;$B118&amp;"'!$B$1:$B$999"))/VLOOKUP(R$1, Table1[#All],2, FALSE)</f>
        <v>#REF!</v>
      </c>
      <c r="S118" s="8" t="e">
        <f ca="1">SUMIF(INDIRECT("'"&amp;$B118&amp;"'!$F$1:$F$999"), S$1, INDIRECT("'"&amp;$B118&amp;"'!$B$1:$B$999"))/VLOOKUP(S$1, Table1[#All],2, FALSE)</f>
        <v>#REF!</v>
      </c>
      <c r="T118" s="9" t="e">
        <f t="shared" ca="1" si="7"/>
        <v>#REF!</v>
      </c>
    </row>
    <row r="119" spans="1:20" x14ac:dyDescent="0.25">
      <c r="A119" s="13">
        <f t="shared" si="6"/>
        <v>46997</v>
      </c>
      <c r="B119" s="12" t="str">
        <f t="shared" si="5"/>
        <v>September 2028</v>
      </c>
      <c r="C119" s="8" t="e">
        <f ca="1">SUMIF(INDIRECT("'"&amp;$B119&amp;"'!$F$1:$F$999"), C$1, INDIRECT("'"&amp;$B119&amp;"'!$B$1:$B$999"))/VLOOKUP(C$1, Table1[#All],2, FALSE)</f>
        <v>#REF!</v>
      </c>
      <c r="D119" s="8" t="e">
        <f ca="1">SUMIF(INDIRECT("'"&amp;$B119&amp;"'!$F$1:$F$999"), D$1, INDIRECT("'"&amp;$B119&amp;"'!$B$1:$B$999"))/VLOOKUP(D$1, Table1[#All],2, FALSE)</f>
        <v>#REF!</v>
      </c>
      <c r="E119" s="8" t="e">
        <f ca="1">SUMIF(INDIRECT("'"&amp;$B119&amp;"'!$F$1:$F$999"), E$1, INDIRECT("'"&amp;$B119&amp;"'!$B$1:$B$999"))/VLOOKUP(E$1, Table1[#All],2, FALSE)</f>
        <v>#REF!</v>
      </c>
      <c r="F119" s="8" t="e">
        <f ca="1">SUMIF(INDIRECT("'"&amp;$B119&amp;"'!$F$1:$F$999"), F$1, INDIRECT("'"&amp;$B119&amp;"'!$B$1:$B$999"))/VLOOKUP(F$1, Table1[#All],2, FALSE)</f>
        <v>#REF!</v>
      </c>
      <c r="G119" s="8" t="e">
        <f ca="1">SUMIF(INDIRECT("'"&amp;$B119&amp;"'!$F$1:$F$999"), G$1, INDIRECT("'"&amp;$B119&amp;"'!$B$1:$B$999"))/VLOOKUP(G$1, Table1[#All],2, FALSE)</f>
        <v>#REF!</v>
      </c>
      <c r="H119" s="8" t="e">
        <f ca="1">SUMIF(INDIRECT("'"&amp;$B119&amp;"'!$F$1:$F$999"), H$1, INDIRECT("'"&amp;$B119&amp;"'!$B$1:$B$999"))/VLOOKUP(H$1, Table1[#All],2, FALSE)</f>
        <v>#REF!</v>
      </c>
      <c r="I119" s="8" t="e">
        <f ca="1">SUMIF(INDIRECT("'"&amp;$B119&amp;"'!$F$1:$F$999"), I$1, INDIRECT("'"&amp;$B119&amp;"'!$B$1:$B$999"))/VLOOKUP(I$1, Table1[#All],2, FALSE)</f>
        <v>#REF!</v>
      </c>
      <c r="J119" s="8" t="e">
        <f ca="1">SUMIF(INDIRECT("'"&amp;$B119&amp;"'!$F$1:$F$999"), J$1, INDIRECT("'"&amp;$B119&amp;"'!$B$1:$B$999"))/VLOOKUP(J$1, Table1[#All],2, FALSE)</f>
        <v>#REF!</v>
      </c>
      <c r="K119" s="8" t="e">
        <f ca="1">SUMIF(INDIRECT("'"&amp;$B119&amp;"'!$F$1:$F$999"), K$1, INDIRECT("'"&amp;$B119&amp;"'!$B$1:$B$999"))/VLOOKUP(K$1, Table1[#All],2, FALSE)</f>
        <v>#REF!</v>
      </c>
      <c r="L119" s="8" t="e">
        <f ca="1">SUMIF(INDIRECT("'"&amp;$B119&amp;"'!$F$1:$F$999"), L$1, INDIRECT("'"&amp;$B119&amp;"'!$B$1:$B$999"))/VLOOKUP(L$1, Table1[#All],2, FALSE)</f>
        <v>#REF!</v>
      </c>
      <c r="M119" s="8" t="e">
        <f ca="1">SUMIF(INDIRECT("'"&amp;$B119&amp;"'!$F$1:$F$999"), M$1, INDIRECT("'"&amp;$B119&amp;"'!$B$1:$B$999"))/VLOOKUP(M$1, Table1[#All],2, FALSE)</f>
        <v>#REF!</v>
      </c>
      <c r="N119" s="8" t="e">
        <f ca="1">SUMIF(INDIRECT("'"&amp;$B119&amp;"'!$F$1:$F$999"), N$1, INDIRECT("'"&amp;$B119&amp;"'!$B$1:$B$999"))/VLOOKUP(N$1, Table1[#All],2, FALSE)</f>
        <v>#REF!</v>
      </c>
      <c r="O119" s="8" t="e">
        <f ca="1">SUMIF(INDIRECT("'"&amp;$B119&amp;"'!$F$1:$F$999"), O$1, INDIRECT("'"&amp;$B119&amp;"'!$B$1:$B$999"))/VLOOKUP(O$1, Table1[#All],2, FALSE)</f>
        <v>#REF!</v>
      </c>
      <c r="P119" s="8" t="e">
        <f ca="1">SUMIF(INDIRECT("'"&amp;$B119&amp;"'!$F$1:$F$999"), P$1, INDIRECT("'"&amp;$B119&amp;"'!$B$1:$B$999"))/VLOOKUP(P$1, Table1[#All],2, FALSE)</f>
        <v>#REF!</v>
      </c>
      <c r="Q119" s="8" t="e">
        <f ca="1">SUMIF(INDIRECT("'"&amp;$B119&amp;"'!$F$1:$F$999"), Q$1, INDIRECT("'"&amp;$B119&amp;"'!$B$1:$B$999"))/VLOOKUP(Q$1, Table1[#All],2, FALSE)</f>
        <v>#REF!</v>
      </c>
      <c r="R119" s="8" t="e">
        <f ca="1">SUMIF(INDIRECT("'"&amp;$B119&amp;"'!$F$1:$F$999"), R$1, INDIRECT("'"&amp;$B119&amp;"'!$B$1:$B$999"))/VLOOKUP(R$1, Table1[#All],2, FALSE)</f>
        <v>#REF!</v>
      </c>
      <c r="S119" s="8" t="e">
        <f ca="1">SUMIF(INDIRECT("'"&amp;$B119&amp;"'!$F$1:$F$999"), S$1, INDIRECT("'"&amp;$B119&amp;"'!$B$1:$B$999"))/VLOOKUP(S$1, Table1[#All],2, FALSE)</f>
        <v>#REF!</v>
      </c>
      <c r="T119" s="9" t="e">
        <f t="shared" ca="1" si="7"/>
        <v>#REF!</v>
      </c>
    </row>
    <row r="120" spans="1:20" x14ac:dyDescent="0.25">
      <c r="A120" s="13">
        <f t="shared" si="6"/>
        <v>47027</v>
      </c>
      <c r="B120" s="12" t="str">
        <f t="shared" si="5"/>
        <v>October 2028</v>
      </c>
      <c r="C120" s="8" t="e">
        <f ca="1">SUMIF(INDIRECT("'"&amp;$B120&amp;"'!$F$1:$F$999"), C$1, INDIRECT("'"&amp;$B120&amp;"'!$B$1:$B$999"))/VLOOKUP(C$1, Table1[#All],2, FALSE)</f>
        <v>#REF!</v>
      </c>
      <c r="D120" s="8" t="e">
        <f ca="1">SUMIF(INDIRECT("'"&amp;$B120&amp;"'!$F$1:$F$999"), D$1, INDIRECT("'"&amp;$B120&amp;"'!$B$1:$B$999"))/VLOOKUP(D$1, Table1[#All],2, FALSE)</f>
        <v>#REF!</v>
      </c>
      <c r="E120" s="8" t="e">
        <f ca="1">SUMIF(INDIRECT("'"&amp;$B120&amp;"'!$F$1:$F$999"), E$1, INDIRECT("'"&amp;$B120&amp;"'!$B$1:$B$999"))/VLOOKUP(E$1, Table1[#All],2, FALSE)</f>
        <v>#REF!</v>
      </c>
      <c r="F120" s="8" t="e">
        <f ca="1">SUMIF(INDIRECT("'"&amp;$B120&amp;"'!$F$1:$F$999"), F$1, INDIRECT("'"&amp;$B120&amp;"'!$B$1:$B$999"))/VLOOKUP(F$1, Table1[#All],2, FALSE)</f>
        <v>#REF!</v>
      </c>
      <c r="G120" s="8" t="e">
        <f ca="1">SUMIF(INDIRECT("'"&amp;$B120&amp;"'!$F$1:$F$999"), G$1, INDIRECT("'"&amp;$B120&amp;"'!$B$1:$B$999"))/VLOOKUP(G$1, Table1[#All],2, FALSE)</f>
        <v>#REF!</v>
      </c>
      <c r="H120" s="8" t="e">
        <f ca="1">SUMIF(INDIRECT("'"&amp;$B120&amp;"'!$F$1:$F$999"), H$1, INDIRECT("'"&amp;$B120&amp;"'!$B$1:$B$999"))/VLOOKUP(H$1, Table1[#All],2, FALSE)</f>
        <v>#REF!</v>
      </c>
      <c r="I120" s="8" t="e">
        <f ca="1">SUMIF(INDIRECT("'"&amp;$B120&amp;"'!$F$1:$F$999"), I$1, INDIRECT("'"&amp;$B120&amp;"'!$B$1:$B$999"))/VLOOKUP(I$1, Table1[#All],2, FALSE)</f>
        <v>#REF!</v>
      </c>
      <c r="J120" s="8" t="e">
        <f ca="1">SUMIF(INDIRECT("'"&amp;$B120&amp;"'!$F$1:$F$999"), J$1, INDIRECT("'"&amp;$B120&amp;"'!$B$1:$B$999"))/VLOOKUP(J$1, Table1[#All],2, FALSE)</f>
        <v>#REF!</v>
      </c>
      <c r="K120" s="8" t="e">
        <f ca="1">SUMIF(INDIRECT("'"&amp;$B120&amp;"'!$F$1:$F$999"), K$1, INDIRECT("'"&amp;$B120&amp;"'!$B$1:$B$999"))/VLOOKUP(K$1, Table1[#All],2, FALSE)</f>
        <v>#REF!</v>
      </c>
      <c r="L120" s="8" t="e">
        <f ca="1">SUMIF(INDIRECT("'"&amp;$B120&amp;"'!$F$1:$F$999"), L$1, INDIRECT("'"&amp;$B120&amp;"'!$B$1:$B$999"))/VLOOKUP(L$1, Table1[#All],2, FALSE)</f>
        <v>#REF!</v>
      </c>
      <c r="M120" s="8" t="e">
        <f ca="1">SUMIF(INDIRECT("'"&amp;$B120&amp;"'!$F$1:$F$999"), M$1, INDIRECT("'"&amp;$B120&amp;"'!$B$1:$B$999"))/VLOOKUP(M$1, Table1[#All],2, FALSE)</f>
        <v>#REF!</v>
      </c>
      <c r="N120" s="8" t="e">
        <f ca="1">SUMIF(INDIRECT("'"&amp;$B120&amp;"'!$F$1:$F$999"), N$1, INDIRECT("'"&amp;$B120&amp;"'!$B$1:$B$999"))/VLOOKUP(N$1, Table1[#All],2, FALSE)</f>
        <v>#REF!</v>
      </c>
      <c r="O120" s="8" t="e">
        <f ca="1">SUMIF(INDIRECT("'"&amp;$B120&amp;"'!$F$1:$F$999"), O$1, INDIRECT("'"&amp;$B120&amp;"'!$B$1:$B$999"))/VLOOKUP(O$1, Table1[#All],2, FALSE)</f>
        <v>#REF!</v>
      </c>
      <c r="P120" s="8" t="e">
        <f ca="1">SUMIF(INDIRECT("'"&amp;$B120&amp;"'!$F$1:$F$999"), P$1, INDIRECT("'"&amp;$B120&amp;"'!$B$1:$B$999"))/VLOOKUP(P$1, Table1[#All],2, FALSE)</f>
        <v>#REF!</v>
      </c>
      <c r="Q120" s="8" t="e">
        <f ca="1">SUMIF(INDIRECT("'"&amp;$B120&amp;"'!$F$1:$F$999"), Q$1, INDIRECT("'"&amp;$B120&amp;"'!$B$1:$B$999"))/VLOOKUP(Q$1, Table1[#All],2, FALSE)</f>
        <v>#REF!</v>
      </c>
      <c r="R120" s="8" t="e">
        <f ca="1">SUMIF(INDIRECT("'"&amp;$B120&amp;"'!$F$1:$F$999"), R$1, INDIRECT("'"&amp;$B120&amp;"'!$B$1:$B$999"))/VLOOKUP(R$1, Table1[#All],2, FALSE)</f>
        <v>#REF!</v>
      </c>
      <c r="S120" s="8" t="e">
        <f ca="1">SUMIF(INDIRECT("'"&amp;$B120&amp;"'!$F$1:$F$999"), S$1, INDIRECT("'"&amp;$B120&amp;"'!$B$1:$B$999"))/VLOOKUP(S$1, Table1[#All],2, FALSE)</f>
        <v>#REF!</v>
      </c>
      <c r="T120" s="9" t="e">
        <f t="shared" ca="1" si="7"/>
        <v>#REF!</v>
      </c>
    </row>
    <row r="121" spans="1:20" x14ac:dyDescent="0.25">
      <c r="A121" s="13">
        <f t="shared" si="6"/>
        <v>47058</v>
      </c>
      <c r="B121" s="12" t="str">
        <f t="shared" si="5"/>
        <v>November 2028</v>
      </c>
      <c r="C121" s="8" t="e">
        <f ca="1">SUMIF(INDIRECT("'"&amp;$B121&amp;"'!$F$1:$F$999"), C$1, INDIRECT("'"&amp;$B121&amp;"'!$B$1:$B$999"))/VLOOKUP(C$1, Table1[#All],2, FALSE)</f>
        <v>#REF!</v>
      </c>
      <c r="D121" s="8" t="e">
        <f ca="1">SUMIF(INDIRECT("'"&amp;$B121&amp;"'!$F$1:$F$999"), D$1, INDIRECT("'"&amp;$B121&amp;"'!$B$1:$B$999"))/VLOOKUP(D$1, Table1[#All],2, FALSE)</f>
        <v>#REF!</v>
      </c>
      <c r="E121" s="8" t="e">
        <f ca="1">SUMIF(INDIRECT("'"&amp;$B121&amp;"'!$F$1:$F$999"), E$1, INDIRECT("'"&amp;$B121&amp;"'!$B$1:$B$999"))/VLOOKUP(E$1, Table1[#All],2, FALSE)</f>
        <v>#REF!</v>
      </c>
      <c r="F121" s="8" t="e">
        <f ca="1">SUMIF(INDIRECT("'"&amp;$B121&amp;"'!$F$1:$F$999"), F$1, INDIRECT("'"&amp;$B121&amp;"'!$B$1:$B$999"))/VLOOKUP(F$1, Table1[#All],2, FALSE)</f>
        <v>#REF!</v>
      </c>
      <c r="G121" s="8" t="e">
        <f ca="1">SUMIF(INDIRECT("'"&amp;$B121&amp;"'!$F$1:$F$999"), G$1, INDIRECT("'"&amp;$B121&amp;"'!$B$1:$B$999"))/VLOOKUP(G$1, Table1[#All],2, FALSE)</f>
        <v>#REF!</v>
      </c>
      <c r="H121" s="8" t="e">
        <f ca="1">SUMIF(INDIRECT("'"&amp;$B121&amp;"'!$F$1:$F$999"), H$1, INDIRECT("'"&amp;$B121&amp;"'!$B$1:$B$999"))/VLOOKUP(H$1, Table1[#All],2, FALSE)</f>
        <v>#REF!</v>
      </c>
      <c r="I121" s="8" t="e">
        <f ca="1">SUMIF(INDIRECT("'"&amp;$B121&amp;"'!$F$1:$F$999"), I$1, INDIRECT("'"&amp;$B121&amp;"'!$B$1:$B$999"))/VLOOKUP(I$1, Table1[#All],2, FALSE)</f>
        <v>#REF!</v>
      </c>
      <c r="J121" s="8" t="e">
        <f ca="1">SUMIF(INDIRECT("'"&amp;$B121&amp;"'!$F$1:$F$999"), J$1, INDIRECT("'"&amp;$B121&amp;"'!$B$1:$B$999"))/VLOOKUP(J$1, Table1[#All],2, FALSE)</f>
        <v>#REF!</v>
      </c>
      <c r="K121" s="8" t="e">
        <f ca="1">SUMIF(INDIRECT("'"&amp;$B121&amp;"'!$F$1:$F$999"), K$1, INDIRECT("'"&amp;$B121&amp;"'!$B$1:$B$999"))/VLOOKUP(K$1, Table1[#All],2, FALSE)</f>
        <v>#REF!</v>
      </c>
      <c r="L121" s="8" t="e">
        <f ca="1">SUMIF(INDIRECT("'"&amp;$B121&amp;"'!$F$1:$F$999"), L$1, INDIRECT("'"&amp;$B121&amp;"'!$B$1:$B$999"))/VLOOKUP(L$1, Table1[#All],2, FALSE)</f>
        <v>#REF!</v>
      </c>
      <c r="M121" s="8" t="e">
        <f ca="1">SUMIF(INDIRECT("'"&amp;$B121&amp;"'!$F$1:$F$999"), M$1, INDIRECT("'"&amp;$B121&amp;"'!$B$1:$B$999"))/VLOOKUP(M$1, Table1[#All],2, FALSE)</f>
        <v>#REF!</v>
      </c>
      <c r="N121" s="8" t="e">
        <f ca="1">SUMIF(INDIRECT("'"&amp;$B121&amp;"'!$F$1:$F$999"), N$1, INDIRECT("'"&amp;$B121&amp;"'!$B$1:$B$999"))/VLOOKUP(N$1, Table1[#All],2, FALSE)</f>
        <v>#REF!</v>
      </c>
      <c r="O121" s="8" t="e">
        <f ca="1">SUMIF(INDIRECT("'"&amp;$B121&amp;"'!$F$1:$F$999"), O$1, INDIRECT("'"&amp;$B121&amp;"'!$B$1:$B$999"))/VLOOKUP(O$1, Table1[#All],2, FALSE)</f>
        <v>#REF!</v>
      </c>
      <c r="P121" s="8" t="e">
        <f ca="1">SUMIF(INDIRECT("'"&amp;$B121&amp;"'!$F$1:$F$999"), P$1, INDIRECT("'"&amp;$B121&amp;"'!$B$1:$B$999"))/VLOOKUP(P$1, Table1[#All],2, FALSE)</f>
        <v>#REF!</v>
      </c>
      <c r="Q121" s="8" t="e">
        <f ca="1">SUMIF(INDIRECT("'"&amp;$B121&amp;"'!$F$1:$F$999"), Q$1, INDIRECT("'"&amp;$B121&amp;"'!$B$1:$B$999"))/VLOOKUP(Q$1, Table1[#All],2, FALSE)</f>
        <v>#REF!</v>
      </c>
      <c r="R121" s="8" t="e">
        <f ca="1">SUMIF(INDIRECT("'"&amp;$B121&amp;"'!$F$1:$F$999"), R$1, INDIRECT("'"&amp;$B121&amp;"'!$B$1:$B$999"))/VLOOKUP(R$1, Table1[#All],2, FALSE)</f>
        <v>#REF!</v>
      </c>
      <c r="S121" s="8" t="e">
        <f ca="1">SUMIF(INDIRECT("'"&amp;$B121&amp;"'!$F$1:$F$999"), S$1, INDIRECT("'"&amp;$B121&amp;"'!$B$1:$B$999"))/VLOOKUP(S$1, Table1[#All],2, FALSE)</f>
        <v>#REF!</v>
      </c>
      <c r="T121" s="9" t="e">
        <f t="shared" ca="1" si="7"/>
        <v>#REF!</v>
      </c>
    </row>
    <row r="122" spans="1:20" x14ac:dyDescent="0.25">
      <c r="A122" s="13">
        <f t="shared" si="6"/>
        <v>47088</v>
      </c>
      <c r="B122" s="12" t="str">
        <f t="shared" si="5"/>
        <v>December 2028</v>
      </c>
      <c r="C122" s="8" t="e">
        <f ca="1">SUMIF(INDIRECT("'"&amp;$B122&amp;"'!$F$1:$F$999"), C$1, INDIRECT("'"&amp;$B122&amp;"'!$B$1:$B$999"))/VLOOKUP(C$1, Table1[#All],2, FALSE)</f>
        <v>#REF!</v>
      </c>
      <c r="D122" s="8" t="e">
        <f ca="1">SUMIF(INDIRECT("'"&amp;$B122&amp;"'!$F$1:$F$999"), D$1, INDIRECT("'"&amp;$B122&amp;"'!$B$1:$B$999"))/VLOOKUP(D$1, Table1[#All],2, FALSE)</f>
        <v>#REF!</v>
      </c>
      <c r="E122" s="8" t="e">
        <f ca="1">SUMIF(INDIRECT("'"&amp;$B122&amp;"'!$F$1:$F$999"), E$1, INDIRECT("'"&amp;$B122&amp;"'!$B$1:$B$999"))/VLOOKUP(E$1, Table1[#All],2, FALSE)</f>
        <v>#REF!</v>
      </c>
      <c r="F122" s="8" t="e">
        <f ca="1">SUMIF(INDIRECT("'"&amp;$B122&amp;"'!$F$1:$F$999"), F$1, INDIRECT("'"&amp;$B122&amp;"'!$B$1:$B$999"))/VLOOKUP(F$1, Table1[#All],2, FALSE)</f>
        <v>#REF!</v>
      </c>
      <c r="G122" s="8" t="e">
        <f ca="1">SUMIF(INDIRECT("'"&amp;$B122&amp;"'!$F$1:$F$999"), G$1, INDIRECT("'"&amp;$B122&amp;"'!$B$1:$B$999"))/VLOOKUP(G$1, Table1[#All],2, FALSE)</f>
        <v>#REF!</v>
      </c>
      <c r="H122" s="8" t="e">
        <f ca="1">SUMIF(INDIRECT("'"&amp;$B122&amp;"'!$F$1:$F$999"), H$1, INDIRECT("'"&amp;$B122&amp;"'!$B$1:$B$999"))/VLOOKUP(H$1, Table1[#All],2, FALSE)</f>
        <v>#REF!</v>
      </c>
      <c r="I122" s="8" t="e">
        <f ca="1">SUMIF(INDIRECT("'"&amp;$B122&amp;"'!$F$1:$F$999"), I$1, INDIRECT("'"&amp;$B122&amp;"'!$B$1:$B$999"))/VLOOKUP(I$1, Table1[#All],2, FALSE)</f>
        <v>#REF!</v>
      </c>
      <c r="J122" s="8" t="e">
        <f ca="1">SUMIF(INDIRECT("'"&amp;$B122&amp;"'!$F$1:$F$999"), J$1, INDIRECT("'"&amp;$B122&amp;"'!$B$1:$B$999"))/VLOOKUP(J$1, Table1[#All],2, FALSE)</f>
        <v>#REF!</v>
      </c>
      <c r="K122" s="8" t="e">
        <f ca="1">SUMIF(INDIRECT("'"&amp;$B122&amp;"'!$F$1:$F$999"), K$1, INDIRECT("'"&amp;$B122&amp;"'!$B$1:$B$999"))/VLOOKUP(K$1, Table1[#All],2, FALSE)</f>
        <v>#REF!</v>
      </c>
      <c r="L122" s="8" t="e">
        <f ca="1">SUMIF(INDIRECT("'"&amp;$B122&amp;"'!$F$1:$F$999"), L$1, INDIRECT("'"&amp;$B122&amp;"'!$B$1:$B$999"))/VLOOKUP(L$1, Table1[#All],2, FALSE)</f>
        <v>#REF!</v>
      </c>
      <c r="M122" s="8" t="e">
        <f ca="1">SUMIF(INDIRECT("'"&amp;$B122&amp;"'!$F$1:$F$999"), M$1, INDIRECT("'"&amp;$B122&amp;"'!$B$1:$B$999"))/VLOOKUP(M$1, Table1[#All],2, FALSE)</f>
        <v>#REF!</v>
      </c>
      <c r="N122" s="8" t="e">
        <f ca="1">SUMIF(INDIRECT("'"&amp;$B122&amp;"'!$F$1:$F$999"), N$1, INDIRECT("'"&amp;$B122&amp;"'!$B$1:$B$999"))/VLOOKUP(N$1, Table1[#All],2, FALSE)</f>
        <v>#REF!</v>
      </c>
      <c r="O122" s="8" t="e">
        <f ca="1">SUMIF(INDIRECT("'"&amp;$B122&amp;"'!$F$1:$F$999"), O$1, INDIRECT("'"&amp;$B122&amp;"'!$B$1:$B$999"))/VLOOKUP(O$1, Table1[#All],2, FALSE)</f>
        <v>#REF!</v>
      </c>
      <c r="P122" s="8" t="e">
        <f ca="1">SUMIF(INDIRECT("'"&amp;$B122&amp;"'!$F$1:$F$999"), P$1, INDIRECT("'"&amp;$B122&amp;"'!$B$1:$B$999"))/VLOOKUP(P$1, Table1[#All],2, FALSE)</f>
        <v>#REF!</v>
      </c>
      <c r="Q122" s="8" t="e">
        <f ca="1">SUMIF(INDIRECT("'"&amp;$B122&amp;"'!$F$1:$F$999"), Q$1, INDIRECT("'"&amp;$B122&amp;"'!$B$1:$B$999"))/VLOOKUP(Q$1, Table1[#All],2, FALSE)</f>
        <v>#REF!</v>
      </c>
      <c r="R122" s="8" t="e">
        <f ca="1">SUMIF(INDIRECT("'"&amp;$B122&amp;"'!$F$1:$F$999"), R$1, INDIRECT("'"&amp;$B122&amp;"'!$B$1:$B$999"))/VLOOKUP(R$1, Table1[#All],2, FALSE)</f>
        <v>#REF!</v>
      </c>
      <c r="S122" s="8" t="e">
        <f ca="1">SUMIF(INDIRECT("'"&amp;$B122&amp;"'!$F$1:$F$999"), S$1, INDIRECT("'"&amp;$B122&amp;"'!$B$1:$B$999"))/VLOOKUP(S$1, Table1[#All],2, FALSE)</f>
        <v>#REF!</v>
      </c>
      <c r="T122" s="9" t="e">
        <f t="shared" ca="1" si="7"/>
        <v>#REF!</v>
      </c>
    </row>
    <row r="123" spans="1:20" x14ac:dyDescent="0.25">
      <c r="A123" s="13">
        <f t="shared" si="6"/>
        <v>47119</v>
      </c>
      <c r="B123" s="12" t="str">
        <f t="shared" si="5"/>
        <v>January 2029</v>
      </c>
      <c r="C123" s="8" t="e">
        <f ca="1">SUMIF(INDIRECT("'"&amp;$B123&amp;"'!$F$1:$F$999"), C$1, INDIRECT("'"&amp;$B123&amp;"'!$B$1:$B$999"))/VLOOKUP(C$1, Table1[#All],2, FALSE)</f>
        <v>#REF!</v>
      </c>
      <c r="D123" s="8" t="e">
        <f ca="1">SUMIF(INDIRECT("'"&amp;$B123&amp;"'!$F$1:$F$999"), D$1, INDIRECT("'"&amp;$B123&amp;"'!$B$1:$B$999"))/VLOOKUP(D$1, Table1[#All],2, FALSE)</f>
        <v>#REF!</v>
      </c>
      <c r="E123" s="8" t="e">
        <f ca="1">SUMIF(INDIRECT("'"&amp;$B123&amp;"'!$F$1:$F$999"), E$1, INDIRECT("'"&amp;$B123&amp;"'!$B$1:$B$999"))/VLOOKUP(E$1, Table1[#All],2, FALSE)</f>
        <v>#REF!</v>
      </c>
      <c r="F123" s="8" t="e">
        <f ca="1">SUMIF(INDIRECT("'"&amp;$B123&amp;"'!$F$1:$F$999"), F$1, INDIRECT("'"&amp;$B123&amp;"'!$B$1:$B$999"))/VLOOKUP(F$1, Table1[#All],2, FALSE)</f>
        <v>#REF!</v>
      </c>
      <c r="G123" s="8" t="e">
        <f ca="1">SUMIF(INDIRECT("'"&amp;$B123&amp;"'!$F$1:$F$999"), G$1, INDIRECT("'"&amp;$B123&amp;"'!$B$1:$B$999"))/VLOOKUP(G$1, Table1[#All],2, FALSE)</f>
        <v>#REF!</v>
      </c>
      <c r="H123" s="8" t="e">
        <f ca="1">SUMIF(INDIRECT("'"&amp;$B123&amp;"'!$F$1:$F$999"), H$1, INDIRECT("'"&amp;$B123&amp;"'!$B$1:$B$999"))/VLOOKUP(H$1, Table1[#All],2, FALSE)</f>
        <v>#REF!</v>
      </c>
      <c r="I123" s="8" t="e">
        <f ca="1">SUMIF(INDIRECT("'"&amp;$B123&amp;"'!$F$1:$F$999"), I$1, INDIRECT("'"&amp;$B123&amp;"'!$B$1:$B$999"))/VLOOKUP(I$1, Table1[#All],2, FALSE)</f>
        <v>#REF!</v>
      </c>
      <c r="J123" s="8" t="e">
        <f ca="1">SUMIF(INDIRECT("'"&amp;$B123&amp;"'!$F$1:$F$999"), J$1, INDIRECT("'"&amp;$B123&amp;"'!$B$1:$B$999"))/VLOOKUP(J$1, Table1[#All],2, FALSE)</f>
        <v>#REF!</v>
      </c>
      <c r="K123" s="8" t="e">
        <f ca="1">SUMIF(INDIRECT("'"&amp;$B123&amp;"'!$F$1:$F$999"), K$1, INDIRECT("'"&amp;$B123&amp;"'!$B$1:$B$999"))/VLOOKUP(K$1, Table1[#All],2, FALSE)</f>
        <v>#REF!</v>
      </c>
      <c r="L123" s="8" t="e">
        <f ca="1">SUMIF(INDIRECT("'"&amp;$B123&amp;"'!$F$1:$F$999"), L$1, INDIRECT("'"&amp;$B123&amp;"'!$B$1:$B$999"))/VLOOKUP(L$1, Table1[#All],2, FALSE)</f>
        <v>#REF!</v>
      </c>
      <c r="M123" s="8" t="e">
        <f ca="1">SUMIF(INDIRECT("'"&amp;$B123&amp;"'!$F$1:$F$999"), M$1, INDIRECT("'"&amp;$B123&amp;"'!$B$1:$B$999"))/VLOOKUP(M$1, Table1[#All],2, FALSE)</f>
        <v>#REF!</v>
      </c>
      <c r="N123" s="8" t="e">
        <f ca="1">SUMIF(INDIRECT("'"&amp;$B123&amp;"'!$F$1:$F$999"), N$1, INDIRECT("'"&amp;$B123&amp;"'!$B$1:$B$999"))/VLOOKUP(N$1, Table1[#All],2, FALSE)</f>
        <v>#REF!</v>
      </c>
      <c r="O123" s="8" t="e">
        <f ca="1">SUMIF(INDIRECT("'"&amp;$B123&amp;"'!$F$1:$F$999"), O$1, INDIRECT("'"&amp;$B123&amp;"'!$B$1:$B$999"))/VLOOKUP(O$1, Table1[#All],2, FALSE)</f>
        <v>#REF!</v>
      </c>
      <c r="P123" s="8" t="e">
        <f ca="1">SUMIF(INDIRECT("'"&amp;$B123&amp;"'!$F$1:$F$999"), P$1, INDIRECT("'"&amp;$B123&amp;"'!$B$1:$B$999"))/VLOOKUP(P$1, Table1[#All],2, FALSE)</f>
        <v>#REF!</v>
      </c>
      <c r="Q123" s="8" t="e">
        <f ca="1">SUMIF(INDIRECT("'"&amp;$B123&amp;"'!$F$1:$F$999"), Q$1, INDIRECT("'"&amp;$B123&amp;"'!$B$1:$B$999"))/VLOOKUP(Q$1, Table1[#All],2, FALSE)</f>
        <v>#REF!</v>
      </c>
      <c r="R123" s="8" t="e">
        <f ca="1">SUMIF(INDIRECT("'"&amp;$B123&amp;"'!$F$1:$F$999"), R$1, INDIRECT("'"&amp;$B123&amp;"'!$B$1:$B$999"))/VLOOKUP(R$1, Table1[#All],2, FALSE)</f>
        <v>#REF!</v>
      </c>
      <c r="S123" s="8" t="e">
        <f ca="1">SUMIF(INDIRECT("'"&amp;$B123&amp;"'!$F$1:$F$999"), S$1, INDIRECT("'"&amp;$B123&amp;"'!$B$1:$B$999"))/VLOOKUP(S$1, Table1[#All],2, FALSE)</f>
        <v>#REF!</v>
      </c>
      <c r="T123" s="9" t="e">
        <f t="shared" ca="1" si="7"/>
        <v>#REF!</v>
      </c>
    </row>
    <row r="124" spans="1:20" x14ac:dyDescent="0.25">
      <c r="A124" s="13">
        <f t="shared" si="6"/>
        <v>47150</v>
      </c>
      <c r="B124" s="12" t="str">
        <f t="shared" si="5"/>
        <v>February 2029</v>
      </c>
      <c r="C124" s="8" t="e">
        <f ca="1">SUMIF(INDIRECT("'"&amp;$B124&amp;"'!$F$1:$F$999"), C$1, INDIRECT("'"&amp;$B124&amp;"'!$B$1:$B$999"))/VLOOKUP(C$1, Table1[#All],2, FALSE)</f>
        <v>#REF!</v>
      </c>
      <c r="D124" s="8" t="e">
        <f ca="1">SUMIF(INDIRECT("'"&amp;$B124&amp;"'!$F$1:$F$999"), D$1, INDIRECT("'"&amp;$B124&amp;"'!$B$1:$B$999"))/VLOOKUP(D$1, Table1[#All],2, FALSE)</f>
        <v>#REF!</v>
      </c>
      <c r="E124" s="8" t="e">
        <f ca="1">SUMIF(INDIRECT("'"&amp;$B124&amp;"'!$F$1:$F$999"), E$1, INDIRECT("'"&amp;$B124&amp;"'!$B$1:$B$999"))/VLOOKUP(E$1, Table1[#All],2, FALSE)</f>
        <v>#REF!</v>
      </c>
      <c r="F124" s="8" t="e">
        <f ca="1">SUMIF(INDIRECT("'"&amp;$B124&amp;"'!$F$1:$F$999"), F$1, INDIRECT("'"&amp;$B124&amp;"'!$B$1:$B$999"))/VLOOKUP(F$1, Table1[#All],2, FALSE)</f>
        <v>#REF!</v>
      </c>
      <c r="G124" s="8" t="e">
        <f ca="1">SUMIF(INDIRECT("'"&amp;$B124&amp;"'!$F$1:$F$999"), G$1, INDIRECT("'"&amp;$B124&amp;"'!$B$1:$B$999"))/VLOOKUP(G$1, Table1[#All],2, FALSE)</f>
        <v>#REF!</v>
      </c>
      <c r="H124" s="8" t="e">
        <f ca="1">SUMIF(INDIRECT("'"&amp;$B124&amp;"'!$F$1:$F$999"), H$1, INDIRECT("'"&amp;$B124&amp;"'!$B$1:$B$999"))/VLOOKUP(H$1, Table1[#All],2, FALSE)</f>
        <v>#REF!</v>
      </c>
      <c r="I124" s="8" t="e">
        <f ca="1">SUMIF(INDIRECT("'"&amp;$B124&amp;"'!$F$1:$F$999"), I$1, INDIRECT("'"&amp;$B124&amp;"'!$B$1:$B$999"))/VLOOKUP(I$1, Table1[#All],2, FALSE)</f>
        <v>#REF!</v>
      </c>
      <c r="J124" s="8" t="e">
        <f ca="1">SUMIF(INDIRECT("'"&amp;$B124&amp;"'!$F$1:$F$999"), J$1, INDIRECT("'"&amp;$B124&amp;"'!$B$1:$B$999"))/VLOOKUP(J$1, Table1[#All],2, FALSE)</f>
        <v>#REF!</v>
      </c>
      <c r="K124" s="8" t="e">
        <f ca="1">SUMIF(INDIRECT("'"&amp;$B124&amp;"'!$F$1:$F$999"), K$1, INDIRECT("'"&amp;$B124&amp;"'!$B$1:$B$999"))/VLOOKUP(K$1, Table1[#All],2, FALSE)</f>
        <v>#REF!</v>
      </c>
      <c r="L124" s="8" t="e">
        <f ca="1">SUMIF(INDIRECT("'"&amp;$B124&amp;"'!$F$1:$F$999"), L$1, INDIRECT("'"&amp;$B124&amp;"'!$B$1:$B$999"))/VLOOKUP(L$1, Table1[#All],2, FALSE)</f>
        <v>#REF!</v>
      </c>
      <c r="M124" s="8" t="e">
        <f ca="1">SUMIF(INDIRECT("'"&amp;$B124&amp;"'!$F$1:$F$999"), M$1, INDIRECT("'"&amp;$B124&amp;"'!$B$1:$B$999"))/VLOOKUP(M$1, Table1[#All],2, FALSE)</f>
        <v>#REF!</v>
      </c>
      <c r="N124" s="8" t="e">
        <f ca="1">SUMIF(INDIRECT("'"&amp;$B124&amp;"'!$F$1:$F$999"), N$1, INDIRECT("'"&amp;$B124&amp;"'!$B$1:$B$999"))/VLOOKUP(N$1, Table1[#All],2, FALSE)</f>
        <v>#REF!</v>
      </c>
      <c r="O124" s="8" t="e">
        <f ca="1">SUMIF(INDIRECT("'"&amp;$B124&amp;"'!$F$1:$F$999"), O$1, INDIRECT("'"&amp;$B124&amp;"'!$B$1:$B$999"))/VLOOKUP(O$1, Table1[#All],2, FALSE)</f>
        <v>#REF!</v>
      </c>
      <c r="P124" s="8" t="e">
        <f ca="1">SUMIF(INDIRECT("'"&amp;$B124&amp;"'!$F$1:$F$999"), P$1, INDIRECT("'"&amp;$B124&amp;"'!$B$1:$B$999"))/VLOOKUP(P$1, Table1[#All],2, FALSE)</f>
        <v>#REF!</v>
      </c>
      <c r="Q124" s="8" t="e">
        <f ca="1">SUMIF(INDIRECT("'"&amp;$B124&amp;"'!$F$1:$F$999"), Q$1, INDIRECT("'"&amp;$B124&amp;"'!$B$1:$B$999"))/VLOOKUP(Q$1, Table1[#All],2, FALSE)</f>
        <v>#REF!</v>
      </c>
      <c r="R124" s="8" t="e">
        <f ca="1">SUMIF(INDIRECT("'"&amp;$B124&amp;"'!$F$1:$F$999"), R$1, INDIRECT("'"&amp;$B124&amp;"'!$B$1:$B$999"))/VLOOKUP(R$1, Table1[#All],2, FALSE)</f>
        <v>#REF!</v>
      </c>
      <c r="S124" s="8" t="e">
        <f ca="1">SUMIF(INDIRECT("'"&amp;$B124&amp;"'!$F$1:$F$999"), S$1, INDIRECT("'"&amp;$B124&amp;"'!$B$1:$B$999"))/VLOOKUP(S$1, Table1[#All],2, FALSE)</f>
        <v>#REF!</v>
      </c>
      <c r="T124" s="9" t="e">
        <f t="shared" ca="1" si="7"/>
        <v>#REF!</v>
      </c>
    </row>
    <row r="125" spans="1:20" x14ac:dyDescent="0.25">
      <c r="A125" s="13">
        <f t="shared" si="6"/>
        <v>47178</v>
      </c>
      <c r="B125" s="12" t="str">
        <f t="shared" si="5"/>
        <v>March 2029</v>
      </c>
      <c r="C125" s="8" t="e">
        <f ca="1">SUMIF(INDIRECT("'"&amp;$B125&amp;"'!$F$1:$F$999"), C$1, INDIRECT("'"&amp;$B125&amp;"'!$B$1:$B$999"))/VLOOKUP(C$1, Table1[#All],2, FALSE)</f>
        <v>#REF!</v>
      </c>
      <c r="D125" s="8" t="e">
        <f ca="1">SUMIF(INDIRECT("'"&amp;$B125&amp;"'!$F$1:$F$999"), D$1, INDIRECT("'"&amp;$B125&amp;"'!$B$1:$B$999"))/VLOOKUP(D$1, Table1[#All],2, FALSE)</f>
        <v>#REF!</v>
      </c>
      <c r="E125" s="8" t="e">
        <f ca="1">SUMIF(INDIRECT("'"&amp;$B125&amp;"'!$F$1:$F$999"), E$1, INDIRECT("'"&amp;$B125&amp;"'!$B$1:$B$999"))/VLOOKUP(E$1, Table1[#All],2, FALSE)</f>
        <v>#REF!</v>
      </c>
      <c r="F125" s="8" t="e">
        <f ca="1">SUMIF(INDIRECT("'"&amp;$B125&amp;"'!$F$1:$F$999"), F$1, INDIRECT("'"&amp;$B125&amp;"'!$B$1:$B$999"))/VLOOKUP(F$1, Table1[#All],2, FALSE)</f>
        <v>#REF!</v>
      </c>
      <c r="G125" s="8" t="e">
        <f ca="1">SUMIF(INDIRECT("'"&amp;$B125&amp;"'!$F$1:$F$999"), G$1, INDIRECT("'"&amp;$B125&amp;"'!$B$1:$B$999"))/VLOOKUP(G$1, Table1[#All],2, FALSE)</f>
        <v>#REF!</v>
      </c>
      <c r="H125" s="8" t="e">
        <f ca="1">SUMIF(INDIRECT("'"&amp;$B125&amp;"'!$F$1:$F$999"), H$1, INDIRECT("'"&amp;$B125&amp;"'!$B$1:$B$999"))/VLOOKUP(H$1, Table1[#All],2, FALSE)</f>
        <v>#REF!</v>
      </c>
      <c r="I125" s="8" t="e">
        <f ca="1">SUMIF(INDIRECT("'"&amp;$B125&amp;"'!$F$1:$F$999"), I$1, INDIRECT("'"&amp;$B125&amp;"'!$B$1:$B$999"))/VLOOKUP(I$1, Table1[#All],2, FALSE)</f>
        <v>#REF!</v>
      </c>
      <c r="J125" s="8" t="e">
        <f ca="1">SUMIF(INDIRECT("'"&amp;$B125&amp;"'!$F$1:$F$999"), J$1, INDIRECT("'"&amp;$B125&amp;"'!$B$1:$B$999"))/VLOOKUP(J$1, Table1[#All],2, FALSE)</f>
        <v>#REF!</v>
      </c>
      <c r="K125" s="8" t="e">
        <f ca="1">SUMIF(INDIRECT("'"&amp;$B125&amp;"'!$F$1:$F$999"), K$1, INDIRECT("'"&amp;$B125&amp;"'!$B$1:$B$999"))/VLOOKUP(K$1, Table1[#All],2, FALSE)</f>
        <v>#REF!</v>
      </c>
      <c r="L125" s="8" t="e">
        <f ca="1">SUMIF(INDIRECT("'"&amp;$B125&amp;"'!$F$1:$F$999"), L$1, INDIRECT("'"&amp;$B125&amp;"'!$B$1:$B$999"))/VLOOKUP(L$1, Table1[#All],2, FALSE)</f>
        <v>#REF!</v>
      </c>
      <c r="M125" s="8" t="e">
        <f ca="1">SUMIF(INDIRECT("'"&amp;$B125&amp;"'!$F$1:$F$999"), M$1, INDIRECT("'"&amp;$B125&amp;"'!$B$1:$B$999"))/VLOOKUP(M$1, Table1[#All],2, FALSE)</f>
        <v>#REF!</v>
      </c>
      <c r="N125" s="8" t="e">
        <f ca="1">SUMIF(INDIRECT("'"&amp;$B125&amp;"'!$F$1:$F$999"), N$1, INDIRECT("'"&amp;$B125&amp;"'!$B$1:$B$999"))/VLOOKUP(N$1, Table1[#All],2, FALSE)</f>
        <v>#REF!</v>
      </c>
      <c r="O125" s="8" t="e">
        <f ca="1">SUMIF(INDIRECT("'"&amp;$B125&amp;"'!$F$1:$F$999"), O$1, INDIRECT("'"&amp;$B125&amp;"'!$B$1:$B$999"))/VLOOKUP(O$1, Table1[#All],2, FALSE)</f>
        <v>#REF!</v>
      </c>
      <c r="P125" s="8" t="e">
        <f ca="1">SUMIF(INDIRECT("'"&amp;$B125&amp;"'!$F$1:$F$999"), P$1, INDIRECT("'"&amp;$B125&amp;"'!$B$1:$B$999"))/VLOOKUP(P$1, Table1[#All],2, FALSE)</f>
        <v>#REF!</v>
      </c>
      <c r="Q125" s="8" t="e">
        <f ca="1">SUMIF(INDIRECT("'"&amp;$B125&amp;"'!$F$1:$F$999"), Q$1, INDIRECT("'"&amp;$B125&amp;"'!$B$1:$B$999"))/VLOOKUP(Q$1, Table1[#All],2, FALSE)</f>
        <v>#REF!</v>
      </c>
      <c r="R125" s="8" t="e">
        <f ca="1">SUMIF(INDIRECT("'"&amp;$B125&amp;"'!$F$1:$F$999"), R$1, INDIRECT("'"&amp;$B125&amp;"'!$B$1:$B$999"))/VLOOKUP(R$1, Table1[#All],2, FALSE)</f>
        <v>#REF!</v>
      </c>
      <c r="S125" s="8" t="e">
        <f ca="1">SUMIF(INDIRECT("'"&amp;$B125&amp;"'!$F$1:$F$999"), S$1, INDIRECT("'"&amp;$B125&amp;"'!$B$1:$B$999"))/VLOOKUP(S$1, Table1[#All],2, FALSE)</f>
        <v>#REF!</v>
      </c>
      <c r="T125" s="9" t="e">
        <f t="shared" ca="1" si="7"/>
        <v>#REF!</v>
      </c>
    </row>
    <row r="126" spans="1:20" x14ac:dyDescent="0.25">
      <c r="A126" s="13">
        <f t="shared" si="6"/>
        <v>47209</v>
      </c>
      <c r="B126" s="12" t="str">
        <f t="shared" si="5"/>
        <v>April 2029</v>
      </c>
      <c r="C126" s="8" t="e">
        <f ca="1">SUMIF(INDIRECT("'"&amp;$B126&amp;"'!$F$1:$F$999"), C$1, INDIRECT("'"&amp;$B126&amp;"'!$B$1:$B$999"))/VLOOKUP(C$1, Table1[#All],2, FALSE)</f>
        <v>#REF!</v>
      </c>
      <c r="D126" s="8" t="e">
        <f ca="1">SUMIF(INDIRECT("'"&amp;$B126&amp;"'!$F$1:$F$999"), D$1, INDIRECT("'"&amp;$B126&amp;"'!$B$1:$B$999"))/VLOOKUP(D$1, Table1[#All],2, FALSE)</f>
        <v>#REF!</v>
      </c>
      <c r="E126" s="8" t="e">
        <f ca="1">SUMIF(INDIRECT("'"&amp;$B126&amp;"'!$F$1:$F$999"), E$1, INDIRECT("'"&amp;$B126&amp;"'!$B$1:$B$999"))/VLOOKUP(E$1, Table1[#All],2, FALSE)</f>
        <v>#REF!</v>
      </c>
      <c r="F126" s="8" t="e">
        <f ca="1">SUMIF(INDIRECT("'"&amp;$B126&amp;"'!$F$1:$F$999"), F$1, INDIRECT("'"&amp;$B126&amp;"'!$B$1:$B$999"))/VLOOKUP(F$1, Table1[#All],2, FALSE)</f>
        <v>#REF!</v>
      </c>
      <c r="G126" s="8" t="e">
        <f ca="1">SUMIF(INDIRECT("'"&amp;$B126&amp;"'!$F$1:$F$999"), G$1, INDIRECT("'"&amp;$B126&amp;"'!$B$1:$B$999"))/VLOOKUP(G$1, Table1[#All],2, FALSE)</f>
        <v>#REF!</v>
      </c>
      <c r="H126" s="8" t="e">
        <f ca="1">SUMIF(INDIRECT("'"&amp;$B126&amp;"'!$F$1:$F$999"), H$1, INDIRECT("'"&amp;$B126&amp;"'!$B$1:$B$999"))/VLOOKUP(H$1, Table1[#All],2, FALSE)</f>
        <v>#REF!</v>
      </c>
      <c r="I126" s="8" t="e">
        <f ca="1">SUMIF(INDIRECT("'"&amp;$B126&amp;"'!$F$1:$F$999"), I$1, INDIRECT("'"&amp;$B126&amp;"'!$B$1:$B$999"))/VLOOKUP(I$1, Table1[#All],2, FALSE)</f>
        <v>#REF!</v>
      </c>
      <c r="J126" s="8" t="e">
        <f ca="1">SUMIF(INDIRECT("'"&amp;$B126&amp;"'!$F$1:$F$999"), J$1, INDIRECT("'"&amp;$B126&amp;"'!$B$1:$B$999"))/VLOOKUP(J$1, Table1[#All],2, FALSE)</f>
        <v>#REF!</v>
      </c>
      <c r="K126" s="8" t="e">
        <f ca="1">SUMIF(INDIRECT("'"&amp;$B126&amp;"'!$F$1:$F$999"), K$1, INDIRECT("'"&amp;$B126&amp;"'!$B$1:$B$999"))/VLOOKUP(K$1, Table1[#All],2, FALSE)</f>
        <v>#REF!</v>
      </c>
      <c r="L126" s="8" t="e">
        <f ca="1">SUMIF(INDIRECT("'"&amp;$B126&amp;"'!$F$1:$F$999"), L$1, INDIRECT("'"&amp;$B126&amp;"'!$B$1:$B$999"))/VLOOKUP(L$1, Table1[#All],2, FALSE)</f>
        <v>#REF!</v>
      </c>
      <c r="M126" s="8" t="e">
        <f ca="1">SUMIF(INDIRECT("'"&amp;$B126&amp;"'!$F$1:$F$999"), M$1, INDIRECT("'"&amp;$B126&amp;"'!$B$1:$B$999"))/VLOOKUP(M$1, Table1[#All],2, FALSE)</f>
        <v>#REF!</v>
      </c>
      <c r="N126" s="8" t="e">
        <f ca="1">SUMIF(INDIRECT("'"&amp;$B126&amp;"'!$F$1:$F$999"), N$1, INDIRECT("'"&amp;$B126&amp;"'!$B$1:$B$999"))/VLOOKUP(N$1, Table1[#All],2, FALSE)</f>
        <v>#REF!</v>
      </c>
      <c r="O126" s="8" t="e">
        <f ca="1">SUMIF(INDIRECT("'"&amp;$B126&amp;"'!$F$1:$F$999"), O$1, INDIRECT("'"&amp;$B126&amp;"'!$B$1:$B$999"))/VLOOKUP(O$1, Table1[#All],2, FALSE)</f>
        <v>#REF!</v>
      </c>
      <c r="P126" s="8" t="e">
        <f ca="1">SUMIF(INDIRECT("'"&amp;$B126&amp;"'!$F$1:$F$999"), P$1, INDIRECT("'"&amp;$B126&amp;"'!$B$1:$B$999"))/VLOOKUP(P$1, Table1[#All],2, FALSE)</f>
        <v>#REF!</v>
      </c>
      <c r="Q126" s="8" t="e">
        <f ca="1">SUMIF(INDIRECT("'"&amp;$B126&amp;"'!$F$1:$F$999"), Q$1, INDIRECT("'"&amp;$B126&amp;"'!$B$1:$B$999"))/VLOOKUP(Q$1, Table1[#All],2, FALSE)</f>
        <v>#REF!</v>
      </c>
      <c r="R126" s="8" t="e">
        <f ca="1">SUMIF(INDIRECT("'"&amp;$B126&amp;"'!$F$1:$F$999"), R$1, INDIRECT("'"&amp;$B126&amp;"'!$B$1:$B$999"))/VLOOKUP(R$1, Table1[#All],2, FALSE)</f>
        <v>#REF!</v>
      </c>
      <c r="S126" s="8" t="e">
        <f ca="1">SUMIF(INDIRECT("'"&amp;$B126&amp;"'!$F$1:$F$999"), S$1, INDIRECT("'"&amp;$B126&amp;"'!$B$1:$B$999"))/VLOOKUP(S$1, Table1[#All],2, FALSE)</f>
        <v>#REF!</v>
      </c>
      <c r="T126" s="9" t="e">
        <f t="shared" ca="1" si="7"/>
        <v>#REF!</v>
      </c>
    </row>
    <row r="127" spans="1:20" x14ac:dyDescent="0.25">
      <c r="A127" s="13">
        <f t="shared" si="6"/>
        <v>47239</v>
      </c>
      <c r="B127" s="12" t="str">
        <f t="shared" si="5"/>
        <v>May 2029</v>
      </c>
      <c r="C127" s="8" t="e">
        <f ca="1">SUMIF(INDIRECT("'"&amp;$B127&amp;"'!$F$1:$F$999"), C$1, INDIRECT("'"&amp;$B127&amp;"'!$B$1:$B$999"))/VLOOKUP(C$1, Table1[#All],2, FALSE)</f>
        <v>#REF!</v>
      </c>
      <c r="D127" s="8" t="e">
        <f ca="1">SUMIF(INDIRECT("'"&amp;$B127&amp;"'!$F$1:$F$999"), D$1, INDIRECT("'"&amp;$B127&amp;"'!$B$1:$B$999"))/VLOOKUP(D$1, Table1[#All],2, FALSE)</f>
        <v>#REF!</v>
      </c>
      <c r="E127" s="8" t="e">
        <f ca="1">SUMIF(INDIRECT("'"&amp;$B127&amp;"'!$F$1:$F$999"), E$1, INDIRECT("'"&amp;$B127&amp;"'!$B$1:$B$999"))/VLOOKUP(E$1, Table1[#All],2, FALSE)</f>
        <v>#REF!</v>
      </c>
      <c r="F127" s="8" t="e">
        <f ca="1">SUMIF(INDIRECT("'"&amp;$B127&amp;"'!$F$1:$F$999"), F$1, INDIRECT("'"&amp;$B127&amp;"'!$B$1:$B$999"))/VLOOKUP(F$1, Table1[#All],2, FALSE)</f>
        <v>#REF!</v>
      </c>
      <c r="G127" s="8" t="e">
        <f ca="1">SUMIF(INDIRECT("'"&amp;$B127&amp;"'!$F$1:$F$999"), G$1, INDIRECT("'"&amp;$B127&amp;"'!$B$1:$B$999"))/VLOOKUP(G$1, Table1[#All],2, FALSE)</f>
        <v>#REF!</v>
      </c>
      <c r="H127" s="8" t="e">
        <f ca="1">SUMIF(INDIRECT("'"&amp;$B127&amp;"'!$F$1:$F$999"), H$1, INDIRECT("'"&amp;$B127&amp;"'!$B$1:$B$999"))/VLOOKUP(H$1, Table1[#All],2, FALSE)</f>
        <v>#REF!</v>
      </c>
      <c r="I127" s="8" t="e">
        <f ca="1">SUMIF(INDIRECT("'"&amp;$B127&amp;"'!$F$1:$F$999"), I$1, INDIRECT("'"&amp;$B127&amp;"'!$B$1:$B$999"))/VLOOKUP(I$1, Table1[#All],2, FALSE)</f>
        <v>#REF!</v>
      </c>
      <c r="J127" s="8" t="e">
        <f ca="1">SUMIF(INDIRECT("'"&amp;$B127&amp;"'!$F$1:$F$999"), J$1, INDIRECT("'"&amp;$B127&amp;"'!$B$1:$B$999"))/VLOOKUP(J$1, Table1[#All],2, FALSE)</f>
        <v>#REF!</v>
      </c>
      <c r="K127" s="8" t="e">
        <f ca="1">SUMIF(INDIRECT("'"&amp;$B127&amp;"'!$F$1:$F$999"), K$1, INDIRECT("'"&amp;$B127&amp;"'!$B$1:$B$999"))/VLOOKUP(K$1, Table1[#All],2, FALSE)</f>
        <v>#REF!</v>
      </c>
      <c r="L127" s="8" t="e">
        <f ca="1">SUMIF(INDIRECT("'"&amp;$B127&amp;"'!$F$1:$F$999"), L$1, INDIRECT("'"&amp;$B127&amp;"'!$B$1:$B$999"))/VLOOKUP(L$1, Table1[#All],2, FALSE)</f>
        <v>#REF!</v>
      </c>
      <c r="M127" s="8" t="e">
        <f ca="1">SUMIF(INDIRECT("'"&amp;$B127&amp;"'!$F$1:$F$999"), M$1, INDIRECT("'"&amp;$B127&amp;"'!$B$1:$B$999"))/VLOOKUP(M$1, Table1[#All],2, FALSE)</f>
        <v>#REF!</v>
      </c>
      <c r="N127" s="8" t="e">
        <f ca="1">SUMIF(INDIRECT("'"&amp;$B127&amp;"'!$F$1:$F$999"), N$1, INDIRECT("'"&amp;$B127&amp;"'!$B$1:$B$999"))/VLOOKUP(N$1, Table1[#All],2, FALSE)</f>
        <v>#REF!</v>
      </c>
      <c r="O127" s="8" t="e">
        <f ca="1">SUMIF(INDIRECT("'"&amp;$B127&amp;"'!$F$1:$F$999"), O$1, INDIRECT("'"&amp;$B127&amp;"'!$B$1:$B$999"))/VLOOKUP(O$1, Table1[#All],2, FALSE)</f>
        <v>#REF!</v>
      </c>
      <c r="P127" s="8" t="e">
        <f ca="1">SUMIF(INDIRECT("'"&amp;$B127&amp;"'!$F$1:$F$999"), P$1, INDIRECT("'"&amp;$B127&amp;"'!$B$1:$B$999"))/VLOOKUP(P$1, Table1[#All],2, FALSE)</f>
        <v>#REF!</v>
      </c>
      <c r="Q127" s="8" t="e">
        <f ca="1">SUMIF(INDIRECT("'"&amp;$B127&amp;"'!$F$1:$F$999"), Q$1, INDIRECT("'"&amp;$B127&amp;"'!$B$1:$B$999"))/VLOOKUP(Q$1, Table1[#All],2, FALSE)</f>
        <v>#REF!</v>
      </c>
      <c r="R127" s="8" t="e">
        <f ca="1">SUMIF(INDIRECT("'"&amp;$B127&amp;"'!$F$1:$F$999"), R$1, INDIRECT("'"&amp;$B127&amp;"'!$B$1:$B$999"))/VLOOKUP(R$1, Table1[#All],2, FALSE)</f>
        <v>#REF!</v>
      </c>
      <c r="S127" s="8" t="e">
        <f ca="1">SUMIF(INDIRECT("'"&amp;$B127&amp;"'!$F$1:$F$999"), S$1, INDIRECT("'"&amp;$B127&amp;"'!$B$1:$B$999"))/VLOOKUP(S$1, Table1[#All],2, FALSE)</f>
        <v>#REF!</v>
      </c>
      <c r="T127" s="9" t="e">
        <f t="shared" ca="1" si="7"/>
        <v>#REF!</v>
      </c>
    </row>
    <row r="128" spans="1:20" x14ac:dyDescent="0.25">
      <c r="A128" s="13">
        <f t="shared" si="6"/>
        <v>47270</v>
      </c>
      <c r="B128" s="12" t="str">
        <f t="shared" si="5"/>
        <v>June 2029</v>
      </c>
      <c r="C128" s="8" t="e">
        <f ca="1">SUMIF(INDIRECT("'"&amp;$B128&amp;"'!$F$1:$F$999"), C$1, INDIRECT("'"&amp;$B128&amp;"'!$B$1:$B$999"))/VLOOKUP(C$1, Table1[#All],2, FALSE)</f>
        <v>#REF!</v>
      </c>
      <c r="D128" s="8" t="e">
        <f ca="1">SUMIF(INDIRECT("'"&amp;$B128&amp;"'!$F$1:$F$999"), D$1, INDIRECT("'"&amp;$B128&amp;"'!$B$1:$B$999"))/VLOOKUP(D$1, Table1[#All],2, FALSE)</f>
        <v>#REF!</v>
      </c>
      <c r="E128" s="8" t="e">
        <f ca="1">SUMIF(INDIRECT("'"&amp;$B128&amp;"'!$F$1:$F$999"), E$1, INDIRECT("'"&amp;$B128&amp;"'!$B$1:$B$999"))/VLOOKUP(E$1, Table1[#All],2, FALSE)</f>
        <v>#REF!</v>
      </c>
      <c r="F128" s="8" t="e">
        <f ca="1">SUMIF(INDIRECT("'"&amp;$B128&amp;"'!$F$1:$F$999"), F$1, INDIRECT("'"&amp;$B128&amp;"'!$B$1:$B$999"))/VLOOKUP(F$1, Table1[#All],2, FALSE)</f>
        <v>#REF!</v>
      </c>
      <c r="G128" s="8" t="e">
        <f ca="1">SUMIF(INDIRECT("'"&amp;$B128&amp;"'!$F$1:$F$999"), G$1, INDIRECT("'"&amp;$B128&amp;"'!$B$1:$B$999"))/VLOOKUP(G$1, Table1[#All],2, FALSE)</f>
        <v>#REF!</v>
      </c>
      <c r="H128" s="8" t="e">
        <f ca="1">SUMIF(INDIRECT("'"&amp;$B128&amp;"'!$F$1:$F$999"), H$1, INDIRECT("'"&amp;$B128&amp;"'!$B$1:$B$999"))/VLOOKUP(H$1, Table1[#All],2, FALSE)</f>
        <v>#REF!</v>
      </c>
      <c r="I128" s="8" t="e">
        <f ca="1">SUMIF(INDIRECT("'"&amp;$B128&amp;"'!$F$1:$F$999"), I$1, INDIRECT("'"&amp;$B128&amp;"'!$B$1:$B$999"))/VLOOKUP(I$1, Table1[#All],2, FALSE)</f>
        <v>#REF!</v>
      </c>
      <c r="J128" s="8" t="e">
        <f ca="1">SUMIF(INDIRECT("'"&amp;$B128&amp;"'!$F$1:$F$999"), J$1, INDIRECT("'"&amp;$B128&amp;"'!$B$1:$B$999"))/VLOOKUP(J$1, Table1[#All],2, FALSE)</f>
        <v>#REF!</v>
      </c>
      <c r="K128" s="8" t="e">
        <f ca="1">SUMIF(INDIRECT("'"&amp;$B128&amp;"'!$F$1:$F$999"), K$1, INDIRECT("'"&amp;$B128&amp;"'!$B$1:$B$999"))/VLOOKUP(K$1, Table1[#All],2, FALSE)</f>
        <v>#REF!</v>
      </c>
      <c r="L128" s="8" t="e">
        <f ca="1">SUMIF(INDIRECT("'"&amp;$B128&amp;"'!$F$1:$F$999"), L$1, INDIRECT("'"&amp;$B128&amp;"'!$B$1:$B$999"))/VLOOKUP(L$1, Table1[#All],2, FALSE)</f>
        <v>#REF!</v>
      </c>
      <c r="M128" s="8" t="e">
        <f ca="1">SUMIF(INDIRECT("'"&amp;$B128&amp;"'!$F$1:$F$999"), M$1, INDIRECT("'"&amp;$B128&amp;"'!$B$1:$B$999"))/VLOOKUP(M$1, Table1[#All],2, FALSE)</f>
        <v>#REF!</v>
      </c>
      <c r="N128" s="8" t="e">
        <f ca="1">SUMIF(INDIRECT("'"&amp;$B128&amp;"'!$F$1:$F$999"), N$1, INDIRECT("'"&amp;$B128&amp;"'!$B$1:$B$999"))/VLOOKUP(N$1, Table1[#All],2, FALSE)</f>
        <v>#REF!</v>
      </c>
      <c r="O128" s="8" t="e">
        <f ca="1">SUMIF(INDIRECT("'"&amp;$B128&amp;"'!$F$1:$F$999"), O$1, INDIRECT("'"&amp;$B128&amp;"'!$B$1:$B$999"))/VLOOKUP(O$1, Table1[#All],2, FALSE)</f>
        <v>#REF!</v>
      </c>
      <c r="P128" s="8" t="e">
        <f ca="1">SUMIF(INDIRECT("'"&amp;$B128&amp;"'!$F$1:$F$999"), P$1, INDIRECT("'"&amp;$B128&amp;"'!$B$1:$B$999"))/VLOOKUP(P$1, Table1[#All],2, FALSE)</f>
        <v>#REF!</v>
      </c>
      <c r="Q128" s="8" t="e">
        <f ca="1">SUMIF(INDIRECT("'"&amp;$B128&amp;"'!$F$1:$F$999"), Q$1, INDIRECT("'"&amp;$B128&amp;"'!$B$1:$B$999"))/VLOOKUP(Q$1, Table1[#All],2, FALSE)</f>
        <v>#REF!</v>
      </c>
      <c r="R128" s="8" t="e">
        <f ca="1">SUMIF(INDIRECT("'"&amp;$B128&amp;"'!$F$1:$F$999"), R$1, INDIRECT("'"&amp;$B128&amp;"'!$B$1:$B$999"))/VLOOKUP(R$1, Table1[#All],2, FALSE)</f>
        <v>#REF!</v>
      </c>
      <c r="S128" s="8" t="e">
        <f ca="1">SUMIF(INDIRECT("'"&amp;$B128&amp;"'!$F$1:$F$999"), S$1, INDIRECT("'"&amp;$B128&amp;"'!$B$1:$B$999"))/VLOOKUP(S$1, Table1[#All],2, FALSE)</f>
        <v>#REF!</v>
      </c>
      <c r="T128" s="9" t="e">
        <f t="shared" ca="1" si="7"/>
        <v>#REF!</v>
      </c>
    </row>
    <row r="129" spans="1:20" x14ac:dyDescent="0.25">
      <c r="A129" s="13">
        <f t="shared" si="6"/>
        <v>47300</v>
      </c>
      <c r="B129" s="12" t="str">
        <f t="shared" si="5"/>
        <v>July 2029</v>
      </c>
      <c r="C129" s="8" t="e">
        <f ca="1">SUMIF(INDIRECT("'"&amp;$B129&amp;"'!$F$1:$F$999"), C$1, INDIRECT("'"&amp;$B129&amp;"'!$B$1:$B$999"))/VLOOKUP(C$1, Table1[#All],2, FALSE)</f>
        <v>#REF!</v>
      </c>
      <c r="D129" s="8" t="e">
        <f ca="1">SUMIF(INDIRECT("'"&amp;$B129&amp;"'!$F$1:$F$999"), D$1, INDIRECT("'"&amp;$B129&amp;"'!$B$1:$B$999"))/VLOOKUP(D$1, Table1[#All],2, FALSE)</f>
        <v>#REF!</v>
      </c>
      <c r="E129" s="8" t="e">
        <f ca="1">SUMIF(INDIRECT("'"&amp;$B129&amp;"'!$F$1:$F$999"), E$1, INDIRECT("'"&amp;$B129&amp;"'!$B$1:$B$999"))/VLOOKUP(E$1, Table1[#All],2, FALSE)</f>
        <v>#REF!</v>
      </c>
      <c r="F129" s="8" t="e">
        <f ca="1">SUMIF(INDIRECT("'"&amp;$B129&amp;"'!$F$1:$F$999"), F$1, INDIRECT("'"&amp;$B129&amp;"'!$B$1:$B$999"))/VLOOKUP(F$1, Table1[#All],2, FALSE)</f>
        <v>#REF!</v>
      </c>
      <c r="G129" s="8" t="e">
        <f ca="1">SUMIF(INDIRECT("'"&amp;$B129&amp;"'!$F$1:$F$999"), G$1, INDIRECT("'"&amp;$B129&amp;"'!$B$1:$B$999"))/VLOOKUP(G$1, Table1[#All],2, FALSE)</f>
        <v>#REF!</v>
      </c>
      <c r="H129" s="8" t="e">
        <f ca="1">SUMIF(INDIRECT("'"&amp;$B129&amp;"'!$F$1:$F$999"), H$1, INDIRECT("'"&amp;$B129&amp;"'!$B$1:$B$999"))/VLOOKUP(H$1, Table1[#All],2, FALSE)</f>
        <v>#REF!</v>
      </c>
      <c r="I129" s="8" t="e">
        <f ca="1">SUMIF(INDIRECT("'"&amp;$B129&amp;"'!$F$1:$F$999"), I$1, INDIRECT("'"&amp;$B129&amp;"'!$B$1:$B$999"))/VLOOKUP(I$1, Table1[#All],2, FALSE)</f>
        <v>#REF!</v>
      </c>
      <c r="J129" s="8" t="e">
        <f ca="1">SUMIF(INDIRECT("'"&amp;$B129&amp;"'!$F$1:$F$999"), J$1, INDIRECT("'"&amp;$B129&amp;"'!$B$1:$B$999"))/VLOOKUP(J$1, Table1[#All],2, FALSE)</f>
        <v>#REF!</v>
      </c>
      <c r="K129" s="8" t="e">
        <f ca="1">SUMIF(INDIRECT("'"&amp;$B129&amp;"'!$F$1:$F$999"), K$1, INDIRECT("'"&amp;$B129&amp;"'!$B$1:$B$999"))/VLOOKUP(K$1, Table1[#All],2, FALSE)</f>
        <v>#REF!</v>
      </c>
      <c r="L129" s="8" t="e">
        <f ca="1">SUMIF(INDIRECT("'"&amp;$B129&amp;"'!$F$1:$F$999"), L$1, INDIRECT("'"&amp;$B129&amp;"'!$B$1:$B$999"))/VLOOKUP(L$1, Table1[#All],2, FALSE)</f>
        <v>#REF!</v>
      </c>
      <c r="M129" s="8" t="e">
        <f ca="1">SUMIF(INDIRECT("'"&amp;$B129&amp;"'!$F$1:$F$999"), M$1, INDIRECT("'"&amp;$B129&amp;"'!$B$1:$B$999"))/VLOOKUP(M$1, Table1[#All],2, FALSE)</f>
        <v>#REF!</v>
      </c>
      <c r="N129" s="8" t="e">
        <f ca="1">SUMIF(INDIRECT("'"&amp;$B129&amp;"'!$F$1:$F$999"), N$1, INDIRECT("'"&amp;$B129&amp;"'!$B$1:$B$999"))/VLOOKUP(N$1, Table1[#All],2, FALSE)</f>
        <v>#REF!</v>
      </c>
      <c r="O129" s="8" t="e">
        <f ca="1">SUMIF(INDIRECT("'"&amp;$B129&amp;"'!$F$1:$F$999"), O$1, INDIRECT("'"&amp;$B129&amp;"'!$B$1:$B$999"))/VLOOKUP(O$1, Table1[#All],2, FALSE)</f>
        <v>#REF!</v>
      </c>
      <c r="P129" s="8" t="e">
        <f ca="1">SUMIF(INDIRECT("'"&amp;$B129&amp;"'!$F$1:$F$999"), P$1, INDIRECT("'"&amp;$B129&amp;"'!$B$1:$B$999"))/VLOOKUP(P$1, Table1[#All],2, FALSE)</f>
        <v>#REF!</v>
      </c>
      <c r="Q129" s="8" t="e">
        <f ca="1">SUMIF(INDIRECT("'"&amp;$B129&amp;"'!$F$1:$F$999"), Q$1, INDIRECT("'"&amp;$B129&amp;"'!$B$1:$B$999"))/VLOOKUP(Q$1, Table1[#All],2, FALSE)</f>
        <v>#REF!</v>
      </c>
      <c r="R129" s="8" t="e">
        <f ca="1">SUMIF(INDIRECT("'"&amp;$B129&amp;"'!$F$1:$F$999"), R$1, INDIRECT("'"&amp;$B129&amp;"'!$B$1:$B$999"))/VLOOKUP(R$1, Table1[#All],2, FALSE)</f>
        <v>#REF!</v>
      </c>
      <c r="S129" s="8" t="e">
        <f ca="1">SUMIF(INDIRECT("'"&amp;$B129&amp;"'!$F$1:$F$999"), S$1, INDIRECT("'"&amp;$B129&amp;"'!$B$1:$B$999"))/VLOOKUP(S$1, Table1[#All],2, FALSE)</f>
        <v>#REF!</v>
      </c>
      <c r="T129" s="9" t="e">
        <f t="shared" ca="1" si="7"/>
        <v>#REF!</v>
      </c>
    </row>
    <row r="130" spans="1:20" x14ac:dyDescent="0.25">
      <c r="A130" s="13">
        <f t="shared" si="6"/>
        <v>47331</v>
      </c>
      <c r="B130" s="12" t="str">
        <f t="shared" si="5"/>
        <v>August 2029</v>
      </c>
      <c r="C130" s="8" t="e">
        <f ca="1">SUMIF(INDIRECT("'"&amp;$B130&amp;"'!$F$1:$F$999"), C$1, INDIRECT("'"&amp;$B130&amp;"'!$B$1:$B$999"))/VLOOKUP(C$1, Table1[#All],2, FALSE)</f>
        <v>#REF!</v>
      </c>
      <c r="D130" s="8" t="e">
        <f ca="1">SUMIF(INDIRECT("'"&amp;$B130&amp;"'!$F$1:$F$999"), D$1, INDIRECT("'"&amp;$B130&amp;"'!$B$1:$B$999"))/VLOOKUP(D$1, Table1[#All],2, FALSE)</f>
        <v>#REF!</v>
      </c>
      <c r="E130" s="8" t="e">
        <f ca="1">SUMIF(INDIRECT("'"&amp;$B130&amp;"'!$F$1:$F$999"), E$1, INDIRECT("'"&amp;$B130&amp;"'!$B$1:$B$999"))/VLOOKUP(E$1, Table1[#All],2, FALSE)</f>
        <v>#REF!</v>
      </c>
      <c r="F130" s="8" t="e">
        <f ca="1">SUMIF(INDIRECT("'"&amp;$B130&amp;"'!$F$1:$F$999"), F$1, INDIRECT("'"&amp;$B130&amp;"'!$B$1:$B$999"))/VLOOKUP(F$1, Table1[#All],2, FALSE)</f>
        <v>#REF!</v>
      </c>
      <c r="G130" s="8" t="e">
        <f ca="1">SUMIF(INDIRECT("'"&amp;$B130&amp;"'!$F$1:$F$999"), G$1, INDIRECT("'"&amp;$B130&amp;"'!$B$1:$B$999"))/VLOOKUP(G$1, Table1[#All],2, FALSE)</f>
        <v>#REF!</v>
      </c>
      <c r="H130" s="8" t="e">
        <f ca="1">SUMIF(INDIRECT("'"&amp;$B130&amp;"'!$F$1:$F$999"), H$1, INDIRECT("'"&amp;$B130&amp;"'!$B$1:$B$999"))/VLOOKUP(H$1, Table1[#All],2, FALSE)</f>
        <v>#REF!</v>
      </c>
      <c r="I130" s="8" t="e">
        <f ca="1">SUMIF(INDIRECT("'"&amp;$B130&amp;"'!$F$1:$F$999"), I$1, INDIRECT("'"&amp;$B130&amp;"'!$B$1:$B$999"))/VLOOKUP(I$1, Table1[#All],2, FALSE)</f>
        <v>#REF!</v>
      </c>
      <c r="J130" s="8" t="e">
        <f ca="1">SUMIF(INDIRECT("'"&amp;$B130&amp;"'!$F$1:$F$999"), J$1, INDIRECT("'"&amp;$B130&amp;"'!$B$1:$B$999"))/VLOOKUP(J$1, Table1[#All],2, FALSE)</f>
        <v>#REF!</v>
      </c>
      <c r="K130" s="8" t="e">
        <f ca="1">SUMIF(INDIRECT("'"&amp;$B130&amp;"'!$F$1:$F$999"), K$1, INDIRECT("'"&amp;$B130&amp;"'!$B$1:$B$999"))/VLOOKUP(K$1, Table1[#All],2, FALSE)</f>
        <v>#REF!</v>
      </c>
      <c r="L130" s="8" t="e">
        <f ca="1">SUMIF(INDIRECT("'"&amp;$B130&amp;"'!$F$1:$F$999"), L$1, INDIRECT("'"&amp;$B130&amp;"'!$B$1:$B$999"))/VLOOKUP(L$1, Table1[#All],2, FALSE)</f>
        <v>#REF!</v>
      </c>
      <c r="M130" s="8" t="e">
        <f ca="1">SUMIF(INDIRECT("'"&amp;$B130&amp;"'!$F$1:$F$999"), M$1, INDIRECT("'"&amp;$B130&amp;"'!$B$1:$B$999"))/VLOOKUP(M$1, Table1[#All],2, FALSE)</f>
        <v>#REF!</v>
      </c>
      <c r="N130" s="8" t="e">
        <f ca="1">SUMIF(INDIRECT("'"&amp;$B130&amp;"'!$F$1:$F$999"), N$1, INDIRECT("'"&amp;$B130&amp;"'!$B$1:$B$999"))/VLOOKUP(N$1, Table1[#All],2, FALSE)</f>
        <v>#REF!</v>
      </c>
      <c r="O130" s="8" t="e">
        <f ca="1">SUMIF(INDIRECT("'"&amp;$B130&amp;"'!$F$1:$F$999"), O$1, INDIRECT("'"&amp;$B130&amp;"'!$B$1:$B$999"))/VLOOKUP(O$1, Table1[#All],2, FALSE)</f>
        <v>#REF!</v>
      </c>
      <c r="P130" s="8" t="e">
        <f ca="1">SUMIF(INDIRECT("'"&amp;$B130&amp;"'!$F$1:$F$999"), P$1, INDIRECT("'"&amp;$B130&amp;"'!$B$1:$B$999"))/VLOOKUP(P$1, Table1[#All],2, FALSE)</f>
        <v>#REF!</v>
      </c>
      <c r="Q130" s="8" t="e">
        <f ca="1">SUMIF(INDIRECT("'"&amp;$B130&amp;"'!$F$1:$F$999"), Q$1, INDIRECT("'"&amp;$B130&amp;"'!$B$1:$B$999"))/VLOOKUP(Q$1, Table1[#All],2, FALSE)</f>
        <v>#REF!</v>
      </c>
      <c r="R130" s="8" t="e">
        <f ca="1">SUMIF(INDIRECT("'"&amp;$B130&amp;"'!$F$1:$F$999"), R$1, INDIRECT("'"&amp;$B130&amp;"'!$B$1:$B$999"))/VLOOKUP(R$1, Table1[#All],2, FALSE)</f>
        <v>#REF!</v>
      </c>
      <c r="S130" s="8" t="e">
        <f ca="1">SUMIF(INDIRECT("'"&amp;$B130&amp;"'!$F$1:$F$999"), S$1, INDIRECT("'"&amp;$B130&amp;"'!$B$1:$B$999"))/VLOOKUP(S$1, Table1[#All],2, FALSE)</f>
        <v>#REF!</v>
      </c>
      <c r="T130" s="9" t="e">
        <f t="shared" ca="1" si="7"/>
        <v>#REF!</v>
      </c>
    </row>
    <row r="131" spans="1:20" x14ac:dyDescent="0.25">
      <c r="A131" s="13">
        <f t="shared" si="6"/>
        <v>47362</v>
      </c>
      <c r="B131" s="12" t="str">
        <f t="shared" si="5"/>
        <v>September 2029</v>
      </c>
      <c r="C131" s="8" t="e">
        <f ca="1">SUMIF(INDIRECT("'"&amp;$B131&amp;"'!$F$1:$F$999"), C$1, INDIRECT("'"&amp;$B131&amp;"'!$B$1:$B$999"))/VLOOKUP(C$1, Table1[#All],2, FALSE)</f>
        <v>#REF!</v>
      </c>
      <c r="D131" s="8" t="e">
        <f ca="1">SUMIF(INDIRECT("'"&amp;$B131&amp;"'!$F$1:$F$999"), D$1, INDIRECT("'"&amp;$B131&amp;"'!$B$1:$B$999"))/VLOOKUP(D$1, Table1[#All],2, FALSE)</f>
        <v>#REF!</v>
      </c>
      <c r="E131" s="8" t="e">
        <f ca="1">SUMIF(INDIRECT("'"&amp;$B131&amp;"'!$F$1:$F$999"), E$1, INDIRECT("'"&amp;$B131&amp;"'!$B$1:$B$999"))/VLOOKUP(E$1, Table1[#All],2, FALSE)</f>
        <v>#REF!</v>
      </c>
      <c r="F131" s="8" t="e">
        <f ca="1">SUMIF(INDIRECT("'"&amp;$B131&amp;"'!$F$1:$F$999"), F$1, INDIRECT("'"&amp;$B131&amp;"'!$B$1:$B$999"))/VLOOKUP(F$1, Table1[#All],2, FALSE)</f>
        <v>#REF!</v>
      </c>
      <c r="G131" s="8" t="e">
        <f ca="1">SUMIF(INDIRECT("'"&amp;$B131&amp;"'!$F$1:$F$999"), G$1, INDIRECT("'"&amp;$B131&amp;"'!$B$1:$B$999"))/VLOOKUP(G$1, Table1[#All],2, FALSE)</f>
        <v>#REF!</v>
      </c>
      <c r="H131" s="8" t="e">
        <f ca="1">SUMIF(INDIRECT("'"&amp;$B131&amp;"'!$F$1:$F$999"), H$1, INDIRECT("'"&amp;$B131&amp;"'!$B$1:$B$999"))/VLOOKUP(H$1, Table1[#All],2, FALSE)</f>
        <v>#REF!</v>
      </c>
      <c r="I131" s="8" t="e">
        <f ca="1">SUMIF(INDIRECT("'"&amp;$B131&amp;"'!$F$1:$F$999"), I$1, INDIRECT("'"&amp;$B131&amp;"'!$B$1:$B$999"))/VLOOKUP(I$1, Table1[#All],2, FALSE)</f>
        <v>#REF!</v>
      </c>
      <c r="J131" s="8" t="e">
        <f ca="1">SUMIF(INDIRECT("'"&amp;$B131&amp;"'!$F$1:$F$999"), J$1, INDIRECT("'"&amp;$B131&amp;"'!$B$1:$B$999"))/VLOOKUP(J$1, Table1[#All],2, FALSE)</f>
        <v>#REF!</v>
      </c>
      <c r="K131" s="8" t="e">
        <f ca="1">SUMIF(INDIRECT("'"&amp;$B131&amp;"'!$F$1:$F$999"), K$1, INDIRECT("'"&amp;$B131&amp;"'!$B$1:$B$999"))/VLOOKUP(K$1, Table1[#All],2, FALSE)</f>
        <v>#REF!</v>
      </c>
      <c r="L131" s="8" t="e">
        <f ca="1">SUMIF(INDIRECT("'"&amp;$B131&amp;"'!$F$1:$F$999"), L$1, INDIRECT("'"&amp;$B131&amp;"'!$B$1:$B$999"))/VLOOKUP(L$1, Table1[#All],2, FALSE)</f>
        <v>#REF!</v>
      </c>
      <c r="M131" s="8" t="e">
        <f ca="1">SUMIF(INDIRECT("'"&amp;$B131&amp;"'!$F$1:$F$999"), M$1, INDIRECT("'"&amp;$B131&amp;"'!$B$1:$B$999"))/VLOOKUP(M$1, Table1[#All],2, FALSE)</f>
        <v>#REF!</v>
      </c>
      <c r="N131" s="8" t="e">
        <f ca="1">SUMIF(INDIRECT("'"&amp;$B131&amp;"'!$F$1:$F$999"), N$1, INDIRECT("'"&amp;$B131&amp;"'!$B$1:$B$999"))/VLOOKUP(N$1, Table1[#All],2, FALSE)</f>
        <v>#REF!</v>
      </c>
      <c r="O131" s="8" t="e">
        <f ca="1">SUMIF(INDIRECT("'"&amp;$B131&amp;"'!$F$1:$F$999"), O$1, INDIRECT("'"&amp;$B131&amp;"'!$B$1:$B$999"))/VLOOKUP(O$1, Table1[#All],2, FALSE)</f>
        <v>#REF!</v>
      </c>
      <c r="P131" s="8" t="e">
        <f ca="1">SUMIF(INDIRECT("'"&amp;$B131&amp;"'!$F$1:$F$999"), P$1, INDIRECT("'"&amp;$B131&amp;"'!$B$1:$B$999"))/VLOOKUP(P$1, Table1[#All],2, FALSE)</f>
        <v>#REF!</v>
      </c>
      <c r="Q131" s="8" t="e">
        <f ca="1">SUMIF(INDIRECT("'"&amp;$B131&amp;"'!$F$1:$F$999"), Q$1, INDIRECT("'"&amp;$B131&amp;"'!$B$1:$B$999"))/VLOOKUP(Q$1, Table1[#All],2, FALSE)</f>
        <v>#REF!</v>
      </c>
      <c r="R131" s="8" t="e">
        <f ca="1">SUMIF(INDIRECT("'"&amp;$B131&amp;"'!$F$1:$F$999"), R$1, INDIRECT("'"&amp;$B131&amp;"'!$B$1:$B$999"))/VLOOKUP(R$1, Table1[#All],2, FALSE)</f>
        <v>#REF!</v>
      </c>
      <c r="S131" s="8" t="e">
        <f ca="1">SUMIF(INDIRECT("'"&amp;$B131&amp;"'!$F$1:$F$999"), S$1, INDIRECT("'"&amp;$B131&amp;"'!$B$1:$B$999"))/VLOOKUP(S$1, Table1[#All],2, FALSE)</f>
        <v>#REF!</v>
      </c>
      <c r="T131" s="9" t="e">
        <f t="shared" ca="1" si="7"/>
        <v>#REF!</v>
      </c>
    </row>
    <row r="132" spans="1:20" x14ac:dyDescent="0.25">
      <c r="A132" s="13">
        <f t="shared" si="6"/>
        <v>47392</v>
      </c>
      <c r="B132" s="12" t="str">
        <f t="shared" ref="B132:B146" si="8">CONCATENATE(TEXT(A132, "mmmm"), " ", TEXT(A132, "yyyy"))</f>
        <v>October 2029</v>
      </c>
      <c r="C132" s="8" t="e">
        <f ca="1">SUMIF(INDIRECT("'"&amp;$B132&amp;"'!$F$1:$F$999"), C$1, INDIRECT("'"&amp;$B132&amp;"'!$B$1:$B$999"))/VLOOKUP(C$1, Table1[#All],2, FALSE)</f>
        <v>#REF!</v>
      </c>
      <c r="D132" s="8" t="e">
        <f ca="1">SUMIF(INDIRECT("'"&amp;$B132&amp;"'!$F$1:$F$999"), D$1, INDIRECT("'"&amp;$B132&amp;"'!$B$1:$B$999"))/VLOOKUP(D$1, Table1[#All],2, FALSE)</f>
        <v>#REF!</v>
      </c>
      <c r="E132" s="8" t="e">
        <f ca="1">SUMIF(INDIRECT("'"&amp;$B132&amp;"'!$F$1:$F$999"), E$1, INDIRECT("'"&amp;$B132&amp;"'!$B$1:$B$999"))/VLOOKUP(E$1, Table1[#All],2, FALSE)</f>
        <v>#REF!</v>
      </c>
      <c r="F132" s="8" t="e">
        <f ca="1">SUMIF(INDIRECT("'"&amp;$B132&amp;"'!$F$1:$F$999"), F$1, INDIRECT("'"&amp;$B132&amp;"'!$B$1:$B$999"))/VLOOKUP(F$1, Table1[#All],2, FALSE)</f>
        <v>#REF!</v>
      </c>
      <c r="G132" s="8" t="e">
        <f ca="1">SUMIF(INDIRECT("'"&amp;$B132&amp;"'!$F$1:$F$999"), G$1, INDIRECT("'"&amp;$B132&amp;"'!$B$1:$B$999"))/VLOOKUP(G$1, Table1[#All],2, FALSE)</f>
        <v>#REF!</v>
      </c>
      <c r="H132" s="8" t="e">
        <f ca="1">SUMIF(INDIRECT("'"&amp;$B132&amp;"'!$F$1:$F$999"), H$1, INDIRECT("'"&amp;$B132&amp;"'!$B$1:$B$999"))/VLOOKUP(H$1, Table1[#All],2, FALSE)</f>
        <v>#REF!</v>
      </c>
      <c r="I132" s="8" t="e">
        <f ca="1">SUMIF(INDIRECT("'"&amp;$B132&amp;"'!$F$1:$F$999"), I$1, INDIRECT("'"&amp;$B132&amp;"'!$B$1:$B$999"))/VLOOKUP(I$1, Table1[#All],2, FALSE)</f>
        <v>#REF!</v>
      </c>
      <c r="J132" s="8" t="e">
        <f ca="1">SUMIF(INDIRECT("'"&amp;$B132&amp;"'!$F$1:$F$999"), J$1, INDIRECT("'"&amp;$B132&amp;"'!$B$1:$B$999"))/VLOOKUP(J$1, Table1[#All],2, FALSE)</f>
        <v>#REF!</v>
      </c>
      <c r="K132" s="8" t="e">
        <f ca="1">SUMIF(INDIRECT("'"&amp;$B132&amp;"'!$F$1:$F$999"), K$1, INDIRECT("'"&amp;$B132&amp;"'!$B$1:$B$999"))/VLOOKUP(K$1, Table1[#All],2, FALSE)</f>
        <v>#REF!</v>
      </c>
      <c r="L132" s="8" t="e">
        <f ca="1">SUMIF(INDIRECT("'"&amp;$B132&amp;"'!$F$1:$F$999"), L$1, INDIRECT("'"&amp;$B132&amp;"'!$B$1:$B$999"))/VLOOKUP(L$1, Table1[#All],2, FALSE)</f>
        <v>#REF!</v>
      </c>
      <c r="M132" s="8" t="e">
        <f ca="1">SUMIF(INDIRECT("'"&amp;$B132&amp;"'!$F$1:$F$999"), M$1, INDIRECT("'"&amp;$B132&amp;"'!$B$1:$B$999"))/VLOOKUP(M$1, Table1[#All],2, FALSE)</f>
        <v>#REF!</v>
      </c>
      <c r="N132" s="8" t="e">
        <f ca="1">SUMIF(INDIRECT("'"&amp;$B132&amp;"'!$F$1:$F$999"), N$1, INDIRECT("'"&amp;$B132&amp;"'!$B$1:$B$999"))/VLOOKUP(N$1, Table1[#All],2, FALSE)</f>
        <v>#REF!</v>
      </c>
      <c r="O132" s="8" t="e">
        <f ca="1">SUMIF(INDIRECT("'"&amp;$B132&amp;"'!$F$1:$F$999"), O$1, INDIRECT("'"&amp;$B132&amp;"'!$B$1:$B$999"))/VLOOKUP(O$1, Table1[#All],2, FALSE)</f>
        <v>#REF!</v>
      </c>
      <c r="P132" s="8" t="e">
        <f ca="1">SUMIF(INDIRECT("'"&amp;$B132&amp;"'!$F$1:$F$999"), P$1, INDIRECT("'"&amp;$B132&amp;"'!$B$1:$B$999"))/VLOOKUP(P$1, Table1[#All],2, FALSE)</f>
        <v>#REF!</v>
      </c>
      <c r="Q132" s="8" t="e">
        <f ca="1">SUMIF(INDIRECT("'"&amp;$B132&amp;"'!$F$1:$F$999"), Q$1, INDIRECT("'"&amp;$B132&amp;"'!$B$1:$B$999"))/VLOOKUP(Q$1, Table1[#All],2, FALSE)</f>
        <v>#REF!</v>
      </c>
      <c r="R132" s="8" t="e">
        <f ca="1">SUMIF(INDIRECT("'"&amp;$B132&amp;"'!$F$1:$F$999"), R$1, INDIRECT("'"&amp;$B132&amp;"'!$B$1:$B$999"))/VLOOKUP(R$1, Table1[#All],2, FALSE)</f>
        <v>#REF!</v>
      </c>
      <c r="S132" s="8" t="e">
        <f ca="1">SUMIF(INDIRECT("'"&amp;$B132&amp;"'!$F$1:$F$999"), S$1, INDIRECT("'"&amp;$B132&amp;"'!$B$1:$B$999"))/VLOOKUP(S$1, Table1[#All],2, FALSE)</f>
        <v>#REF!</v>
      </c>
      <c r="T132" s="9" t="e">
        <f t="shared" ca="1" si="7"/>
        <v>#REF!</v>
      </c>
    </row>
    <row r="133" spans="1:20" x14ac:dyDescent="0.25">
      <c r="A133" s="13">
        <f t="shared" ref="A133:A146" si="9">DATE(YEAR(A132), MONTH(A132) + 1, 1)</f>
        <v>47423</v>
      </c>
      <c r="B133" s="12" t="str">
        <f t="shared" si="8"/>
        <v>November 2029</v>
      </c>
      <c r="C133" s="8" t="e">
        <f ca="1">SUMIF(INDIRECT("'"&amp;$B133&amp;"'!$F$1:$F$999"), C$1, INDIRECT("'"&amp;$B133&amp;"'!$B$1:$B$999"))/VLOOKUP(C$1, Table1[#All],2, FALSE)</f>
        <v>#REF!</v>
      </c>
      <c r="D133" s="8" t="e">
        <f ca="1">SUMIF(INDIRECT("'"&amp;$B133&amp;"'!$F$1:$F$999"), D$1, INDIRECT("'"&amp;$B133&amp;"'!$B$1:$B$999"))/VLOOKUP(D$1, Table1[#All],2, FALSE)</f>
        <v>#REF!</v>
      </c>
      <c r="E133" s="8" t="e">
        <f ca="1">SUMIF(INDIRECT("'"&amp;$B133&amp;"'!$F$1:$F$999"), E$1, INDIRECT("'"&amp;$B133&amp;"'!$B$1:$B$999"))/VLOOKUP(E$1, Table1[#All],2, FALSE)</f>
        <v>#REF!</v>
      </c>
      <c r="F133" s="8" t="e">
        <f ca="1">SUMIF(INDIRECT("'"&amp;$B133&amp;"'!$F$1:$F$999"), F$1, INDIRECT("'"&amp;$B133&amp;"'!$B$1:$B$999"))/VLOOKUP(F$1, Table1[#All],2, FALSE)</f>
        <v>#REF!</v>
      </c>
      <c r="G133" s="8" t="e">
        <f ca="1">SUMIF(INDIRECT("'"&amp;$B133&amp;"'!$F$1:$F$999"), G$1, INDIRECT("'"&amp;$B133&amp;"'!$B$1:$B$999"))/VLOOKUP(G$1, Table1[#All],2, FALSE)</f>
        <v>#REF!</v>
      </c>
      <c r="H133" s="8" t="e">
        <f ca="1">SUMIF(INDIRECT("'"&amp;$B133&amp;"'!$F$1:$F$999"), H$1, INDIRECT("'"&amp;$B133&amp;"'!$B$1:$B$999"))/VLOOKUP(H$1, Table1[#All],2, FALSE)</f>
        <v>#REF!</v>
      </c>
      <c r="I133" s="8" t="e">
        <f ca="1">SUMIF(INDIRECT("'"&amp;$B133&amp;"'!$F$1:$F$999"), I$1, INDIRECT("'"&amp;$B133&amp;"'!$B$1:$B$999"))/VLOOKUP(I$1, Table1[#All],2, FALSE)</f>
        <v>#REF!</v>
      </c>
      <c r="J133" s="8" t="e">
        <f ca="1">SUMIF(INDIRECT("'"&amp;$B133&amp;"'!$F$1:$F$999"), J$1, INDIRECT("'"&amp;$B133&amp;"'!$B$1:$B$999"))/VLOOKUP(J$1, Table1[#All],2, FALSE)</f>
        <v>#REF!</v>
      </c>
      <c r="K133" s="8" t="e">
        <f ca="1">SUMIF(INDIRECT("'"&amp;$B133&amp;"'!$F$1:$F$999"), K$1, INDIRECT("'"&amp;$B133&amp;"'!$B$1:$B$999"))/VLOOKUP(K$1, Table1[#All],2, FALSE)</f>
        <v>#REF!</v>
      </c>
      <c r="L133" s="8" t="e">
        <f ca="1">SUMIF(INDIRECT("'"&amp;$B133&amp;"'!$F$1:$F$999"), L$1, INDIRECT("'"&amp;$B133&amp;"'!$B$1:$B$999"))/VLOOKUP(L$1, Table1[#All],2, FALSE)</f>
        <v>#REF!</v>
      </c>
      <c r="M133" s="8" t="e">
        <f ca="1">SUMIF(INDIRECT("'"&amp;$B133&amp;"'!$F$1:$F$999"), M$1, INDIRECT("'"&amp;$B133&amp;"'!$B$1:$B$999"))/VLOOKUP(M$1, Table1[#All],2, FALSE)</f>
        <v>#REF!</v>
      </c>
      <c r="N133" s="8" t="e">
        <f ca="1">SUMIF(INDIRECT("'"&amp;$B133&amp;"'!$F$1:$F$999"), N$1, INDIRECT("'"&amp;$B133&amp;"'!$B$1:$B$999"))/VLOOKUP(N$1, Table1[#All],2, FALSE)</f>
        <v>#REF!</v>
      </c>
      <c r="O133" s="8" t="e">
        <f ca="1">SUMIF(INDIRECT("'"&amp;$B133&amp;"'!$F$1:$F$999"), O$1, INDIRECT("'"&amp;$B133&amp;"'!$B$1:$B$999"))/VLOOKUP(O$1, Table1[#All],2, FALSE)</f>
        <v>#REF!</v>
      </c>
      <c r="P133" s="8" t="e">
        <f ca="1">SUMIF(INDIRECT("'"&amp;$B133&amp;"'!$F$1:$F$999"), P$1, INDIRECT("'"&amp;$B133&amp;"'!$B$1:$B$999"))/VLOOKUP(P$1, Table1[#All],2, FALSE)</f>
        <v>#REF!</v>
      </c>
      <c r="Q133" s="8" t="e">
        <f ca="1">SUMIF(INDIRECT("'"&amp;$B133&amp;"'!$F$1:$F$999"), Q$1, INDIRECT("'"&amp;$B133&amp;"'!$B$1:$B$999"))/VLOOKUP(Q$1, Table1[#All],2, FALSE)</f>
        <v>#REF!</v>
      </c>
      <c r="R133" s="8" t="e">
        <f ca="1">SUMIF(INDIRECT("'"&amp;$B133&amp;"'!$F$1:$F$999"), R$1, INDIRECT("'"&amp;$B133&amp;"'!$B$1:$B$999"))/VLOOKUP(R$1, Table1[#All],2, FALSE)</f>
        <v>#REF!</v>
      </c>
      <c r="S133" s="8" t="e">
        <f ca="1">SUMIF(INDIRECT("'"&amp;$B133&amp;"'!$F$1:$F$999"), S$1, INDIRECT("'"&amp;$B133&amp;"'!$B$1:$B$999"))/VLOOKUP(S$1, Table1[#All],2, FALSE)</f>
        <v>#REF!</v>
      </c>
      <c r="T133" s="9" t="e">
        <f t="shared" ref="T133:T146" ca="1" si="10">SUM(INDIRECT("'"&amp;B133&amp;"'!B1:B999"))</f>
        <v>#REF!</v>
      </c>
    </row>
    <row r="134" spans="1:20" x14ac:dyDescent="0.25">
      <c r="A134" s="13">
        <f t="shared" si="9"/>
        <v>47453</v>
      </c>
      <c r="B134" s="12" t="str">
        <f t="shared" si="8"/>
        <v>December 2029</v>
      </c>
      <c r="C134" s="8" t="e">
        <f ca="1">SUMIF(INDIRECT("'"&amp;$B134&amp;"'!$F$1:$F$999"), C$1, INDIRECT("'"&amp;$B134&amp;"'!$B$1:$B$999"))/VLOOKUP(C$1, Table1[#All],2, FALSE)</f>
        <v>#REF!</v>
      </c>
      <c r="D134" s="8" t="e">
        <f ca="1">SUMIF(INDIRECT("'"&amp;$B134&amp;"'!$F$1:$F$999"), D$1, INDIRECT("'"&amp;$B134&amp;"'!$B$1:$B$999"))/VLOOKUP(D$1, Table1[#All],2, FALSE)</f>
        <v>#REF!</v>
      </c>
      <c r="E134" s="8" t="e">
        <f ca="1">SUMIF(INDIRECT("'"&amp;$B134&amp;"'!$F$1:$F$999"), E$1, INDIRECT("'"&amp;$B134&amp;"'!$B$1:$B$999"))/VLOOKUP(E$1, Table1[#All],2, FALSE)</f>
        <v>#REF!</v>
      </c>
      <c r="F134" s="8" t="e">
        <f ca="1">SUMIF(INDIRECT("'"&amp;$B134&amp;"'!$F$1:$F$999"), F$1, INDIRECT("'"&amp;$B134&amp;"'!$B$1:$B$999"))/VLOOKUP(F$1, Table1[#All],2, FALSE)</f>
        <v>#REF!</v>
      </c>
      <c r="G134" s="8" t="e">
        <f ca="1">SUMIF(INDIRECT("'"&amp;$B134&amp;"'!$F$1:$F$999"), G$1, INDIRECT("'"&amp;$B134&amp;"'!$B$1:$B$999"))/VLOOKUP(G$1, Table1[#All],2, FALSE)</f>
        <v>#REF!</v>
      </c>
      <c r="H134" s="8" t="e">
        <f ca="1">SUMIF(INDIRECT("'"&amp;$B134&amp;"'!$F$1:$F$999"), H$1, INDIRECT("'"&amp;$B134&amp;"'!$B$1:$B$999"))/VLOOKUP(H$1, Table1[#All],2, FALSE)</f>
        <v>#REF!</v>
      </c>
      <c r="I134" s="8" t="e">
        <f ca="1">SUMIF(INDIRECT("'"&amp;$B134&amp;"'!$F$1:$F$999"), I$1, INDIRECT("'"&amp;$B134&amp;"'!$B$1:$B$999"))/VLOOKUP(I$1, Table1[#All],2, FALSE)</f>
        <v>#REF!</v>
      </c>
      <c r="J134" s="8" t="e">
        <f ca="1">SUMIF(INDIRECT("'"&amp;$B134&amp;"'!$F$1:$F$999"), J$1, INDIRECT("'"&amp;$B134&amp;"'!$B$1:$B$999"))/VLOOKUP(J$1, Table1[#All],2, FALSE)</f>
        <v>#REF!</v>
      </c>
      <c r="K134" s="8" t="e">
        <f ca="1">SUMIF(INDIRECT("'"&amp;$B134&amp;"'!$F$1:$F$999"), K$1, INDIRECT("'"&amp;$B134&amp;"'!$B$1:$B$999"))/VLOOKUP(K$1, Table1[#All],2, FALSE)</f>
        <v>#REF!</v>
      </c>
      <c r="L134" s="8" t="e">
        <f ca="1">SUMIF(INDIRECT("'"&amp;$B134&amp;"'!$F$1:$F$999"), L$1, INDIRECT("'"&amp;$B134&amp;"'!$B$1:$B$999"))/VLOOKUP(L$1, Table1[#All],2, FALSE)</f>
        <v>#REF!</v>
      </c>
      <c r="M134" s="8" t="e">
        <f ca="1">SUMIF(INDIRECT("'"&amp;$B134&amp;"'!$F$1:$F$999"), M$1, INDIRECT("'"&amp;$B134&amp;"'!$B$1:$B$999"))/VLOOKUP(M$1, Table1[#All],2, FALSE)</f>
        <v>#REF!</v>
      </c>
      <c r="N134" s="8" t="e">
        <f ca="1">SUMIF(INDIRECT("'"&amp;$B134&amp;"'!$F$1:$F$999"), N$1, INDIRECT("'"&amp;$B134&amp;"'!$B$1:$B$999"))/VLOOKUP(N$1, Table1[#All],2, FALSE)</f>
        <v>#REF!</v>
      </c>
      <c r="O134" s="8" t="e">
        <f ca="1">SUMIF(INDIRECT("'"&amp;$B134&amp;"'!$F$1:$F$999"), O$1, INDIRECT("'"&amp;$B134&amp;"'!$B$1:$B$999"))/VLOOKUP(O$1, Table1[#All],2, FALSE)</f>
        <v>#REF!</v>
      </c>
      <c r="P134" s="8" t="e">
        <f ca="1">SUMIF(INDIRECT("'"&amp;$B134&amp;"'!$F$1:$F$999"), P$1, INDIRECT("'"&amp;$B134&amp;"'!$B$1:$B$999"))/VLOOKUP(P$1, Table1[#All],2, FALSE)</f>
        <v>#REF!</v>
      </c>
      <c r="Q134" s="8" t="e">
        <f ca="1">SUMIF(INDIRECT("'"&amp;$B134&amp;"'!$F$1:$F$999"), Q$1, INDIRECT("'"&amp;$B134&amp;"'!$B$1:$B$999"))/VLOOKUP(Q$1, Table1[#All],2, FALSE)</f>
        <v>#REF!</v>
      </c>
      <c r="R134" s="8" t="e">
        <f ca="1">SUMIF(INDIRECT("'"&amp;$B134&amp;"'!$F$1:$F$999"), R$1, INDIRECT("'"&amp;$B134&amp;"'!$B$1:$B$999"))/VLOOKUP(R$1, Table1[#All],2, FALSE)</f>
        <v>#REF!</v>
      </c>
      <c r="S134" s="8" t="e">
        <f ca="1">SUMIF(INDIRECT("'"&amp;$B134&amp;"'!$F$1:$F$999"), S$1, INDIRECT("'"&amp;$B134&amp;"'!$B$1:$B$999"))/VLOOKUP(S$1, Table1[#All],2, FALSE)</f>
        <v>#REF!</v>
      </c>
      <c r="T134" s="9" t="e">
        <f t="shared" ca="1" si="10"/>
        <v>#REF!</v>
      </c>
    </row>
    <row r="135" spans="1:20" x14ac:dyDescent="0.25">
      <c r="A135" s="13">
        <f t="shared" si="9"/>
        <v>47484</v>
      </c>
      <c r="B135" s="12" t="str">
        <f t="shared" si="8"/>
        <v>January 2030</v>
      </c>
      <c r="C135" s="8" t="e">
        <f ca="1">SUMIF(INDIRECT("'"&amp;$B135&amp;"'!$F$1:$F$999"), C$1, INDIRECT("'"&amp;$B135&amp;"'!$B$1:$B$999"))/VLOOKUP(C$1, Table1[#All],2, FALSE)</f>
        <v>#REF!</v>
      </c>
      <c r="D135" s="8" t="e">
        <f ca="1">SUMIF(INDIRECT("'"&amp;$B135&amp;"'!$F$1:$F$999"), D$1, INDIRECT("'"&amp;$B135&amp;"'!$B$1:$B$999"))/VLOOKUP(D$1, Table1[#All],2, FALSE)</f>
        <v>#REF!</v>
      </c>
      <c r="E135" s="8" t="e">
        <f ca="1">SUMIF(INDIRECT("'"&amp;$B135&amp;"'!$F$1:$F$999"), E$1, INDIRECT("'"&amp;$B135&amp;"'!$B$1:$B$999"))/VLOOKUP(E$1, Table1[#All],2, FALSE)</f>
        <v>#REF!</v>
      </c>
      <c r="F135" s="8" t="e">
        <f ca="1">SUMIF(INDIRECT("'"&amp;$B135&amp;"'!$F$1:$F$999"), F$1, INDIRECT("'"&amp;$B135&amp;"'!$B$1:$B$999"))/VLOOKUP(F$1, Table1[#All],2, FALSE)</f>
        <v>#REF!</v>
      </c>
      <c r="G135" s="8" t="e">
        <f ca="1">SUMIF(INDIRECT("'"&amp;$B135&amp;"'!$F$1:$F$999"), G$1, INDIRECT("'"&amp;$B135&amp;"'!$B$1:$B$999"))/VLOOKUP(G$1, Table1[#All],2, FALSE)</f>
        <v>#REF!</v>
      </c>
      <c r="H135" s="8" t="e">
        <f ca="1">SUMIF(INDIRECT("'"&amp;$B135&amp;"'!$F$1:$F$999"), H$1, INDIRECT("'"&amp;$B135&amp;"'!$B$1:$B$999"))/VLOOKUP(H$1, Table1[#All],2, FALSE)</f>
        <v>#REF!</v>
      </c>
      <c r="I135" s="8" t="e">
        <f ca="1">SUMIF(INDIRECT("'"&amp;$B135&amp;"'!$F$1:$F$999"), I$1, INDIRECT("'"&amp;$B135&amp;"'!$B$1:$B$999"))/VLOOKUP(I$1, Table1[#All],2, FALSE)</f>
        <v>#REF!</v>
      </c>
      <c r="J135" s="8" t="e">
        <f ca="1">SUMIF(INDIRECT("'"&amp;$B135&amp;"'!$F$1:$F$999"), J$1, INDIRECT("'"&amp;$B135&amp;"'!$B$1:$B$999"))/VLOOKUP(J$1, Table1[#All],2, FALSE)</f>
        <v>#REF!</v>
      </c>
      <c r="K135" s="8" t="e">
        <f ca="1">SUMIF(INDIRECT("'"&amp;$B135&amp;"'!$F$1:$F$999"), K$1, INDIRECT("'"&amp;$B135&amp;"'!$B$1:$B$999"))/VLOOKUP(K$1, Table1[#All],2, FALSE)</f>
        <v>#REF!</v>
      </c>
      <c r="L135" s="8" t="e">
        <f ca="1">SUMIF(INDIRECT("'"&amp;$B135&amp;"'!$F$1:$F$999"), L$1, INDIRECT("'"&amp;$B135&amp;"'!$B$1:$B$999"))/VLOOKUP(L$1, Table1[#All],2, FALSE)</f>
        <v>#REF!</v>
      </c>
      <c r="M135" s="8" t="e">
        <f ca="1">SUMIF(INDIRECT("'"&amp;$B135&amp;"'!$F$1:$F$999"), M$1, INDIRECT("'"&amp;$B135&amp;"'!$B$1:$B$999"))/VLOOKUP(M$1, Table1[#All],2, FALSE)</f>
        <v>#REF!</v>
      </c>
      <c r="N135" s="8" t="e">
        <f ca="1">SUMIF(INDIRECT("'"&amp;$B135&amp;"'!$F$1:$F$999"), N$1, INDIRECT("'"&amp;$B135&amp;"'!$B$1:$B$999"))/VLOOKUP(N$1, Table1[#All],2, FALSE)</f>
        <v>#REF!</v>
      </c>
      <c r="O135" s="8" t="e">
        <f ca="1">SUMIF(INDIRECT("'"&amp;$B135&amp;"'!$F$1:$F$999"), O$1, INDIRECT("'"&amp;$B135&amp;"'!$B$1:$B$999"))/VLOOKUP(O$1, Table1[#All],2, FALSE)</f>
        <v>#REF!</v>
      </c>
      <c r="P135" s="8" t="e">
        <f ca="1">SUMIF(INDIRECT("'"&amp;$B135&amp;"'!$F$1:$F$999"), P$1, INDIRECT("'"&amp;$B135&amp;"'!$B$1:$B$999"))/VLOOKUP(P$1, Table1[#All],2, FALSE)</f>
        <v>#REF!</v>
      </c>
      <c r="Q135" s="8" t="e">
        <f ca="1">SUMIF(INDIRECT("'"&amp;$B135&amp;"'!$F$1:$F$999"), Q$1, INDIRECT("'"&amp;$B135&amp;"'!$B$1:$B$999"))/VLOOKUP(Q$1, Table1[#All],2, FALSE)</f>
        <v>#REF!</v>
      </c>
      <c r="R135" s="8" t="e">
        <f ca="1">SUMIF(INDIRECT("'"&amp;$B135&amp;"'!$F$1:$F$999"), R$1, INDIRECT("'"&amp;$B135&amp;"'!$B$1:$B$999"))/VLOOKUP(R$1, Table1[#All],2, FALSE)</f>
        <v>#REF!</v>
      </c>
      <c r="S135" s="8" t="e">
        <f ca="1">SUMIF(INDIRECT("'"&amp;$B135&amp;"'!$F$1:$F$999"), S$1, INDIRECT("'"&amp;$B135&amp;"'!$B$1:$B$999"))/VLOOKUP(S$1, Table1[#All],2, FALSE)</f>
        <v>#REF!</v>
      </c>
      <c r="T135" s="9" t="e">
        <f t="shared" ca="1" si="10"/>
        <v>#REF!</v>
      </c>
    </row>
    <row r="136" spans="1:20" x14ac:dyDescent="0.25">
      <c r="A136" s="13">
        <f t="shared" si="9"/>
        <v>47515</v>
      </c>
      <c r="B136" s="12" t="str">
        <f t="shared" si="8"/>
        <v>February 2030</v>
      </c>
      <c r="C136" s="8" t="e">
        <f ca="1">SUMIF(INDIRECT("'"&amp;$B136&amp;"'!$F$1:$F$999"), C$1, INDIRECT("'"&amp;$B136&amp;"'!$B$1:$B$999"))/VLOOKUP(C$1, Table1[#All],2, FALSE)</f>
        <v>#REF!</v>
      </c>
      <c r="D136" s="8" t="e">
        <f ca="1">SUMIF(INDIRECT("'"&amp;$B136&amp;"'!$F$1:$F$999"), D$1, INDIRECT("'"&amp;$B136&amp;"'!$B$1:$B$999"))/VLOOKUP(D$1, Table1[#All],2, FALSE)</f>
        <v>#REF!</v>
      </c>
      <c r="E136" s="8" t="e">
        <f ca="1">SUMIF(INDIRECT("'"&amp;$B136&amp;"'!$F$1:$F$999"), E$1, INDIRECT("'"&amp;$B136&amp;"'!$B$1:$B$999"))/VLOOKUP(E$1, Table1[#All],2, FALSE)</f>
        <v>#REF!</v>
      </c>
      <c r="F136" s="8" t="e">
        <f ca="1">SUMIF(INDIRECT("'"&amp;$B136&amp;"'!$F$1:$F$999"), F$1, INDIRECT("'"&amp;$B136&amp;"'!$B$1:$B$999"))/VLOOKUP(F$1, Table1[#All],2, FALSE)</f>
        <v>#REF!</v>
      </c>
      <c r="G136" s="8" t="e">
        <f ca="1">SUMIF(INDIRECT("'"&amp;$B136&amp;"'!$F$1:$F$999"), G$1, INDIRECT("'"&amp;$B136&amp;"'!$B$1:$B$999"))/VLOOKUP(G$1, Table1[#All],2, FALSE)</f>
        <v>#REF!</v>
      </c>
      <c r="H136" s="8" t="e">
        <f ca="1">SUMIF(INDIRECT("'"&amp;$B136&amp;"'!$F$1:$F$999"), H$1, INDIRECT("'"&amp;$B136&amp;"'!$B$1:$B$999"))/VLOOKUP(H$1, Table1[#All],2, FALSE)</f>
        <v>#REF!</v>
      </c>
      <c r="I136" s="8" t="e">
        <f ca="1">SUMIF(INDIRECT("'"&amp;$B136&amp;"'!$F$1:$F$999"), I$1, INDIRECT("'"&amp;$B136&amp;"'!$B$1:$B$999"))/VLOOKUP(I$1, Table1[#All],2, FALSE)</f>
        <v>#REF!</v>
      </c>
      <c r="J136" s="8" t="e">
        <f ca="1">SUMIF(INDIRECT("'"&amp;$B136&amp;"'!$F$1:$F$999"), J$1, INDIRECT("'"&amp;$B136&amp;"'!$B$1:$B$999"))/VLOOKUP(J$1, Table1[#All],2, FALSE)</f>
        <v>#REF!</v>
      </c>
      <c r="K136" s="8" t="e">
        <f ca="1">SUMIF(INDIRECT("'"&amp;$B136&amp;"'!$F$1:$F$999"), K$1, INDIRECT("'"&amp;$B136&amp;"'!$B$1:$B$999"))/VLOOKUP(K$1, Table1[#All],2, FALSE)</f>
        <v>#REF!</v>
      </c>
      <c r="L136" s="8" t="e">
        <f ca="1">SUMIF(INDIRECT("'"&amp;$B136&amp;"'!$F$1:$F$999"), L$1, INDIRECT("'"&amp;$B136&amp;"'!$B$1:$B$999"))/VLOOKUP(L$1, Table1[#All],2, FALSE)</f>
        <v>#REF!</v>
      </c>
      <c r="M136" s="8" t="e">
        <f ca="1">SUMIF(INDIRECT("'"&amp;$B136&amp;"'!$F$1:$F$999"), M$1, INDIRECT("'"&amp;$B136&amp;"'!$B$1:$B$999"))/VLOOKUP(M$1, Table1[#All],2, FALSE)</f>
        <v>#REF!</v>
      </c>
      <c r="N136" s="8" t="e">
        <f ca="1">SUMIF(INDIRECT("'"&amp;$B136&amp;"'!$F$1:$F$999"), N$1, INDIRECT("'"&amp;$B136&amp;"'!$B$1:$B$999"))/VLOOKUP(N$1, Table1[#All],2, FALSE)</f>
        <v>#REF!</v>
      </c>
      <c r="O136" s="8" t="e">
        <f ca="1">SUMIF(INDIRECT("'"&amp;$B136&amp;"'!$F$1:$F$999"), O$1, INDIRECT("'"&amp;$B136&amp;"'!$B$1:$B$999"))/VLOOKUP(O$1, Table1[#All],2, FALSE)</f>
        <v>#REF!</v>
      </c>
      <c r="P136" s="8" t="e">
        <f ca="1">SUMIF(INDIRECT("'"&amp;$B136&amp;"'!$F$1:$F$999"), P$1, INDIRECT("'"&amp;$B136&amp;"'!$B$1:$B$999"))/VLOOKUP(P$1, Table1[#All],2, FALSE)</f>
        <v>#REF!</v>
      </c>
      <c r="Q136" s="8" t="e">
        <f ca="1">SUMIF(INDIRECT("'"&amp;$B136&amp;"'!$F$1:$F$999"), Q$1, INDIRECT("'"&amp;$B136&amp;"'!$B$1:$B$999"))/VLOOKUP(Q$1, Table1[#All],2, FALSE)</f>
        <v>#REF!</v>
      </c>
      <c r="R136" s="8" t="e">
        <f ca="1">SUMIF(INDIRECT("'"&amp;$B136&amp;"'!$F$1:$F$999"), R$1, INDIRECT("'"&amp;$B136&amp;"'!$B$1:$B$999"))/VLOOKUP(R$1, Table1[#All],2, FALSE)</f>
        <v>#REF!</v>
      </c>
      <c r="S136" s="8" t="e">
        <f ca="1">SUMIF(INDIRECT("'"&amp;$B136&amp;"'!$F$1:$F$999"), S$1, INDIRECT("'"&amp;$B136&amp;"'!$B$1:$B$999"))/VLOOKUP(S$1, Table1[#All],2, FALSE)</f>
        <v>#REF!</v>
      </c>
      <c r="T136" s="9" t="e">
        <f t="shared" ca="1" si="10"/>
        <v>#REF!</v>
      </c>
    </row>
    <row r="137" spans="1:20" x14ac:dyDescent="0.25">
      <c r="A137" s="13">
        <f t="shared" si="9"/>
        <v>47543</v>
      </c>
      <c r="B137" s="12" t="str">
        <f t="shared" si="8"/>
        <v>March 2030</v>
      </c>
      <c r="C137" s="8" t="e">
        <f ca="1">SUMIF(INDIRECT("'"&amp;$B137&amp;"'!$F$1:$F$999"), C$1, INDIRECT("'"&amp;$B137&amp;"'!$B$1:$B$999"))/VLOOKUP(C$1, Table1[#All],2, FALSE)</f>
        <v>#REF!</v>
      </c>
      <c r="D137" s="8" t="e">
        <f ca="1">SUMIF(INDIRECT("'"&amp;$B137&amp;"'!$F$1:$F$999"), D$1, INDIRECT("'"&amp;$B137&amp;"'!$B$1:$B$999"))/VLOOKUP(D$1, Table1[#All],2, FALSE)</f>
        <v>#REF!</v>
      </c>
      <c r="E137" s="8" t="e">
        <f ca="1">SUMIF(INDIRECT("'"&amp;$B137&amp;"'!$F$1:$F$999"), E$1, INDIRECT("'"&amp;$B137&amp;"'!$B$1:$B$999"))/VLOOKUP(E$1, Table1[#All],2, FALSE)</f>
        <v>#REF!</v>
      </c>
      <c r="F137" s="8" t="e">
        <f ca="1">SUMIF(INDIRECT("'"&amp;$B137&amp;"'!$F$1:$F$999"), F$1, INDIRECT("'"&amp;$B137&amp;"'!$B$1:$B$999"))/VLOOKUP(F$1, Table1[#All],2, FALSE)</f>
        <v>#REF!</v>
      </c>
      <c r="G137" s="8" t="e">
        <f ca="1">SUMIF(INDIRECT("'"&amp;$B137&amp;"'!$F$1:$F$999"), G$1, INDIRECT("'"&amp;$B137&amp;"'!$B$1:$B$999"))/VLOOKUP(G$1, Table1[#All],2, FALSE)</f>
        <v>#REF!</v>
      </c>
      <c r="H137" s="8" t="e">
        <f ca="1">SUMIF(INDIRECT("'"&amp;$B137&amp;"'!$F$1:$F$999"), H$1, INDIRECT("'"&amp;$B137&amp;"'!$B$1:$B$999"))/VLOOKUP(H$1, Table1[#All],2, FALSE)</f>
        <v>#REF!</v>
      </c>
      <c r="I137" s="8" t="e">
        <f ca="1">SUMIF(INDIRECT("'"&amp;$B137&amp;"'!$F$1:$F$999"), I$1, INDIRECT("'"&amp;$B137&amp;"'!$B$1:$B$999"))/VLOOKUP(I$1, Table1[#All],2, FALSE)</f>
        <v>#REF!</v>
      </c>
      <c r="J137" s="8" t="e">
        <f ca="1">SUMIF(INDIRECT("'"&amp;$B137&amp;"'!$F$1:$F$999"), J$1, INDIRECT("'"&amp;$B137&amp;"'!$B$1:$B$999"))/VLOOKUP(J$1, Table1[#All],2, FALSE)</f>
        <v>#REF!</v>
      </c>
      <c r="K137" s="8" t="e">
        <f ca="1">SUMIF(INDIRECT("'"&amp;$B137&amp;"'!$F$1:$F$999"), K$1, INDIRECT("'"&amp;$B137&amp;"'!$B$1:$B$999"))/VLOOKUP(K$1, Table1[#All],2, FALSE)</f>
        <v>#REF!</v>
      </c>
      <c r="L137" s="8" t="e">
        <f ca="1">SUMIF(INDIRECT("'"&amp;$B137&amp;"'!$F$1:$F$999"), L$1, INDIRECT("'"&amp;$B137&amp;"'!$B$1:$B$999"))/VLOOKUP(L$1, Table1[#All],2, FALSE)</f>
        <v>#REF!</v>
      </c>
      <c r="M137" s="8" t="e">
        <f ca="1">SUMIF(INDIRECT("'"&amp;$B137&amp;"'!$F$1:$F$999"), M$1, INDIRECT("'"&amp;$B137&amp;"'!$B$1:$B$999"))/VLOOKUP(M$1, Table1[#All],2, FALSE)</f>
        <v>#REF!</v>
      </c>
      <c r="N137" s="8" t="e">
        <f ca="1">SUMIF(INDIRECT("'"&amp;$B137&amp;"'!$F$1:$F$999"), N$1, INDIRECT("'"&amp;$B137&amp;"'!$B$1:$B$999"))/VLOOKUP(N$1, Table1[#All],2, FALSE)</f>
        <v>#REF!</v>
      </c>
      <c r="O137" s="8" t="e">
        <f ca="1">SUMIF(INDIRECT("'"&amp;$B137&amp;"'!$F$1:$F$999"), O$1, INDIRECT("'"&amp;$B137&amp;"'!$B$1:$B$999"))/VLOOKUP(O$1, Table1[#All],2, FALSE)</f>
        <v>#REF!</v>
      </c>
      <c r="P137" s="8" t="e">
        <f ca="1">SUMIF(INDIRECT("'"&amp;$B137&amp;"'!$F$1:$F$999"), P$1, INDIRECT("'"&amp;$B137&amp;"'!$B$1:$B$999"))/VLOOKUP(P$1, Table1[#All],2, FALSE)</f>
        <v>#REF!</v>
      </c>
      <c r="Q137" s="8" t="e">
        <f ca="1">SUMIF(INDIRECT("'"&amp;$B137&amp;"'!$F$1:$F$999"), Q$1, INDIRECT("'"&amp;$B137&amp;"'!$B$1:$B$999"))/VLOOKUP(Q$1, Table1[#All],2, FALSE)</f>
        <v>#REF!</v>
      </c>
      <c r="R137" s="8" t="e">
        <f ca="1">SUMIF(INDIRECT("'"&amp;$B137&amp;"'!$F$1:$F$999"), R$1, INDIRECT("'"&amp;$B137&amp;"'!$B$1:$B$999"))/VLOOKUP(R$1, Table1[#All],2, FALSE)</f>
        <v>#REF!</v>
      </c>
      <c r="S137" s="8" t="e">
        <f ca="1">SUMIF(INDIRECT("'"&amp;$B137&amp;"'!$F$1:$F$999"), S$1, INDIRECT("'"&amp;$B137&amp;"'!$B$1:$B$999"))/VLOOKUP(S$1, Table1[#All],2, FALSE)</f>
        <v>#REF!</v>
      </c>
      <c r="T137" s="9" t="e">
        <f t="shared" ca="1" si="10"/>
        <v>#REF!</v>
      </c>
    </row>
    <row r="138" spans="1:20" x14ac:dyDescent="0.25">
      <c r="A138" s="13">
        <f t="shared" si="9"/>
        <v>47574</v>
      </c>
      <c r="B138" s="12" t="str">
        <f t="shared" si="8"/>
        <v>April 2030</v>
      </c>
      <c r="C138" s="8" t="e">
        <f ca="1">SUMIF(INDIRECT("'"&amp;$B138&amp;"'!$F$1:$F$999"), C$1, INDIRECT("'"&amp;$B138&amp;"'!$B$1:$B$999"))/VLOOKUP(C$1, Table1[#All],2, FALSE)</f>
        <v>#REF!</v>
      </c>
      <c r="D138" s="8" t="e">
        <f ca="1">SUMIF(INDIRECT("'"&amp;$B138&amp;"'!$F$1:$F$999"), D$1, INDIRECT("'"&amp;$B138&amp;"'!$B$1:$B$999"))/VLOOKUP(D$1, Table1[#All],2, FALSE)</f>
        <v>#REF!</v>
      </c>
      <c r="E138" s="8" t="e">
        <f ca="1">SUMIF(INDIRECT("'"&amp;$B138&amp;"'!$F$1:$F$999"), E$1, INDIRECT("'"&amp;$B138&amp;"'!$B$1:$B$999"))/VLOOKUP(E$1, Table1[#All],2, FALSE)</f>
        <v>#REF!</v>
      </c>
      <c r="F138" s="8" t="e">
        <f ca="1">SUMIF(INDIRECT("'"&amp;$B138&amp;"'!$F$1:$F$999"), F$1, INDIRECT("'"&amp;$B138&amp;"'!$B$1:$B$999"))/VLOOKUP(F$1, Table1[#All],2, FALSE)</f>
        <v>#REF!</v>
      </c>
      <c r="G138" s="8" t="e">
        <f ca="1">SUMIF(INDIRECT("'"&amp;$B138&amp;"'!$F$1:$F$999"), G$1, INDIRECT("'"&amp;$B138&amp;"'!$B$1:$B$999"))/VLOOKUP(G$1, Table1[#All],2, FALSE)</f>
        <v>#REF!</v>
      </c>
      <c r="H138" s="8" t="e">
        <f ca="1">SUMIF(INDIRECT("'"&amp;$B138&amp;"'!$F$1:$F$999"), H$1, INDIRECT("'"&amp;$B138&amp;"'!$B$1:$B$999"))/VLOOKUP(H$1, Table1[#All],2, FALSE)</f>
        <v>#REF!</v>
      </c>
      <c r="I138" s="8" t="e">
        <f ca="1">SUMIF(INDIRECT("'"&amp;$B138&amp;"'!$F$1:$F$999"), I$1, INDIRECT("'"&amp;$B138&amp;"'!$B$1:$B$999"))/VLOOKUP(I$1, Table1[#All],2, FALSE)</f>
        <v>#REF!</v>
      </c>
      <c r="J138" s="8" t="e">
        <f ca="1">SUMIF(INDIRECT("'"&amp;$B138&amp;"'!$F$1:$F$999"), J$1, INDIRECT("'"&amp;$B138&amp;"'!$B$1:$B$999"))/VLOOKUP(J$1, Table1[#All],2, FALSE)</f>
        <v>#REF!</v>
      </c>
      <c r="K138" s="8" t="e">
        <f ca="1">SUMIF(INDIRECT("'"&amp;$B138&amp;"'!$F$1:$F$999"), K$1, INDIRECT("'"&amp;$B138&amp;"'!$B$1:$B$999"))/VLOOKUP(K$1, Table1[#All],2, FALSE)</f>
        <v>#REF!</v>
      </c>
      <c r="L138" s="8" t="e">
        <f ca="1">SUMIF(INDIRECT("'"&amp;$B138&amp;"'!$F$1:$F$999"), L$1, INDIRECT("'"&amp;$B138&amp;"'!$B$1:$B$999"))/VLOOKUP(L$1, Table1[#All],2, FALSE)</f>
        <v>#REF!</v>
      </c>
      <c r="M138" s="8" t="e">
        <f ca="1">SUMIF(INDIRECT("'"&amp;$B138&amp;"'!$F$1:$F$999"), M$1, INDIRECT("'"&amp;$B138&amp;"'!$B$1:$B$999"))/VLOOKUP(M$1, Table1[#All],2, FALSE)</f>
        <v>#REF!</v>
      </c>
      <c r="N138" s="8" t="e">
        <f ca="1">SUMIF(INDIRECT("'"&amp;$B138&amp;"'!$F$1:$F$999"), N$1, INDIRECT("'"&amp;$B138&amp;"'!$B$1:$B$999"))/VLOOKUP(N$1, Table1[#All],2, FALSE)</f>
        <v>#REF!</v>
      </c>
      <c r="O138" s="8" t="e">
        <f ca="1">SUMIF(INDIRECT("'"&amp;$B138&amp;"'!$F$1:$F$999"), O$1, INDIRECT("'"&amp;$B138&amp;"'!$B$1:$B$999"))/VLOOKUP(O$1, Table1[#All],2, FALSE)</f>
        <v>#REF!</v>
      </c>
      <c r="P138" s="8" t="e">
        <f ca="1">SUMIF(INDIRECT("'"&amp;$B138&amp;"'!$F$1:$F$999"), P$1, INDIRECT("'"&amp;$B138&amp;"'!$B$1:$B$999"))/VLOOKUP(P$1, Table1[#All],2, FALSE)</f>
        <v>#REF!</v>
      </c>
      <c r="Q138" s="8" t="e">
        <f ca="1">SUMIF(INDIRECT("'"&amp;$B138&amp;"'!$F$1:$F$999"), Q$1, INDIRECT("'"&amp;$B138&amp;"'!$B$1:$B$999"))/VLOOKUP(Q$1, Table1[#All],2, FALSE)</f>
        <v>#REF!</v>
      </c>
      <c r="R138" s="8" t="e">
        <f ca="1">SUMIF(INDIRECT("'"&amp;$B138&amp;"'!$F$1:$F$999"), R$1, INDIRECT("'"&amp;$B138&amp;"'!$B$1:$B$999"))/VLOOKUP(R$1, Table1[#All],2, FALSE)</f>
        <v>#REF!</v>
      </c>
      <c r="S138" s="8" t="e">
        <f ca="1">SUMIF(INDIRECT("'"&amp;$B138&amp;"'!$F$1:$F$999"), S$1, INDIRECT("'"&amp;$B138&amp;"'!$B$1:$B$999"))/VLOOKUP(S$1, Table1[#All],2, FALSE)</f>
        <v>#REF!</v>
      </c>
      <c r="T138" s="9" t="e">
        <f t="shared" ca="1" si="10"/>
        <v>#REF!</v>
      </c>
    </row>
    <row r="139" spans="1:20" x14ac:dyDescent="0.25">
      <c r="A139" s="13">
        <f t="shared" si="9"/>
        <v>47604</v>
      </c>
      <c r="B139" s="12" t="str">
        <f t="shared" si="8"/>
        <v>May 2030</v>
      </c>
      <c r="C139" s="8" t="e">
        <f ca="1">SUMIF(INDIRECT("'"&amp;$B139&amp;"'!$F$1:$F$999"), C$1, INDIRECT("'"&amp;$B139&amp;"'!$B$1:$B$999"))/VLOOKUP(C$1, Table1[#All],2, FALSE)</f>
        <v>#REF!</v>
      </c>
      <c r="D139" s="8" t="e">
        <f ca="1">SUMIF(INDIRECT("'"&amp;$B139&amp;"'!$F$1:$F$999"), D$1, INDIRECT("'"&amp;$B139&amp;"'!$B$1:$B$999"))/VLOOKUP(D$1, Table1[#All],2, FALSE)</f>
        <v>#REF!</v>
      </c>
      <c r="E139" s="8" t="e">
        <f ca="1">SUMIF(INDIRECT("'"&amp;$B139&amp;"'!$F$1:$F$999"), E$1, INDIRECT("'"&amp;$B139&amp;"'!$B$1:$B$999"))/VLOOKUP(E$1, Table1[#All],2, FALSE)</f>
        <v>#REF!</v>
      </c>
      <c r="F139" s="8" t="e">
        <f ca="1">SUMIF(INDIRECT("'"&amp;$B139&amp;"'!$F$1:$F$999"), F$1, INDIRECT("'"&amp;$B139&amp;"'!$B$1:$B$999"))/VLOOKUP(F$1, Table1[#All],2, FALSE)</f>
        <v>#REF!</v>
      </c>
      <c r="G139" s="8" t="e">
        <f ca="1">SUMIF(INDIRECT("'"&amp;$B139&amp;"'!$F$1:$F$999"), G$1, INDIRECT("'"&amp;$B139&amp;"'!$B$1:$B$999"))/VLOOKUP(G$1, Table1[#All],2, FALSE)</f>
        <v>#REF!</v>
      </c>
      <c r="H139" s="8" t="e">
        <f ca="1">SUMIF(INDIRECT("'"&amp;$B139&amp;"'!$F$1:$F$999"), H$1, INDIRECT("'"&amp;$B139&amp;"'!$B$1:$B$999"))/VLOOKUP(H$1, Table1[#All],2, FALSE)</f>
        <v>#REF!</v>
      </c>
      <c r="I139" s="8" t="e">
        <f ca="1">SUMIF(INDIRECT("'"&amp;$B139&amp;"'!$F$1:$F$999"), I$1, INDIRECT("'"&amp;$B139&amp;"'!$B$1:$B$999"))/VLOOKUP(I$1, Table1[#All],2, FALSE)</f>
        <v>#REF!</v>
      </c>
      <c r="J139" s="8" t="e">
        <f ca="1">SUMIF(INDIRECT("'"&amp;$B139&amp;"'!$F$1:$F$999"), J$1, INDIRECT("'"&amp;$B139&amp;"'!$B$1:$B$999"))/VLOOKUP(J$1, Table1[#All],2, FALSE)</f>
        <v>#REF!</v>
      </c>
      <c r="K139" s="8" t="e">
        <f ca="1">SUMIF(INDIRECT("'"&amp;$B139&amp;"'!$F$1:$F$999"), K$1, INDIRECT("'"&amp;$B139&amp;"'!$B$1:$B$999"))/VLOOKUP(K$1, Table1[#All],2, FALSE)</f>
        <v>#REF!</v>
      </c>
      <c r="L139" s="8" t="e">
        <f ca="1">SUMIF(INDIRECT("'"&amp;$B139&amp;"'!$F$1:$F$999"), L$1, INDIRECT("'"&amp;$B139&amp;"'!$B$1:$B$999"))/VLOOKUP(L$1, Table1[#All],2, FALSE)</f>
        <v>#REF!</v>
      </c>
      <c r="M139" s="8" t="e">
        <f ca="1">SUMIF(INDIRECT("'"&amp;$B139&amp;"'!$F$1:$F$999"), M$1, INDIRECT("'"&amp;$B139&amp;"'!$B$1:$B$999"))/VLOOKUP(M$1, Table1[#All],2, FALSE)</f>
        <v>#REF!</v>
      </c>
      <c r="N139" s="8" t="e">
        <f ca="1">SUMIF(INDIRECT("'"&amp;$B139&amp;"'!$F$1:$F$999"), N$1, INDIRECT("'"&amp;$B139&amp;"'!$B$1:$B$999"))/VLOOKUP(N$1, Table1[#All],2, FALSE)</f>
        <v>#REF!</v>
      </c>
      <c r="O139" s="8" t="e">
        <f ca="1">SUMIF(INDIRECT("'"&amp;$B139&amp;"'!$F$1:$F$999"), O$1, INDIRECT("'"&amp;$B139&amp;"'!$B$1:$B$999"))/VLOOKUP(O$1, Table1[#All],2, FALSE)</f>
        <v>#REF!</v>
      </c>
      <c r="P139" s="8" t="e">
        <f ca="1">SUMIF(INDIRECT("'"&amp;$B139&amp;"'!$F$1:$F$999"), P$1, INDIRECT("'"&amp;$B139&amp;"'!$B$1:$B$999"))/VLOOKUP(P$1, Table1[#All],2, FALSE)</f>
        <v>#REF!</v>
      </c>
      <c r="Q139" s="8" t="e">
        <f ca="1">SUMIF(INDIRECT("'"&amp;$B139&amp;"'!$F$1:$F$999"), Q$1, INDIRECT("'"&amp;$B139&amp;"'!$B$1:$B$999"))/VLOOKUP(Q$1, Table1[#All],2, FALSE)</f>
        <v>#REF!</v>
      </c>
      <c r="R139" s="8" t="e">
        <f ca="1">SUMIF(INDIRECT("'"&amp;$B139&amp;"'!$F$1:$F$999"), R$1, INDIRECT("'"&amp;$B139&amp;"'!$B$1:$B$999"))/VLOOKUP(R$1, Table1[#All],2, FALSE)</f>
        <v>#REF!</v>
      </c>
      <c r="S139" s="8" t="e">
        <f ca="1">SUMIF(INDIRECT("'"&amp;$B139&amp;"'!$F$1:$F$999"), S$1, INDIRECT("'"&amp;$B139&amp;"'!$B$1:$B$999"))/VLOOKUP(S$1, Table1[#All],2, FALSE)</f>
        <v>#REF!</v>
      </c>
      <c r="T139" s="9" t="e">
        <f t="shared" ca="1" si="10"/>
        <v>#REF!</v>
      </c>
    </row>
    <row r="140" spans="1:20" x14ac:dyDescent="0.25">
      <c r="A140" s="13">
        <f t="shared" si="9"/>
        <v>47635</v>
      </c>
      <c r="B140" s="12" t="str">
        <f t="shared" si="8"/>
        <v>June 2030</v>
      </c>
      <c r="C140" s="8" t="e">
        <f ca="1">SUMIF(INDIRECT("'"&amp;$B140&amp;"'!$F$1:$F$999"), C$1, INDIRECT("'"&amp;$B140&amp;"'!$B$1:$B$999"))/VLOOKUP(C$1, Table1[#All],2, FALSE)</f>
        <v>#REF!</v>
      </c>
      <c r="D140" s="8" t="e">
        <f ca="1">SUMIF(INDIRECT("'"&amp;$B140&amp;"'!$F$1:$F$999"), D$1, INDIRECT("'"&amp;$B140&amp;"'!$B$1:$B$999"))/VLOOKUP(D$1, Table1[#All],2, FALSE)</f>
        <v>#REF!</v>
      </c>
      <c r="E140" s="8" t="e">
        <f ca="1">SUMIF(INDIRECT("'"&amp;$B140&amp;"'!$F$1:$F$999"), E$1, INDIRECT("'"&amp;$B140&amp;"'!$B$1:$B$999"))/VLOOKUP(E$1, Table1[#All],2, FALSE)</f>
        <v>#REF!</v>
      </c>
      <c r="F140" s="8" t="e">
        <f ca="1">SUMIF(INDIRECT("'"&amp;$B140&amp;"'!$F$1:$F$999"), F$1, INDIRECT("'"&amp;$B140&amp;"'!$B$1:$B$999"))/VLOOKUP(F$1, Table1[#All],2, FALSE)</f>
        <v>#REF!</v>
      </c>
      <c r="G140" s="8" t="e">
        <f ca="1">SUMIF(INDIRECT("'"&amp;$B140&amp;"'!$F$1:$F$999"), G$1, INDIRECT("'"&amp;$B140&amp;"'!$B$1:$B$999"))/VLOOKUP(G$1, Table1[#All],2, FALSE)</f>
        <v>#REF!</v>
      </c>
      <c r="H140" s="8" t="e">
        <f ca="1">SUMIF(INDIRECT("'"&amp;$B140&amp;"'!$F$1:$F$999"), H$1, INDIRECT("'"&amp;$B140&amp;"'!$B$1:$B$999"))/VLOOKUP(H$1, Table1[#All],2, FALSE)</f>
        <v>#REF!</v>
      </c>
      <c r="I140" s="8" t="e">
        <f ca="1">SUMIF(INDIRECT("'"&amp;$B140&amp;"'!$F$1:$F$999"), I$1, INDIRECT("'"&amp;$B140&amp;"'!$B$1:$B$999"))/VLOOKUP(I$1, Table1[#All],2, FALSE)</f>
        <v>#REF!</v>
      </c>
      <c r="J140" s="8" t="e">
        <f ca="1">SUMIF(INDIRECT("'"&amp;$B140&amp;"'!$F$1:$F$999"), J$1, INDIRECT("'"&amp;$B140&amp;"'!$B$1:$B$999"))/VLOOKUP(J$1, Table1[#All],2, FALSE)</f>
        <v>#REF!</v>
      </c>
      <c r="K140" s="8" t="e">
        <f ca="1">SUMIF(INDIRECT("'"&amp;$B140&amp;"'!$F$1:$F$999"), K$1, INDIRECT("'"&amp;$B140&amp;"'!$B$1:$B$999"))/VLOOKUP(K$1, Table1[#All],2, FALSE)</f>
        <v>#REF!</v>
      </c>
      <c r="L140" s="8" t="e">
        <f ca="1">SUMIF(INDIRECT("'"&amp;$B140&amp;"'!$F$1:$F$999"), L$1, INDIRECT("'"&amp;$B140&amp;"'!$B$1:$B$999"))/VLOOKUP(L$1, Table1[#All],2, FALSE)</f>
        <v>#REF!</v>
      </c>
      <c r="M140" s="8" t="e">
        <f ca="1">SUMIF(INDIRECT("'"&amp;$B140&amp;"'!$F$1:$F$999"), M$1, INDIRECT("'"&amp;$B140&amp;"'!$B$1:$B$999"))/VLOOKUP(M$1, Table1[#All],2, FALSE)</f>
        <v>#REF!</v>
      </c>
      <c r="N140" s="8" t="e">
        <f ca="1">SUMIF(INDIRECT("'"&amp;$B140&amp;"'!$F$1:$F$999"), N$1, INDIRECT("'"&amp;$B140&amp;"'!$B$1:$B$999"))/VLOOKUP(N$1, Table1[#All],2, FALSE)</f>
        <v>#REF!</v>
      </c>
      <c r="O140" s="8" t="e">
        <f ca="1">SUMIF(INDIRECT("'"&amp;$B140&amp;"'!$F$1:$F$999"), O$1, INDIRECT("'"&amp;$B140&amp;"'!$B$1:$B$999"))/VLOOKUP(O$1, Table1[#All],2, FALSE)</f>
        <v>#REF!</v>
      </c>
      <c r="P140" s="8" t="e">
        <f ca="1">SUMIF(INDIRECT("'"&amp;$B140&amp;"'!$F$1:$F$999"), P$1, INDIRECT("'"&amp;$B140&amp;"'!$B$1:$B$999"))/VLOOKUP(P$1, Table1[#All],2, FALSE)</f>
        <v>#REF!</v>
      </c>
      <c r="Q140" s="8" t="e">
        <f ca="1">SUMIF(INDIRECT("'"&amp;$B140&amp;"'!$F$1:$F$999"), Q$1, INDIRECT("'"&amp;$B140&amp;"'!$B$1:$B$999"))/VLOOKUP(Q$1, Table1[#All],2, FALSE)</f>
        <v>#REF!</v>
      </c>
      <c r="R140" s="8" t="e">
        <f ca="1">SUMIF(INDIRECT("'"&amp;$B140&amp;"'!$F$1:$F$999"), R$1, INDIRECT("'"&amp;$B140&amp;"'!$B$1:$B$999"))/VLOOKUP(R$1, Table1[#All],2, FALSE)</f>
        <v>#REF!</v>
      </c>
      <c r="S140" s="8" t="e">
        <f ca="1">SUMIF(INDIRECT("'"&amp;$B140&amp;"'!$F$1:$F$999"), S$1, INDIRECT("'"&amp;$B140&amp;"'!$B$1:$B$999"))/VLOOKUP(S$1, Table1[#All],2, FALSE)</f>
        <v>#REF!</v>
      </c>
      <c r="T140" s="9" t="e">
        <f t="shared" ca="1" si="10"/>
        <v>#REF!</v>
      </c>
    </row>
    <row r="141" spans="1:20" x14ac:dyDescent="0.25">
      <c r="A141" s="13">
        <f t="shared" si="9"/>
        <v>47665</v>
      </c>
      <c r="B141" s="12" t="str">
        <f t="shared" si="8"/>
        <v>July 2030</v>
      </c>
      <c r="C141" s="8" t="e">
        <f ca="1">SUMIF(INDIRECT("'"&amp;$B141&amp;"'!$F$1:$F$999"), C$1, INDIRECT("'"&amp;$B141&amp;"'!$B$1:$B$999"))/VLOOKUP(C$1, Table1[#All],2, FALSE)</f>
        <v>#REF!</v>
      </c>
      <c r="D141" s="8" t="e">
        <f ca="1">SUMIF(INDIRECT("'"&amp;$B141&amp;"'!$F$1:$F$999"), D$1, INDIRECT("'"&amp;$B141&amp;"'!$B$1:$B$999"))/VLOOKUP(D$1, Table1[#All],2, FALSE)</f>
        <v>#REF!</v>
      </c>
      <c r="E141" s="8" t="e">
        <f ca="1">SUMIF(INDIRECT("'"&amp;$B141&amp;"'!$F$1:$F$999"), E$1, INDIRECT("'"&amp;$B141&amp;"'!$B$1:$B$999"))/VLOOKUP(E$1, Table1[#All],2, FALSE)</f>
        <v>#REF!</v>
      </c>
      <c r="F141" s="8" t="e">
        <f ca="1">SUMIF(INDIRECT("'"&amp;$B141&amp;"'!$F$1:$F$999"), F$1, INDIRECT("'"&amp;$B141&amp;"'!$B$1:$B$999"))/VLOOKUP(F$1, Table1[#All],2, FALSE)</f>
        <v>#REF!</v>
      </c>
      <c r="G141" s="8" t="e">
        <f ca="1">SUMIF(INDIRECT("'"&amp;$B141&amp;"'!$F$1:$F$999"), G$1, INDIRECT("'"&amp;$B141&amp;"'!$B$1:$B$999"))/VLOOKUP(G$1, Table1[#All],2, FALSE)</f>
        <v>#REF!</v>
      </c>
      <c r="H141" s="8" t="e">
        <f ca="1">SUMIF(INDIRECT("'"&amp;$B141&amp;"'!$F$1:$F$999"), H$1, INDIRECT("'"&amp;$B141&amp;"'!$B$1:$B$999"))/VLOOKUP(H$1, Table1[#All],2, FALSE)</f>
        <v>#REF!</v>
      </c>
      <c r="I141" s="8" t="e">
        <f ca="1">SUMIF(INDIRECT("'"&amp;$B141&amp;"'!$F$1:$F$999"), I$1, INDIRECT("'"&amp;$B141&amp;"'!$B$1:$B$999"))/VLOOKUP(I$1, Table1[#All],2, FALSE)</f>
        <v>#REF!</v>
      </c>
      <c r="J141" s="8" t="e">
        <f ca="1">SUMIF(INDIRECT("'"&amp;$B141&amp;"'!$F$1:$F$999"), J$1, INDIRECT("'"&amp;$B141&amp;"'!$B$1:$B$999"))/VLOOKUP(J$1, Table1[#All],2, FALSE)</f>
        <v>#REF!</v>
      </c>
      <c r="K141" s="8" t="e">
        <f ca="1">SUMIF(INDIRECT("'"&amp;$B141&amp;"'!$F$1:$F$999"), K$1, INDIRECT("'"&amp;$B141&amp;"'!$B$1:$B$999"))/VLOOKUP(K$1, Table1[#All],2, FALSE)</f>
        <v>#REF!</v>
      </c>
      <c r="L141" s="8" t="e">
        <f ca="1">SUMIF(INDIRECT("'"&amp;$B141&amp;"'!$F$1:$F$999"), L$1, INDIRECT("'"&amp;$B141&amp;"'!$B$1:$B$999"))/VLOOKUP(L$1, Table1[#All],2, FALSE)</f>
        <v>#REF!</v>
      </c>
      <c r="M141" s="8" t="e">
        <f ca="1">SUMIF(INDIRECT("'"&amp;$B141&amp;"'!$F$1:$F$999"), M$1, INDIRECT("'"&amp;$B141&amp;"'!$B$1:$B$999"))/VLOOKUP(M$1, Table1[#All],2, FALSE)</f>
        <v>#REF!</v>
      </c>
      <c r="N141" s="8" t="e">
        <f ca="1">SUMIF(INDIRECT("'"&amp;$B141&amp;"'!$F$1:$F$999"), N$1, INDIRECT("'"&amp;$B141&amp;"'!$B$1:$B$999"))/VLOOKUP(N$1, Table1[#All],2, FALSE)</f>
        <v>#REF!</v>
      </c>
      <c r="O141" s="8" t="e">
        <f ca="1">SUMIF(INDIRECT("'"&amp;$B141&amp;"'!$F$1:$F$999"), O$1, INDIRECT("'"&amp;$B141&amp;"'!$B$1:$B$999"))/VLOOKUP(O$1, Table1[#All],2, FALSE)</f>
        <v>#REF!</v>
      </c>
      <c r="P141" s="8" t="e">
        <f ca="1">SUMIF(INDIRECT("'"&amp;$B141&amp;"'!$F$1:$F$999"), P$1, INDIRECT("'"&amp;$B141&amp;"'!$B$1:$B$999"))/VLOOKUP(P$1, Table1[#All],2, FALSE)</f>
        <v>#REF!</v>
      </c>
      <c r="Q141" s="8" t="e">
        <f ca="1">SUMIF(INDIRECT("'"&amp;$B141&amp;"'!$F$1:$F$999"), Q$1, INDIRECT("'"&amp;$B141&amp;"'!$B$1:$B$999"))/VLOOKUP(Q$1, Table1[#All],2, FALSE)</f>
        <v>#REF!</v>
      </c>
      <c r="R141" s="8" t="e">
        <f ca="1">SUMIF(INDIRECT("'"&amp;$B141&amp;"'!$F$1:$F$999"), R$1, INDIRECT("'"&amp;$B141&amp;"'!$B$1:$B$999"))/VLOOKUP(R$1, Table1[#All],2, FALSE)</f>
        <v>#REF!</v>
      </c>
      <c r="S141" s="8" t="e">
        <f ca="1">SUMIF(INDIRECT("'"&amp;$B141&amp;"'!$F$1:$F$999"), S$1, INDIRECT("'"&amp;$B141&amp;"'!$B$1:$B$999"))/VLOOKUP(S$1, Table1[#All],2, FALSE)</f>
        <v>#REF!</v>
      </c>
      <c r="T141" s="9" t="e">
        <f t="shared" ca="1" si="10"/>
        <v>#REF!</v>
      </c>
    </row>
    <row r="142" spans="1:20" x14ac:dyDescent="0.25">
      <c r="A142" s="13">
        <f t="shared" si="9"/>
        <v>47696</v>
      </c>
      <c r="B142" s="12" t="str">
        <f t="shared" si="8"/>
        <v>August 2030</v>
      </c>
      <c r="C142" s="8" t="e">
        <f ca="1">SUMIF(INDIRECT("'"&amp;$B142&amp;"'!$F$1:$F$999"), C$1, INDIRECT("'"&amp;$B142&amp;"'!$B$1:$B$999"))/VLOOKUP(C$1, Table1[#All],2, FALSE)</f>
        <v>#REF!</v>
      </c>
      <c r="D142" s="8" t="e">
        <f ca="1">SUMIF(INDIRECT("'"&amp;$B142&amp;"'!$F$1:$F$999"), D$1, INDIRECT("'"&amp;$B142&amp;"'!$B$1:$B$999"))/VLOOKUP(D$1, Table1[#All],2, FALSE)</f>
        <v>#REF!</v>
      </c>
      <c r="E142" s="8" t="e">
        <f ca="1">SUMIF(INDIRECT("'"&amp;$B142&amp;"'!$F$1:$F$999"), E$1, INDIRECT("'"&amp;$B142&amp;"'!$B$1:$B$999"))/VLOOKUP(E$1, Table1[#All],2, FALSE)</f>
        <v>#REF!</v>
      </c>
      <c r="F142" s="8" t="e">
        <f ca="1">SUMIF(INDIRECT("'"&amp;$B142&amp;"'!$F$1:$F$999"), F$1, INDIRECT("'"&amp;$B142&amp;"'!$B$1:$B$999"))/VLOOKUP(F$1, Table1[#All],2, FALSE)</f>
        <v>#REF!</v>
      </c>
      <c r="G142" s="8" t="e">
        <f ca="1">SUMIF(INDIRECT("'"&amp;$B142&amp;"'!$F$1:$F$999"), G$1, INDIRECT("'"&amp;$B142&amp;"'!$B$1:$B$999"))/VLOOKUP(G$1, Table1[#All],2, FALSE)</f>
        <v>#REF!</v>
      </c>
      <c r="H142" s="8" t="e">
        <f ca="1">SUMIF(INDIRECT("'"&amp;$B142&amp;"'!$F$1:$F$999"), H$1, INDIRECT("'"&amp;$B142&amp;"'!$B$1:$B$999"))/VLOOKUP(H$1, Table1[#All],2, FALSE)</f>
        <v>#REF!</v>
      </c>
      <c r="I142" s="8" t="e">
        <f ca="1">SUMIF(INDIRECT("'"&amp;$B142&amp;"'!$F$1:$F$999"), I$1, INDIRECT("'"&amp;$B142&amp;"'!$B$1:$B$999"))/VLOOKUP(I$1, Table1[#All],2, FALSE)</f>
        <v>#REF!</v>
      </c>
      <c r="J142" s="8" t="e">
        <f ca="1">SUMIF(INDIRECT("'"&amp;$B142&amp;"'!$F$1:$F$999"), J$1, INDIRECT("'"&amp;$B142&amp;"'!$B$1:$B$999"))/VLOOKUP(J$1, Table1[#All],2, FALSE)</f>
        <v>#REF!</v>
      </c>
      <c r="K142" s="8" t="e">
        <f ca="1">SUMIF(INDIRECT("'"&amp;$B142&amp;"'!$F$1:$F$999"), K$1, INDIRECT("'"&amp;$B142&amp;"'!$B$1:$B$999"))/VLOOKUP(K$1, Table1[#All],2, FALSE)</f>
        <v>#REF!</v>
      </c>
      <c r="L142" s="8" t="e">
        <f ca="1">SUMIF(INDIRECT("'"&amp;$B142&amp;"'!$F$1:$F$999"), L$1, INDIRECT("'"&amp;$B142&amp;"'!$B$1:$B$999"))/VLOOKUP(L$1, Table1[#All],2, FALSE)</f>
        <v>#REF!</v>
      </c>
      <c r="M142" s="8" t="e">
        <f ca="1">SUMIF(INDIRECT("'"&amp;$B142&amp;"'!$F$1:$F$999"), M$1, INDIRECT("'"&amp;$B142&amp;"'!$B$1:$B$999"))/VLOOKUP(M$1, Table1[#All],2, FALSE)</f>
        <v>#REF!</v>
      </c>
      <c r="N142" s="8" t="e">
        <f ca="1">SUMIF(INDIRECT("'"&amp;$B142&amp;"'!$F$1:$F$999"), N$1, INDIRECT("'"&amp;$B142&amp;"'!$B$1:$B$999"))/VLOOKUP(N$1, Table1[#All],2, FALSE)</f>
        <v>#REF!</v>
      </c>
      <c r="O142" s="8" t="e">
        <f ca="1">SUMIF(INDIRECT("'"&amp;$B142&amp;"'!$F$1:$F$999"), O$1, INDIRECT("'"&amp;$B142&amp;"'!$B$1:$B$999"))/VLOOKUP(O$1, Table1[#All],2, FALSE)</f>
        <v>#REF!</v>
      </c>
      <c r="P142" s="8" t="e">
        <f ca="1">SUMIF(INDIRECT("'"&amp;$B142&amp;"'!$F$1:$F$999"), P$1, INDIRECT("'"&amp;$B142&amp;"'!$B$1:$B$999"))/VLOOKUP(P$1, Table1[#All],2, FALSE)</f>
        <v>#REF!</v>
      </c>
      <c r="Q142" s="8" t="e">
        <f ca="1">SUMIF(INDIRECT("'"&amp;$B142&amp;"'!$F$1:$F$999"), Q$1, INDIRECT("'"&amp;$B142&amp;"'!$B$1:$B$999"))/VLOOKUP(Q$1, Table1[#All],2, FALSE)</f>
        <v>#REF!</v>
      </c>
      <c r="R142" s="8" t="e">
        <f ca="1">SUMIF(INDIRECT("'"&amp;$B142&amp;"'!$F$1:$F$999"), R$1, INDIRECT("'"&amp;$B142&amp;"'!$B$1:$B$999"))/VLOOKUP(R$1, Table1[#All],2, FALSE)</f>
        <v>#REF!</v>
      </c>
      <c r="S142" s="8" t="e">
        <f ca="1">SUMIF(INDIRECT("'"&amp;$B142&amp;"'!$F$1:$F$999"), S$1, INDIRECT("'"&amp;$B142&amp;"'!$B$1:$B$999"))/VLOOKUP(S$1, Table1[#All],2, FALSE)</f>
        <v>#REF!</v>
      </c>
      <c r="T142" s="9" t="e">
        <f t="shared" ca="1" si="10"/>
        <v>#REF!</v>
      </c>
    </row>
    <row r="143" spans="1:20" x14ac:dyDescent="0.25">
      <c r="A143" s="13">
        <f t="shared" si="9"/>
        <v>47727</v>
      </c>
      <c r="B143" s="12" t="str">
        <f t="shared" si="8"/>
        <v>September 2030</v>
      </c>
      <c r="C143" s="8" t="e">
        <f ca="1">SUMIF(INDIRECT("'"&amp;$B143&amp;"'!$F$1:$F$999"), C$1, INDIRECT("'"&amp;$B143&amp;"'!$B$1:$B$999"))/VLOOKUP(C$1, Table1[#All],2, FALSE)</f>
        <v>#REF!</v>
      </c>
      <c r="D143" s="8" t="e">
        <f ca="1">SUMIF(INDIRECT("'"&amp;$B143&amp;"'!$F$1:$F$999"), D$1, INDIRECT("'"&amp;$B143&amp;"'!$B$1:$B$999"))/VLOOKUP(D$1, Table1[#All],2, FALSE)</f>
        <v>#REF!</v>
      </c>
      <c r="E143" s="8" t="e">
        <f ca="1">SUMIF(INDIRECT("'"&amp;$B143&amp;"'!$F$1:$F$999"), E$1, INDIRECT("'"&amp;$B143&amp;"'!$B$1:$B$999"))/VLOOKUP(E$1, Table1[#All],2, FALSE)</f>
        <v>#REF!</v>
      </c>
      <c r="F143" s="8" t="e">
        <f ca="1">SUMIF(INDIRECT("'"&amp;$B143&amp;"'!$F$1:$F$999"), F$1, INDIRECT("'"&amp;$B143&amp;"'!$B$1:$B$999"))/VLOOKUP(F$1, Table1[#All],2, FALSE)</f>
        <v>#REF!</v>
      </c>
      <c r="G143" s="8" t="e">
        <f ca="1">SUMIF(INDIRECT("'"&amp;$B143&amp;"'!$F$1:$F$999"), G$1, INDIRECT("'"&amp;$B143&amp;"'!$B$1:$B$999"))/VLOOKUP(G$1, Table1[#All],2, FALSE)</f>
        <v>#REF!</v>
      </c>
      <c r="H143" s="8" t="e">
        <f ca="1">SUMIF(INDIRECT("'"&amp;$B143&amp;"'!$F$1:$F$999"), H$1, INDIRECT("'"&amp;$B143&amp;"'!$B$1:$B$999"))/VLOOKUP(H$1, Table1[#All],2, FALSE)</f>
        <v>#REF!</v>
      </c>
      <c r="I143" s="8" t="e">
        <f ca="1">SUMIF(INDIRECT("'"&amp;$B143&amp;"'!$F$1:$F$999"), I$1, INDIRECT("'"&amp;$B143&amp;"'!$B$1:$B$999"))/VLOOKUP(I$1, Table1[#All],2, FALSE)</f>
        <v>#REF!</v>
      </c>
      <c r="J143" s="8" t="e">
        <f ca="1">SUMIF(INDIRECT("'"&amp;$B143&amp;"'!$F$1:$F$999"), J$1, INDIRECT("'"&amp;$B143&amp;"'!$B$1:$B$999"))/VLOOKUP(J$1, Table1[#All],2, FALSE)</f>
        <v>#REF!</v>
      </c>
      <c r="K143" s="8" t="e">
        <f ca="1">SUMIF(INDIRECT("'"&amp;$B143&amp;"'!$F$1:$F$999"), K$1, INDIRECT("'"&amp;$B143&amp;"'!$B$1:$B$999"))/VLOOKUP(K$1, Table1[#All],2, FALSE)</f>
        <v>#REF!</v>
      </c>
      <c r="L143" s="8" t="e">
        <f ca="1">SUMIF(INDIRECT("'"&amp;$B143&amp;"'!$F$1:$F$999"), L$1, INDIRECT("'"&amp;$B143&amp;"'!$B$1:$B$999"))/VLOOKUP(L$1, Table1[#All],2, FALSE)</f>
        <v>#REF!</v>
      </c>
      <c r="M143" s="8" t="e">
        <f ca="1">SUMIF(INDIRECT("'"&amp;$B143&amp;"'!$F$1:$F$999"), M$1, INDIRECT("'"&amp;$B143&amp;"'!$B$1:$B$999"))/VLOOKUP(M$1, Table1[#All],2, FALSE)</f>
        <v>#REF!</v>
      </c>
      <c r="N143" s="8" t="e">
        <f ca="1">SUMIF(INDIRECT("'"&amp;$B143&amp;"'!$F$1:$F$999"), N$1, INDIRECT("'"&amp;$B143&amp;"'!$B$1:$B$999"))/VLOOKUP(N$1, Table1[#All],2, FALSE)</f>
        <v>#REF!</v>
      </c>
      <c r="O143" s="8" t="e">
        <f ca="1">SUMIF(INDIRECT("'"&amp;$B143&amp;"'!$F$1:$F$999"), O$1, INDIRECT("'"&amp;$B143&amp;"'!$B$1:$B$999"))/VLOOKUP(O$1, Table1[#All],2, FALSE)</f>
        <v>#REF!</v>
      </c>
      <c r="P143" s="8" t="e">
        <f ca="1">SUMIF(INDIRECT("'"&amp;$B143&amp;"'!$F$1:$F$999"), P$1, INDIRECT("'"&amp;$B143&amp;"'!$B$1:$B$999"))/VLOOKUP(P$1, Table1[#All],2, FALSE)</f>
        <v>#REF!</v>
      </c>
      <c r="Q143" s="8" t="e">
        <f ca="1">SUMIF(INDIRECT("'"&amp;$B143&amp;"'!$F$1:$F$999"), Q$1, INDIRECT("'"&amp;$B143&amp;"'!$B$1:$B$999"))/VLOOKUP(Q$1, Table1[#All],2, FALSE)</f>
        <v>#REF!</v>
      </c>
      <c r="R143" s="8" t="e">
        <f ca="1">SUMIF(INDIRECT("'"&amp;$B143&amp;"'!$F$1:$F$999"), R$1, INDIRECT("'"&amp;$B143&amp;"'!$B$1:$B$999"))/VLOOKUP(R$1, Table1[#All],2, FALSE)</f>
        <v>#REF!</v>
      </c>
      <c r="S143" s="8" t="e">
        <f ca="1">SUMIF(INDIRECT("'"&amp;$B143&amp;"'!$F$1:$F$999"), S$1, INDIRECT("'"&amp;$B143&amp;"'!$B$1:$B$999"))/VLOOKUP(S$1, Table1[#All],2, FALSE)</f>
        <v>#REF!</v>
      </c>
      <c r="T143" s="9" t="e">
        <f t="shared" ca="1" si="10"/>
        <v>#REF!</v>
      </c>
    </row>
    <row r="144" spans="1:20" x14ac:dyDescent="0.25">
      <c r="A144" s="13">
        <f t="shared" si="9"/>
        <v>47757</v>
      </c>
      <c r="B144" s="12" t="str">
        <f t="shared" si="8"/>
        <v>October 2030</v>
      </c>
      <c r="C144" s="8" t="e">
        <f ca="1">SUMIF(INDIRECT("'"&amp;$B144&amp;"'!$F$1:$F$999"), C$1, INDIRECT("'"&amp;$B144&amp;"'!$B$1:$B$999"))/VLOOKUP(C$1, Table1[#All],2, FALSE)</f>
        <v>#REF!</v>
      </c>
      <c r="D144" s="8" t="e">
        <f ca="1">SUMIF(INDIRECT("'"&amp;$B144&amp;"'!$F$1:$F$999"), D$1, INDIRECT("'"&amp;$B144&amp;"'!$B$1:$B$999"))/VLOOKUP(D$1, Table1[#All],2, FALSE)</f>
        <v>#REF!</v>
      </c>
      <c r="E144" s="8" t="e">
        <f ca="1">SUMIF(INDIRECT("'"&amp;$B144&amp;"'!$F$1:$F$999"), E$1, INDIRECT("'"&amp;$B144&amp;"'!$B$1:$B$999"))/VLOOKUP(E$1, Table1[#All],2, FALSE)</f>
        <v>#REF!</v>
      </c>
      <c r="F144" s="8" t="e">
        <f ca="1">SUMIF(INDIRECT("'"&amp;$B144&amp;"'!$F$1:$F$999"), F$1, INDIRECT("'"&amp;$B144&amp;"'!$B$1:$B$999"))/VLOOKUP(F$1, Table1[#All],2, FALSE)</f>
        <v>#REF!</v>
      </c>
      <c r="G144" s="8" t="e">
        <f ca="1">SUMIF(INDIRECT("'"&amp;$B144&amp;"'!$F$1:$F$999"), G$1, INDIRECT("'"&amp;$B144&amp;"'!$B$1:$B$999"))/VLOOKUP(G$1, Table1[#All],2, FALSE)</f>
        <v>#REF!</v>
      </c>
      <c r="H144" s="8" t="e">
        <f ca="1">SUMIF(INDIRECT("'"&amp;$B144&amp;"'!$F$1:$F$999"), H$1, INDIRECT("'"&amp;$B144&amp;"'!$B$1:$B$999"))/VLOOKUP(H$1, Table1[#All],2, FALSE)</f>
        <v>#REF!</v>
      </c>
      <c r="I144" s="8" t="e">
        <f ca="1">SUMIF(INDIRECT("'"&amp;$B144&amp;"'!$F$1:$F$999"), I$1, INDIRECT("'"&amp;$B144&amp;"'!$B$1:$B$999"))/VLOOKUP(I$1, Table1[#All],2, FALSE)</f>
        <v>#REF!</v>
      </c>
      <c r="J144" s="8" t="e">
        <f ca="1">SUMIF(INDIRECT("'"&amp;$B144&amp;"'!$F$1:$F$999"), J$1, INDIRECT("'"&amp;$B144&amp;"'!$B$1:$B$999"))/VLOOKUP(J$1, Table1[#All],2, FALSE)</f>
        <v>#REF!</v>
      </c>
      <c r="K144" s="8" t="e">
        <f ca="1">SUMIF(INDIRECT("'"&amp;$B144&amp;"'!$F$1:$F$999"), K$1, INDIRECT("'"&amp;$B144&amp;"'!$B$1:$B$999"))/VLOOKUP(K$1, Table1[#All],2, FALSE)</f>
        <v>#REF!</v>
      </c>
      <c r="L144" s="8" t="e">
        <f ca="1">SUMIF(INDIRECT("'"&amp;$B144&amp;"'!$F$1:$F$999"), L$1, INDIRECT("'"&amp;$B144&amp;"'!$B$1:$B$999"))/VLOOKUP(L$1, Table1[#All],2, FALSE)</f>
        <v>#REF!</v>
      </c>
      <c r="M144" s="8" t="e">
        <f ca="1">SUMIF(INDIRECT("'"&amp;$B144&amp;"'!$F$1:$F$999"), M$1, INDIRECT("'"&amp;$B144&amp;"'!$B$1:$B$999"))/VLOOKUP(M$1, Table1[#All],2, FALSE)</f>
        <v>#REF!</v>
      </c>
      <c r="N144" s="8" t="e">
        <f ca="1">SUMIF(INDIRECT("'"&amp;$B144&amp;"'!$F$1:$F$999"), N$1, INDIRECT("'"&amp;$B144&amp;"'!$B$1:$B$999"))/VLOOKUP(N$1, Table1[#All],2, FALSE)</f>
        <v>#REF!</v>
      </c>
      <c r="O144" s="8" t="e">
        <f ca="1">SUMIF(INDIRECT("'"&amp;$B144&amp;"'!$F$1:$F$999"), O$1, INDIRECT("'"&amp;$B144&amp;"'!$B$1:$B$999"))/VLOOKUP(O$1, Table1[#All],2, FALSE)</f>
        <v>#REF!</v>
      </c>
      <c r="P144" s="8" t="e">
        <f ca="1">SUMIF(INDIRECT("'"&amp;$B144&amp;"'!$F$1:$F$999"), P$1, INDIRECT("'"&amp;$B144&amp;"'!$B$1:$B$999"))/VLOOKUP(P$1, Table1[#All],2, FALSE)</f>
        <v>#REF!</v>
      </c>
      <c r="Q144" s="8" t="e">
        <f ca="1">SUMIF(INDIRECT("'"&amp;$B144&amp;"'!$F$1:$F$999"), Q$1, INDIRECT("'"&amp;$B144&amp;"'!$B$1:$B$999"))/VLOOKUP(Q$1, Table1[#All],2, FALSE)</f>
        <v>#REF!</v>
      </c>
      <c r="R144" s="8" t="e">
        <f ca="1">SUMIF(INDIRECT("'"&amp;$B144&amp;"'!$F$1:$F$999"), R$1, INDIRECT("'"&amp;$B144&amp;"'!$B$1:$B$999"))/VLOOKUP(R$1, Table1[#All],2, FALSE)</f>
        <v>#REF!</v>
      </c>
      <c r="S144" s="8" t="e">
        <f ca="1">SUMIF(INDIRECT("'"&amp;$B144&amp;"'!$F$1:$F$999"), S$1, INDIRECT("'"&amp;$B144&amp;"'!$B$1:$B$999"))/VLOOKUP(S$1, Table1[#All],2, FALSE)</f>
        <v>#REF!</v>
      </c>
      <c r="T144" s="9" t="e">
        <f t="shared" ca="1" si="10"/>
        <v>#REF!</v>
      </c>
    </row>
    <row r="145" spans="1:20" x14ac:dyDescent="0.25">
      <c r="A145" s="13">
        <f t="shared" si="9"/>
        <v>47788</v>
      </c>
      <c r="B145" s="12" t="str">
        <f t="shared" si="8"/>
        <v>November 2030</v>
      </c>
      <c r="C145" s="8" t="e">
        <f ca="1">SUMIF(INDIRECT("'"&amp;$B145&amp;"'!$F$1:$F$999"), C$1, INDIRECT("'"&amp;$B145&amp;"'!$B$1:$B$999"))/VLOOKUP(C$1, Table1[#All],2, FALSE)</f>
        <v>#REF!</v>
      </c>
      <c r="D145" s="8" t="e">
        <f ca="1">SUMIF(INDIRECT("'"&amp;$B145&amp;"'!$F$1:$F$999"), D$1, INDIRECT("'"&amp;$B145&amp;"'!$B$1:$B$999"))/VLOOKUP(D$1, Table1[#All],2, FALSE)</f>
        <v>#REF!</v>
      </c>
      <c r="E145" s="8" t="e">
        <f ca="1">SUMIF(INDIRECT("'"&amp;$B145&amp;"'!$F$1:$F$999"), E$1, INDIRECT("'"&amp;$B145&amp;"'!$B$1:$B$999"))/VLOOKUP(E$1, Table1[#All],2, FALSE)</f>
        <v>#REF!</v>
      </c>
      <c r="F145" s="8" t="e">
        <f ca="1">SUMIF(INDIRECT("'"&amp;$B145&amp;"'!$F$1:$F$999"), F$1, INDIRECT("'"&amp;$B145&amp;"'!$B$1:$B$999"))/VLOOKUP(F$1, Table1[#All],2, FALSE)</f>
        <v>#REF!</v>
      </c>
      <c r="G145" s="8" t="e">
        <f ca="1">SUMIF(INDIRECT("'"&amp;$B145&amp;"'!$F$1:$F$999"), G$1, INDIRECT("'"&amp;$B145&amp;"'!$B$1:$B$999"))/VLOOKUP(G$1, Table1[#All],2, FALSE)</f>
        <v>#REF!</v>
      </c>
      <c r="H145" s="8" t="e">
        <f ca="1">SUMIF(INDIRECT("'"&amp;$B145&amp;"'!$F$1:$F$999"), H$1, INDIRECT("'"&amp;$B145&amp;"'!$B$1:$B$999"))/VLOOKUP(H$1, Table1[#All],2, FALSE)</f>
        <v>#REF!</v>
      </c>
      <c r="I145" s="8" t="e">
        <f ca="1">SUMIF(INDIRECT("'"&amp;$B145&amp;"'!$F$1:$F$999"), I$1, INDIRECT("'"&amp;$B145&amp;"'!$B$1:$B$999"))/VLOOKUP(I$1, Table1[#All],2, FALSE)</f>
        <v>#REF!</v>
      </c>
      <c r="J145" s="8" t="e">
        <f ca="1">SUMIF(INDIRECT("'"&amp;$B145&amp;"'!$F$1:$F$999"), J$1, INDIRECT("'"&amp;$B145&amp;"'!$B$1:$B$999"))/VLOOKUP(J$1, Table1[#All],2, FALSE)</f>
        <v>#REF!</v>
      </c>
      <c r="K145" s="8" t="e">
        <f ca="1">SUMIF(INDIRECT("'"&amp;$B145&amp;"'!$F$1:$F$999"), K$1, INDIRECT("'"&amp;$B145&amp;"'!$B$1:$B$999"))/VLOOKUP(K$1, Table1[#All],2, FALSE)</f>
        <v>#REF!</v>
      </c>
      <c r="L145" s="8" t="e">
        <f ca="1">SUMIF(INDIRECT("'"&amp;$B145&amp;"'!$F$1:$F$999"), L$1, INDIRECT("'"&amp;$B145&amp;"'!$B$1:$B$999"))/VLOOKUP(L$1, Table1[#All],2, FALSE)</f>
        <v>#REF!</v>
      </c>
      <c r="M145" s="8" t="e">
        <f ca="1">SUMIF(INDIRECT("'"&amp;$B145&amp;"'!$F$1:$F$999"), M$1, INDIRECT("'"&amp;$B145&amp;"'!$B$1:$B$999"))/VLOOKUP(M$1, Table1[#All],2, FALSE)</f>
        <v>#REF!</v>
      </c>
      <c r="N145" s="8" t="e">
        <f ca="1">SUMIF(INDIRECT("'"&amp;$B145&amp;"'!$F$1:$F$999"), N$1, INDIRECT("'"&amp;$B145&amp;"'!$B$1:$B$999"))/VLOOKUP(N$1, Table1[#All],2, FALSE)</f>
        <v>#REF!</v>
      </c>
      <c r="O145" s="8" t="e">
        <f ca="1">SUMIF(INDIRECT("'"&amp;$B145&amp;"'!$F$1:$F$999"), O$1, INDIRECT("'"&amp;$B145&amp;"'!$B$1:$B$999"))/VLOOKUP(O$1, Table1[#All],2, FALSE)</f>
        <v>#REF!</v>
      </c>
      <c r="P145" s="8" t="e">
        <f ca="1">SUMIF(INDIRECT("'"&amp;$B145&amp;"'!$F$1:$F$999"), P$1, INDIRECT("'"&amp;$B145&amp;"'!$B$1:$B$999"))/VLOOKUP(P$1, Table1[#All],2, FALSE)</f>
        <v>#REF!</v>
      </c>
      <c r="Q145" s="8" t="e">
        <f ca="1">SUMIF(INDIRECT("'"&amp;$B145&amp;"'!$F$1:$F$999"), Q$1, INDIRECT("'"&amp;$B145&amp;"'!$B$1:$B$999"))/VLOOKUP(Q$1, Table1[#All],2, FALSE)</f>
        <v>#REF!</v>
      </c>
      <c r="R145" s="8" t="e">
        <f ca="1">SUMIF(INDIRECT("'"&amp;$B145&amp;"'!$F$1:$F$999"), R$1, INDIRECT("'"&amp;$B145&amp;"'!$B$1:$B$999"))/VLOOKUP(R$1, Table1[#All],2, FALSE)</f>
        <v>#REF!</v>
      </c>
      <c r="S145" s="8" t="e">
        <f ca="1">SUMIF(INDIRECT("'"&amp;$B145&amp;"'!$F$1:$F$999"), S$1, INDIRECT("'"&amp;$B145&amp;"'!$B$1:$B$999"))/VLOOKUP(S$1, Table1[#All],2, FALSE)</f>
        <v>#REF!</v>
      </c>
      <c r="T145" s="9" t="e">
        <f t="shared" ca="1" si="10"/>
        <v>#REF!</v>
      </c>
    </row>
    <row r="146" spans="1:20" x14ac:dyDescent="0.25">
      <c r="A146" s="13">
        <f t="shared" si="9"/>
        <v>47818</v>
      </c>
      <c r="B146" s="12" t="str">
        <f t="shared" si="8"/>
        <v>December 2030</v>
      </c>
      <c r="C146" s="8" t="e">
        <f ca="1">SUMIF(INDIRECT("'"&amp;$B146&amp;"'!$F$1:$F$999"), C$1, INDIRECT("'"&amp;$B146&amp;"'!$B$1:$B$999"))/VLOOKUP(C$1, Table1[#All],2, FALSE)</f>
        <v>#REF!</v>
      </c>
      <c r="D146" s="8" t="e">
        <f ca="1">SUMIF(INDIRECT("'"&amp;$B146&amp;"'!$F$1:$F$999"), D$1, INDIRECT("'"&amp;$B146&amp;"'!$B$1:$B$999"))/VLOOKUP(D$1, Table1[#All],2, FALSE)</f>
        <v>#REF!</v>
      </c>
      <c r="E146" s="8" t="e">
        <f ca="1">SUMIF(INDIRECT("'"&amp;$B146&amp;"'!$F$1:$F$999"), E$1, INDIRECT("'"&amp;$B146&amp;"'!$B$1:$B$999"))/VLOOKUP(E$1, Table1[#All],2, FALSE)</f>
        <v>#REF!</v>
      </c>
      <c r="F146" s="8" t="e">
        <f ca="1">SUMIF(INDIRECT("'"&amp;$B146&amp;"'!$F$1:$F$999"), F$1, INDIRECT("'"&amp;$B146&amp;"'!$B$1:$B$999"))/VLOOKUP(F$1, Table1[#All],2, FALSE)</f>
        <v>#REF!</v>
      </c>
      <c r="G146" s="8" t="e">
        <f ca="1">SUMIF(INDIRECT("'"&amp;$B146&amp;"'!$F$1:$F$999"), G$1, INDIRECT("'"&amp;$B146&amp;"'!$B$1:$B$999"))/VLOOKUP(G$1, Table1[#All],2, FALSE)</f>
        <v>#REF!</v>
      </c>
      <c r="H146" s="8" t="e">
        <f ca="1">SUMIF(INDIRECT("'"&amp;$B146&amp;"'!$F$1:$F$999"), H$1, INDIRECT("'"&amp;$B146&amp;"'!$B$1:$B$999"))/VLOOKUP(H$1, Table1[#All],2, FALSE)</f>
        <v>#REF!</v>
      </c>
      <c r="I146" s="8" t="e">
        <f ca="1">SUMIF(INDIRECT("'"&amp;$B146&amp;"'!$F$1:$F$999"), I$1, INDIRECT("'"&amp;$B146&amp;"'!$B$1:$B$999"))/VLOOKUP(I$1, Table1[#All],2, FALSE)</f>
        <v>#REF!</v>
      </c>
      <c r="J146" s="8" t="e">
        <f ca="1">SUMIF(INDIRECT("'"&amp;$B146&amp;"'!$F$1:$F$999"), J$1, INDIRECT("'"&amp;$B146&amp;"'!$B$1:$B$999"))/VLOOKUP(J$1, Table1[#All],2, FALSE)</f>
        <v>#REF!</v>
      </c>
      <c r="K146" s="8" t="e">
        <f ca="1">SUMIF(INDIRECT("'"&amp;$B146&amp;"'!$F$1:$F$999"), K$1, INDIRECT("'"&amp;$B146&amp;"'!$B$1:$B$999"))/VLOOKUP(K$1, Table1[#All],2, FALSE)</f>
        <v>#REF!</v>
      </c>
      <c r="L146" s="8" t="e">
        <f ca="1">SUMIF(INDIRECT("'"&amp;$B146&amp;"'!$F$1:$F$999"), L$1, INDIRECT("'"&amp;$B146&amp;"'!$B$1:$B$999"))/VLOOKUP(L$1, Table1[#All],2, FALSE)</f>
        <v>#REF!</v>
      </c>
      <c r="M146" s="8" t="e">
        <f ca="1">SUMIF(INDIRECT("'"&amp;$B146&amp;"'!$F$1:$F$999"), M$1, INDIRECT("'"&amp;$B146&amp;"'!$B$1:$B$999"))/VLOOKUP(M$1, Table1[#All],2, FALSE)</f>
        <v>#REF!</v>
      </c>
      <c r="N146" s="8" t="e">
        <f ca="1">SUMIF(INDIRECT("'"&amp;$B146&amp;"'!$F$1:$F$999"), N$1, INDIRECT("'"&amp;$B146&amp;"'!$B$1:$B$999"))/VLOOKUP(N$1, Table1[#All],2, FALSE)</f>
        <v>#REF!</v>
      </c>
      <c r="O146" s="8" t="e">
        <f ca="1">SUMIF(INDIRECT("'"&amp;$B146&amp;"'!$F$1:$F$999"), O$1, INDIRECT("'"&amp;$B146&amp;"'!$B$1:$B$999"))/VLOOKUP(O$1, Table1[#All],2, FALSE)</f>
        <v>#REF!</v>
      </c>
      <c r="P146" s="8" t="e">
        <f ca="1">SUMIF(INDIRECT("'"&amp;$B146&amp;"'!$F$1:$F$999"), P$1, INDIRECT("'"&amp;$B146&amp;"'!$B$1:$B$999"))/VLOOKUP(P$1, Table1[#All],2, FALSE)</f>
        <v>#REF!</v>
      </c>
      <c r="Q146" s="8" t="e">
        <f ca="1">SUMIF(INDIRECT("'"&amp;$B146&amp;"'!$F$1:$F$999"), Q$1, INDIRECT("'"&amp;$B146&amp;"'!$B$1:$B$999"))/VLOOKUP(Q$1, Table1[#All],2, FALSE)</f>
        <v>#REF!</v>
      </c>
      <c r="R146" s="8" t="e">
        <f ca="1">SUMIF(INDIRECT("'"&amp;$B146&amp;"'!$F$1:$F$999"), R$1, INDIRECT("'"&amp;$B146&amp;"'!$B$1:$B$999"))/VLOOKUP(R$1, Table1[#All],2, FALSE)</f>
        <v>#REF!</v>
      </c>
      <c r="S146" s="8" t="e">
        <f ca="1">SUMIF(INDIRECT("'"&amp;$B146&amp;"'!$F$1:$F$999"), S$1, INDIRECT("'"&amp;$B146&amp;"'!$B$1:$B$999"))/VLOOKUP(S$1, Table1[#All],2, FALSE)</f>
        <v>#REF!</v>
      </c>
      <c r="T146" s="9" t="e">
        <f t="shared" ca="1" si="10"/>
        <v>#REF!</v>
      </c>
    </row>
  </sheetData>
  <conditionalFormatting sqref="C3:S146">
    <cfRule type="colorScale" priority="2">
      <colorScale>
        <cfvo type="num" val="-4"/>
        <cfvo type="num" val="-1"/>
        <cfvo type="num" val="0"/>
        <color rgb="FFED2938"/>
        <color rgb="FF3BCA6D"/>
        <color rgb="FF00FF7F"/>
      </colorScale>
    </cfRule>
  </conditionalFormatting>
  <conditionalFormatting sqref="T1:T1048576">
    <cfRule type="colorScale" priority="1">
      <colorScale>
        <cfvo type="num" val="-3000"/>
        <cfvo type="num" val="0"/>
        <cfvo type="num" val="3000"/>
        <color rgb="FFFF0000"/>
        <color theme="0"/>
        <color rgb="FF00B050"/>
      </colorScale>
    </cfRule>
  </conditionalFormatting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Y125" sqref="Y125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575"/>
  <sheetViews>
    <sheetView tabSelected="1" topLeftCell="A263" workbookViewId="0">
      <selection activeCell="G282" sqref="G282"/>
    </sheetView>
  </sheetViews>
  <sheetFormatPr defaultRowHeight="15" x14ac:dyDescent="0.25"/>
  <cols>
    <col min="1" max="1" width="47.28515625" customWidth="1"/>
    <col min="2" max="2" width="14" bestFit="1" customWidth="1"/>
  </cols>
  <sheetData>
    <row r="1" spans="1:2" s="1" customFormat="1" x14ac:dyDescent="0.25">
      <c r="A1" s="1" t="s">
        <v>9</v>
      </c>
      <c r="B1" s="1" t="s">
        <v>0</v>
      </c>
    </row>
    <row r="2" spans="1:2" x14ac:dyDescent="0.25">
      <c r="A2" t="str">
        <f>'[1]July 2020'!$E$1</f>
        <v>SOBEYS LIQUOR #5053      SASKA</v>
      </c>
      <c r="B2" t="s">
        <v>3</v>
      </c>
    </row>
    <row r="3" spans="1:2" x14ac:dyDescent="0.25">
      <c r="A3" t="s">
        <v>8</v>
      </c>
      <c r="B3" t="s">
        <v>3</v>
      </c>
    </row>
    <row r="4" spans="1:2" x14ac:dyDescent="0.25">
      <c r="A4" t="str">
        <f>'[1]July 2020'!E3</f>
        <v>SED Systems, a division of CPT</v>
      </c>
      <c r="B4" t="s">
        <v>1</v>
      </c>
    </row>
    <row r="5" spans="1:2" x14ac:dyDescent="0.25">
      <c r="A5" t="str">
        <f>'[1]July 2020'!E4</f>
        <v>SUPER CENTER #5878       SASKA</v>
      </c>
      <c r="B5" t="s">
        <v>3</v>
      </c>
    </row>
    <row r="6" spans="1:2" x14ac:dyDescent="0.25">
      <c r="A6" t="str">
        <f>'[1]July 2020'!E5</f>
        <v>WAL-MART #5878           SASKA</v>
      </c>
      <c r="B6" t="s">
        <v>3</v>
      </c>
    </row>
    <row r="7" spans="1:2" x14ac:dyDescent="0.25">
      <c r="A7" t="str">
        <f>'[1]July 2020'!E6</f>
        <v>HOMESENSE 082            SASKA</v>
      </c>
      <c r="B7" t="s">
        <v>2</v>
      </c>
    </row>
    <row r="8" spans="1:2" x14ac:dyDescent="0.25">
      <c r="A8" t="str">
        <f>'[1]July 2020'!E7</f>
        <v>SHELL C81152             SASKA</v>
      </c>
      <c r="B8" t="s">
        <v>7</v>
      </c>
    </row>
    <row r="9" spans="1:2" x14ac:dyDescent="0.25">
      <c r="A9" t="str">
        <f>'[1]July 2020'!E8</f>
        <v>SQ *STREET TREATS ICE    Lumsd</v>
      </c>
      <c r="B9" t="s">
        <v>3</v>
      </c>
    </row>
    <row r="10" spans="1:2" x14ac:dyDescent="0.25">
      <c r="A10" t="str">
        <f>'[1]July 2020'!E9</f>
        <v>PETRO-CANADA             SASKA</v>
      </c>
      <c r="B10" t="s">
        <v>7</v>
      </c>
    </row>
    <row r="11" spans="1:2" x14ac:dyDescent="0.25">
      <c r="A11" t="str">
        <f>'[1]July 2020'!E10</f>
        <v>REAL CDN SUPERSTORE #1   SASKA</v>
      </c>
      <c r="B11" t="s">
        <v>3</v>
      </c>
    </row>
    <row r="12" spans="1:2" x14ac:dyDescent="0.25">
      <c r="A12" t="str">
        <f>'[1]July 2020'!E11</f>
        <v>SHELL C81152             SASKA</v>
      </c>
      <c r="B12" t="s">
        <v>7</v>
      </c>
    </row>
    <row r="13" spans="1:2" x14ac:dyDescent="0.25">
      <c r="A13" t="str">
        <f>'[1]July 2020'!E12</f>
        <v>KEO'S KITCHEN            SASKA</v>
      </c>
      <c r="B13" t="s">
        <v>3</v>
      </c>
    </row>
    <row r="14" spans="1:2" x14ac:dyDescent="0.25">
      <c r="A14" t="str">
        <f>'[1]July 2020'!E13</f>
        <v>PETRO-CANADA             REGIN</v>
      </c>
      <c r="B14" t="s">
        <v>7</v>
      </c>
    </row>
    <row r="15" spans="1:2" x14ac:dyDescent="0.25">
      <c r="A15" t="str">
        <f>'[1]July 2020'!E14</f>
        <v>PRAIRIE DONAIR           REGIN</v>
      </c>
      <c r="B15" t="s">
        <v>3</v>
      </c>
    </row>
    <row r="16" spans="1:2" x14ac:dyDescent="0.25">
      <c r="A16" t="str">
        <f>'[1]July 2020'!E15</f>
        <v xml:space="preserve">SASKTEL PAYROLL DME          </v>
      </c>
      <c r="B16" t="s">
        <v>1</v>
      </c>
    </row>
    <row r="17" spans="1:2" x14ac:dyDescent="0.25">
      <c r="A17" t="str">
        <f>'[1]July 2020'!E16</f>
        <v>WENDY'S RESTAURANT       REGIN</v>
      </c>
      <c r="B17" t="s">
        <v>3</v>
      </c>
    </row>
    <row r="18" spans="1:2" x14ac:dyDescent="0.25">
      <c r="A18" t="str">
        <f>'[1]July 2020'!E17</f>
        <v>A &amp; W REGINA - AVONHUR   REGIN</v>
      </c>
      <c r="B18" t="s">
        <v>3</v>
      </c>
    </row>
    <row r="19" spans="1:2" x14ac:dyDescent="0.25">
      <c r="A19" t="str">
        <f>'[1]July 2020'!E18</f>
        <v>DQ GRILL &amp; CHILL #2732   REGIN</v>
      </c>
      <c r="B19" t="s">
        <v>3</v>
      </c>
    </row>
    <row r="20" spans="1:2" x14ac:dyDescent="0.25">
      <c r="A20" t="str">
        <f>'[1]July 2020'!E19</f>
        <v>SHELL C11988             SASKA</v>
      </c>
      <c r="B20" t="s">
        <v>7</v>
      </c>
    </row>
    <row r="21" spans="1:2" x14ac:dyDescent="0.25">
      <c r="A21" t="str">
        <f>'[1]July 2020'!E20</f>
        <v>A&amp;W STORE 2285           SASKA</v>
      </c>
      <c r="B21" t="s">
        <v>3</v>
      </c>
    </row>
    <row r="22" spans="1:2" x14ac:dyDescent="0.25">
      <c r="A22" t="str">
        <f>'[1]July 2020'!E21</f>
        <v>TIM HORTONS #1156        REGIN</v>
      </c>
      <c r="B22" t="s">
        <v>3</v>
      </c>
    </row>
    <row r="23" spans="1:2" x14ac:dyDescent="0.25">
      <c r="A23" t="str">
        <f>'[1]July 2020'!E22</f>
        <v>PETRO-CANADA             REGIN</v>
      </c>
      <c r="B23" t="s">
        <v>7</v>
      </c>
    </row>
    <row r="24" spans="1:2" x14ac:dyDescent="0.25">
      <c r="A24" t="str">
        <f>'[1]July 2020'!E23</f>
        <v>DQ GRILL &amp; CHILL #2732   REGIN</v>
      </c>
      <c r="B24" t="s">
        <v>3</v>
      </c>
    </row>
    <row r="25" spans="1:2" x14ac:dyDescent="0.25">
      <c r="A25" t="str">
        <f>'[1]July 2020'!E24</f>
        <v>WENDY'S RESTAURANT       REGIN</v>
      </c>
      <c r="B25" t="s">
        <v>3</v>
      </c>
    </row>
    <row r="26" spans="1:2" x14ac:dyDescent="0.25">
      <c r="A26" t="str">
        <f>'[1]July 2020'!E25</f>
        <v>MB-DEP</v>
      </c>
      <c r="B26" t="s">
        <v>11</v>
      </c>
    </row>
    <row r="27" spans="1:2" x14ac:dyDescent="0.25">
      <c r="A27" t="str">
        <f>'[1]July 2020'!E26</f>
        <v>MB-CREDIT CARD/LOC PAY.</v>
      </c>
      <c r="B27" t="s">
        <v>11</v>
      </c>
    </row>
    <row r="28" spans="1:2" x14ac:dyDescent="0.25">
      <c r="A28" t="str">
        <f>'[1]July 2020'!E27</f>
        <v>TIM HORTONS #1156        REGIN</v>
      </c>
      <c r="B28" t="s">
        <v>3</v>
      </c>
    </row>
    <row r="29" spans="1:2" x14ac:dyDescent="0.25">
      <c r="A29" t="str">
        <f>'[1]July 2020'!E28</f>
        <v>AFFINITY INSURANCE SER   REGIN</v>
      </c>
      <c r="B29" t="s">
        <v>7</v>
      </c>
    </row>
    <row r="30" spans="1:2" x14ac:dyDescent="0.25">
      <c r="A30" t="str">
        <f>'[1]July 2020'!E29</f>
        <v>THE FAT BADGER           REGIN</v>
      </c>
      <c r="B30" t="s">
        <v>3</v>
      </c>
    </row>
    <row r="31" spans="1:2" x14ac:dyDescent="0.25">
      <c r="A31" t="str">
        <f>'[1]July 2020'!E30</f>
        <v>A &amp; W REGINA - CORNWAL   REGIN</v>
      </c>
      <c r="B31" t="s">
        <v>3</v>
      </c>
    </row>
    <row r="32" spans="1:2" x14ac:dyDescent="0.25">
      <c r="A32" t="str">
        <f>'[1]July 2020'!E31</f>
        <v>BOSTON PIZZA # 210       REGIN</v>
      </c>
      <c r="B32" t="s">
        <v>3</v>
      </c>
    </row>
    <row r="33" spans="1:2" x14ac:dyDescent="0.25">
      <c r="A33" t="str">
        <f>'[1]July 2020'!E32</f>
        <v>FRESHII - REGINA         REGIN</v>
      </c>
      <c r="B33" t="s">
        <v>3</v>
      </c>
    </row>
    <row r="34" spans="1:2" x14ac:dyDescent="0.25">
      <c r="A34" t="str">
        <f>'[1]July 2020'!E33</f>
        <v>TANGERINE: THE FOOD BAR  REGIN</v>
      </c>
      <c r="B34" t="s">
        <v>3</v>
      </c>
    </row>
    <row r="35" spans="1:2" x14ac:dyDescent="0.25">
      <c r="A35" t="str">
        <f>'[1]July 2020'!E34</f>
        <v>TIM HORTONS #3282        REGIN</v>
      </c>
      <c r="B35" t="s">
        <v>3</v>
      </c>
    </row>
    <row r="36" spans="1:2" x14ac:dyDescent="0.25">
      <c r="A36" t="str">
        <f>'[1]July 2020'!E35</f>
        <v>A &amp; W REGINA - CORNWAL   REGIN</v>
      </c>
      <c r="B36" t="s">
        <v>3</v>
      </c>
    </row>
    <row r="37" spans="1:2" x14ac:dyDescent="0.25">
      <c r="A37" t="str">
        <f>'[1]July 2020'!E36</f>
        <v>DAIRY QUEEN #27215       REGIN</v>
      </c>
      <c r="B37" t="s">
        <v>3</v>
      </c>
    </row>
    <row r="38" spans="1:2" x14ac:dyDescent="0.25">
      <c r="A38" t="str">
        <f>'[1]July 2020'!E37</f>
        <v>SUBWAY # 33065           REGIN</v>
      </c>
      <c r="B38" t="s">
        <v>3</v>
      </c>
    </row>
    <row r="39" spans="1:2" x14ac:dyDescent="0.25">
      <c r="A39" t="str">
        <f>'[1]July 2020'!E38</f>
        <v>A &amp; W REGINA - CORNWAL   REGIN</v>
      </c>
      <c r="B39" t="s">
        <v>3</v>
      </c>
    </row>
    <row r="40" spans="1:2" x14ac:dyDescent="0.25">
      <c r="A40" t="str">
        <f>'[1]July 2020'!E39</f>
        <v>CANADIAN TIRE #275       REGIN</v>
      </c>
      <c r="B40" t="s">
        <v>7</v>
      </c>
    </row>
    <row r="41" spans="1:2" x14ac:dyDescent="0.25">
      <c r="A41" t="str">
        <f>'[1]July 2020'!E40</f>
        <v>SHELL C81152             SASKA</v>
      </c>
      <c r="B41" t="s">
        <v>7</v>
      </c>
    </row>
    <row r="42" spans="1:2" x14ac:dyDescent="0.25">
      <c r="A42" t="str">
        <f>'[1]July 2020'!E41</f>
        <v>STARBUCKS #04496#        SASKA</v>
      </c>
      <c r="B42" t="s">
        <v>3</v>
      </c>
    </row>
    <row r="43" spans="1:2" x14ac:dyDescent="0.25">
      <c r="A43" t="str">
        <f>'[1]July 2020'!E42</f>
        <v>EARLS SASKATOON          SASKA</v>
      </c>
      <c r="B43" t="s">
        <v>3</v>
      </c>
    </row>
    <row r="44" spans="1:2" x14ac:dyDescent="0.25">
      <c r="A44" t="str">
        <f>'[1]July 2020'!E43</f>
        <v>TIM HORTONS #5868        SASKA</v>
      </c>
      <c r="B44" t="s">
        <v>3</v>
      </c>
    </row>
    <row r="45" spans="1:2" x14ac:dyDescent="0.25">
      <c r="A45" t="str">
        <f>'[1]July 2020'!E44</f>
        <v>SUBWAY # 33065           REGIN</v>
      </c>
      <c r="B45" t="s">
        <v>3</v>
      </c>
    </row>
    <row r="46" spans="1:2" x14ac:dyDescent="0.25">
      <c r="A46" t="str">
        <f>'[1]July 2020'!E45</f>
        <v>TIM HORTONS #3282        REGIN</v>
      </c>
      <c r="B46" t="s">
        <v>3</v>
      </c>
    </row>
    <row r="47" spans="1:2" x14ac:dyDescent="0.25">
      <c r="A47" t="str">
        <f>'[1]July 2020'!E46</f>
        <v xml:space="preserve">SASKTEL PAYROLL DME          </v>
      </c>
      <c r="B47" t="s">
        <v>1</v>
      </c>
    </row>
    <row r="48" spans="1:2" x14ac:dyDescent="0.25">
      <c r="A48" t="str">
        <f>'[1]July 2020'!E47</f>
        <v>KUNG PAO WOK             REGIN</v>
      </c>
      <c r="B48" t="s">
        <v>3</v>
      </c>
    </row>
    <row r="49" spans="1:2" x14ac:dyDescent="0.25">
      <c r="A49" t="str">
        <f>'[1]July 2020'!E48</f>
        <v>A &amp; W REGINA - CORNWAL   REGIN</v>
      </c>
      <c r="B49" t="s">
        <v>3</v>
      </c>
    </row>
    <row r="50" spans="1:2" x14ac:dyDescent="0.25">
      <c r="A50" t="str">
        <f>'[1]July 2020'!E49</f>
        <v>REGINA POLICE 1          REGIN</v>
      </c>
      <c r="B50" t="s">
        <v>1</v>
      </c>
    </row>
    <row r="51" spans="1:2" x14ac:dyDescent="0.25">
      <c r="A51" t="str">
        <f>'[1]July 2020'!E50</f>
        <v>OPOS SASKTEL WIRELESS RECREGIN</v>
      </c>
      <c r="B51" t="s">
        <v>258</v>
      </c>
    </row>
    <row r="52" spans="1:2" x14ac:dyDescent="0.25">
      <c r="A52" t="str">
        <f>'[1]July 2020'!E51</f>
        <v>NEW YORK FRIES #3272     REGIN</v>
      </c>
      <c r="B52" t="s">
        <v>3</v>
      </c>
    </row>
    <row r="53" spans="1:2" x14ac:dyDescent="0.25">
      <c r="A53" t="str">
        <f>'[1]July 2020'!E52</f>
        <v>WENDY'S RESTAURANT       REGIN</v>
      </c>
      <c r="B53" t="s">
        <v>3</v>
      </c>
    </row>
    <row r="54" spans="1:2" x14ac:dyDescent="0.25">
      <c r="A54" t="str">
        <f>'[1]July 2020'!E53</f>
        <v>WENDY'S RESTAURANT       REGIN</v>
      </c>
      <c r="B54" t="s">
        <v>3</v>
      </c>
    </row>
    <row r="55" spans="1:2" x14ac:dyDescent="0.25">
      <c r="A55" t="str">
        <f>'[1]July 2020'!E54</f>
        <v>OPOS MICROSOFT*STORE     MSBIL</v>
      </c>
      <c r="B55" t="s">
        <v>5</v>
      </c>
    </row>
    <row r="56" spans="1:2" x14ac:dyDescent="0.25">
      <c r="A56" t="str">
        <f>'[1]July 2020'!E55</f>
        <v>SUBWAY # 33065           REGIN</v>
      </c>
      <c r="B56" t="s">
        <v>3</v>
      </c>
    </row>
    <row r="57" spans="1:2" x14ac:dyDescent="0.25">
      <c r="A57" t="str">
        <f>'[1]July 2020'!E56</f>
        <v>OPOS 9.15 Amazon web servaws.a</v>
      </c>
      <c r="B57" t="s">
        <v>5</v>
      </c>
    </row>
    <row r="58" spans="1:2" x14ac:dyDescent="0.25">
      <c r="A58" t="str">
        <f>'[1]July 2020'!E57</f>
        <v>A &amp; W REGINA - CORNWAL   REGIN</v>
      </c>
      <c r="B58" t="s">
        <v>3</v>
      </c>
    </row>
    <row r="59" spans="1:2" x14ac:dyDescent="0.25">
      <c r="A59" t="str">
        <f>'[1]July 2020'!E58</f>
        <v>OPOS STASEON KLEIN APPLICREGIN</v>
      </c>
      <c r="B59" t="s">
        <v>3</v>
      </c>
    </row>
    <row r="60" spans="1:2" x14ac:dyDescent="0.25">
      <c r="A60" t="s">
        <v>12</v>
      </c>
      <c r="B60" t="s">
        <v>3</v>
      </c>
    </row>
    <row r="61" spans="1:2" x14ac:dyDescent="0.25">
      <c r="A61" t="s">
        <v>13</v>
      </c>
      <c r="B61" t="s">
        <v>3</v>
      </c>
    </row>
    <row r="62" spans="1:2" x14ac:dyDescent="0.25">
      <c r="A62" t="s">
        <v>14</v>
      </c>
      <c r="B62" t="s">
        <v>7</v>
      </c>
    </row>
    <row r="63" spans="1:2" x14ac:dyDescent="0.25">
      <c r="A63" t="s">
        <v>15</v>
      </c>
      <c r="B63" t="s">
        <v>3</v>
      </c>
    </row>
    <row r="64" spans="1:2" x14ac:dyDescent="0.25">
      <c r="A64" t="s">
        <v>16</v>
      </c>
      <c r="B64" t="s">
        <v>45</v>
      </c>
    </row>
    <row r="65" spans="1:2" x14ac:dyDescent="0.25">
      <c r="A65" t="s">
        <v>17</v>
      </c>
      <c r="B65" t="s">
        <v>3</v>
      </c>
    </row>
    <row r="66" spans="1:2" x14ac:dyDescent="0.25">
      <c r="A66" t="s">
        <v>18</v>
      </c>
      <c r="B66" t="s">
        <v>45</v>
      </c>
    </row>
    <row r="67" spans="1:2" x14ac:dyDescent="0.25">
      <c r="A67" t="s">
        <v>19</v>
      </c>
      <c r="B67" t="s">
        <v>45</v>
      </c>
    </row>
    <row r="68" spans="1:2" x14ac:dyDescent="0.25">
      <c r="A68" t="s">
        <v>20</v>
      </c>
      <c r="B68" t="s">
        <v>3</v>
      </c>
    </row>
    <row r="69" spans="1:2" x14ac:dyDescent="0.25">
      <c r="A69" t="s">
        <v>21</v>
      </c>
      <c r="B69" t="s">
        <v>3</v>
      </c>
    </row>
    <row r="70" spans="1:2" x14ac:dyDescent="0.25">
      <c r="A70" t="s">
        <v>22</v>
      </c>
      <c r="B70" t="s">
        <v>5</v>
      </c>
    </row>
    <row r="71" spans="1:2" x14ac:dyDescent="0.25">
      <c r="A71" t="s">
        <v>23</v>
      </c>
      <c r="B71" t="s">
        <v>5</v>
      </c>
    </row>
    <row r="72" spans="1:2" x14ac:dyDescent="0.25">
      <c r="A72" t="s">
        <v>23</v>
      </c>
      <c r="B72" t="s">
        <v>5</v>
      </c>
    </row>
    <row r="73" spans="1:2" x14ac:dyDescent="0.25">
      <c r="A73" t="s">
        <v>24</v>
      </c>
      <c r="B73" t="s">
        <v>3</v>
      </c>
    </row>
    <row r="74" spans="1:2" x14ac:dyDescent="0.25">
      <c r="A74" t="s">
        <v>25</v>
      </c>
      <c r="B74" t="s">
        <v>3</v>
      </c>
    </row>
    <row r="75" spans="1:2" x14ac:dyDescent="0.25">
      <c r="A75" t="s">
        <v>26</v>
      </c>
      <c r="B75" t="s">
        <v>3</v>
      </c>
    </row>
    <row r="76" spans="1:2" x14ac:dyDescent="0.25">
      <c r="A76" t="s">
        <v>27</v>
      </c>
      <c r="B76" t="s">
        <v>5</v>
      </c>
    </row>
    <row r="77" spans="1:2" x14ac:dyDescent="0.25">
      <c r="A77" t="s">
        <v>28</v>
      </c>
      <c r="B77" t="s">
        <v>3</v>
      </c>
    </row>
    <row r="78" spans="1:2" x14ac:dyDescent="0.25">
      <c r="A78" t="s">
        <v>29</v>
      </c>
      <c r="B78" t="s">
        <v>5</v>
      </c>
    </row>
    <row r="79" spans="1:2" x14ac:dyDescent="0.25">
      <c r="A79" t="s">
        <v>30</v>
      </c>
      <c r="B79" t="s">
        <v>5</v>
      </c>
    </row>
    <row r="80" spans="1:2" x14ac:dyDescent="0.25">
      <c r="A80" t="s">
        <v>31</v>
      </c>
      <c r="B80" t="s">
        <v>5</v>
      </c>
    </row>
    <row r="81" spans="1:2" x14ac:dyDescent="0.25">
      <c r="A81" t="s">
        <v>31</v>
      </c>
      <c r="B81" t="s">
        <v>5</v>
      </c>
    </row>
    <row r="82" spans="1:2" x14ac:dyDescent="0.25">
      <c r="A82" t="s">
        <v>32</v>
      </c>
      <c r="B82" t="s">
        <v>3</v>
      </c>
    </row>
    <row r="83" spans="1:2" x14ac:dyDescent="0.25">
      <c r="A83" t="s">
        <v>33</v>
      </c>
      <c r="B83" t="s">
        <v>3</v>
      </c>
    </row>
    <row r="84" spans="1:2" x14ac:dyDescent="0.25">
      <c r="A84" t="s">
        <v>34</v>
      </c>
      <c r="B84" t="s">
        <v>3</v>
      </c>
    </row>
    <row r="85" spans="1:2" x14ac:dyDescent="0.25">
      <c r="A85" t="s">
        <v>35</v>
      </c>
      <c r="B85" t="s">
        <v>45</v>
      </c>
    </row>
    <row r="86" spans="1:2" x14ac:dyDescent="0.25">
      <c r="A86" t="s">
        <v>36</v>
      </c>
      <c r="B86" t="s">
        <v>3</v>
      </c>
    </row>
    <row r="87" spans="1:2" x14ac:dyDescent="0.25">
      <c r="A87" t="s">
        <v>37</v>
      </c>
      <c r="B87" t="s">
        <v>3</v>
      </c>
    </row>
    <row r="88" spans="1:2" x14ac:dyDescent="0.25">
      <c r="A88" t="s">
        <v>38</v>
      </c>
      <c r="B88" t="s">
        <v>2</v>
      </c>
    </row>
    <row r="89" spans="1:2" x14ac:dyDescent="0.25">
      <c r="A89" t="s">
        <v>39</v>
      </c>
      <c r="B89" t="s">
        <v>2</v>
      </c>
    </row>
    <row r="90" spans="1:2" x14ac:dyDescent="0.25">
      <c r="A90" t="s">
        <v>40</v>
      </c>
      <c r="B90" t="s">
        <v>5</v>
      </c>
    </row>
    <row r="91" spans="1:2" x14ac:dyDescent="0.25">
      <c r="A91" t="s">
        <v>41</v>
      </c>
      <c r="B91" t="s">
        <v>5</v>
      </c>
    </row>
    <row r="92" spans="1:2" x14ac:dyDescent="0.25">
      <c r="A92" t="s">
        <v>42</v>
      </c>
      <c r="B92" t="s">
        <v>3</v>
      </c>
    </row>
    <row r="93" spans="1:2" x14ac:dyDescent="0.25">
      <c r="A93" t="s">
        <v>43</v>
      </c>
      <c r="B93" t="s">
        <v>45</v>
      </c>
    </row>
    <row r="94" spans="1:2" x14ac:dyDescent="0.25">
      <c r="A94" t="s">
        <v>44</v>
      </c>
      <c r="B94" t="s">
        <v>2</v>
      </c>
    </row>
    <row r="95" spans="1:2" x14ac:dyDescent="0.25">
      <c r="A95" t="s">
        <v>46</v>
      </c>
      <c r="B95" t="s">
        <v>5</v>
      </c>
    </row>
    <row r="96" spans="1:2" x14ac:dyDescent="0.25">
      <c r="A96" t="s">
        <v>47</v>
      </c>
      <c r="B96" t="s">
        <v>5</v>
      </c>
    </row>
    <row r="97" spans="1:2" x14ac:dyDescent="0.25">
      <c r="A97" t="s">
        <v>48</v>
      </c>
      <c r="B97" t="s">
        <v>3</v>
      </c>
    </row>
    <row r="98" spans="1:2" x14ac:dyDescent="0.25">
      <c r="A98" t="s">
        <v>49</v>
      </c>
      <c r="B98" t="s">
        <v>5</v>
      </c>
    </row>
    <row r="99" spans="1:2" x14ac:dyDescent="0.25">
      <c r="A99" t="s">
        <v>50</v>
      </c>
      <c r="B99" t="s">
        <v>5</v>
      </c>
    </row>
    <row r="100" spans="1:2" x14ac:dyDescent="0.25">
      <c r="A100" t="s">
        <v>51</v>
      </c>
      <c r="B100" t="s">
        <v>2</v>
      </c>
    </row>
    <row r="101" spans="1:2" x14ac:dyDescent="0.25">
      <c r="A101" t="s">
        <v>52</v>
      </c>
      <c r="B101" t="s">
        <v>5</v>
      </c>
    </row>
    <row r="102" spans="1:2" x14ac:dyDescent="0.25">
      <c r="A102" t="s">
        <v>54</v>
      </c>
      <c r="B102" t="s">
        <v>5</v>
      </c>
    </row>
    <row r="103" spans="1:2" x14ac:dyDescent="0.25">
      <c r="A103" t="s">
        <v>53</v>
      </c>
      <c r="B103" t="s">
        <v>6</v>
      </c>
    </row>
    <row r="104" spans="1:2" x14ac:dyDescent="0.25">
      <c r="A104" t="s">
        <v>55</v>
      </c>
      <c r="B104" t="s">
        <v>3</v>
      </c>
    </row>
    <row r="105" spans="1:2" x14ac:dyDescent="0.25">
      <c r="A105" t="s">
        <v>56</v>
      </c>
      <c r="B105" t="s">
        <v>5</v>
      </c>
    </row>
    <row r="106" spans="1:2" x14ac:dyDescent="0.25">
      <c r="A106" t="s">
        <v>57</v>
      </c>
      <c r="B106" t="s">
        <v>3</v>
      </c>
    </row>
    <row r="107" spans="1:2" x14ac:dyDescent="0.25">
      <c r="A107" t="s">
        <v>58</v>
      </c>
      <c r="B107" t="s">
        <v>45</v>
      </c>
    </row>
    <row r="108" spans="1:2" x14ac:dyDescent="0.25">
      <c r="A108" t="s">
        <v>59</v>
      </c>
      <c r="B108" t="s">
        <v>5</v>
      </c>
    </row>
    <row r="109" spans="1:2" x14ac:dyDescent="0.25">
      <c r="A109" t="s">
        <v>60</v>
      </c>
      <c r="B109" t="s">
        <v>45</v>
      </c>
    </row>
    <row r="110" spans="1:2" x14ac:dyDescent="0.25">
      <c r="A110" t="s">
        <v>61</v>
      </c>
      <c r="B110" t="s">
        <v>45</v>
      </c>
    </row>
    <row r="111" spans="1:2" x14ac:dyDescent="0.25">
      <c r="A111" t="s">
        <v>62</v>
      </c>
      <c r="B111" t="s">
        <v>5</v>
      </c>
    </row>
    <row r="112" spans="1:2" x14ac:dyDescent="0.25">
      <c r="A112" t="s">
        <v>64</v>
      </c>
      <c r="B112" t="s">
        <v>5</v>
      </c>
    </row>
    <row r="113" spans="1:2" x14ac:dyDescent="0.25">
      <c r="A113" t="s">
        <v>65</v>
      </c>
      <c r="B113" t="s">
        <v>7</v>
      </c>
    </row>
    <row r="114" spans="1:2" x14ac:dyDescent="0.25">
      <c r="A114" t="s">
        <v>66</v>
      </c>
      <c r="B114" t="s">
        <v>7</v>
      </c>
    </row>
    <row r="115" spans="1:2" x14ac:dyDescent="0.25">
      <c r="A115" t="s">
        <v>67</v>
      </c>
      <c r="B115" t="s">
        <v>11</v>
      </c>
    </row>
    <row r="116" spans="1:2" x14ac:dyDescent="0.25">
      <c r="A116" t="s">
        <v>68</v>
      </c>
      <c r="B116" t="s">
        <v>5</v>
      </c>
    </row>
    <row r="117" spans="1:2" x14ac:dyDescent="0.25">
      <c r="A117" t="s">
        <v>69</v>
      </c>
      <c r="B117" t="s">
        <v>3</v>
      </c>
    </row>
    <row r="118" spans="1:2" x14ac:dyDescent="0.25">
      <c r="A118" t="s">
        <v>70</v>
      </c>
      <c r="B118" t="s">
        <v>2</v>
      </c>
    </row>
    <row r="119" spans="1:2" x14ac:dyDescent="0.25">
      <c r="A119" t="s">
        <v>71</v>
      </c>
      <c r="B119" t="s">
        <v>6</v>
      </c>
    </row>
    <row r="120" spans="1:2" x14ac:dyDescent="0.25">
      <c r="A120" t="s">
        <v>72</v>
      </c>
      <c r="B120" t="s">
        <v>5</v>
      </c>
    </row>
    <row r="121" spans="1:2" x14ac:dyDescent="0.25">
      <c r="A121" t="s">
        <v>73</v>
      </c>
      <c r="B121" t="s">
        <v>3</v>
      </c>
    </row>
    <row r="122" spans="1:2" x14ac:dyDescent="0.25">
      <c r="A122" t="s">
        <v>74</v>
      </c>
      <c r="B122" t="s">
        <v>5</v>
      </c>
    </row>
    <row r="123" spans="1:2" x14ac:dyDescent="0.25">
      <c r="A123" t="s">
        <v>75</v>
      </c>
      <c r="B123" t="s">
        <v>7</v>
      </c>
    </row>
    <row r="124" spans="1:2" x14ac:dyDescent="0.25">
      <c r="A124" t="s">
        <v>76</v>
      </c>
      <c r="B124" t="s">
        <v>3</v>
      </c>
    </row>
    <row r="125" spans="1:2" x14ac:dyDescent="0.25">
      <c r="A125" t="s">
        <v>77</v>
      </c>
      <c r="B125" t="s">
        <v>45</v>
      </c>
    </row>
    <row r="126" spans="1:2" x14ac:dyDescent="0.25">
      <c r="A126" t="s">
        <v>78</v>
      </c>
      <c r="B126" t="s">
        <v>5</v>
      </c>
    </row>
    <row r="127" spans="1:2" x14ac:dyDescent="0.25">
      <c r="A127" t="s">
        <v>79</v>
      </c>
      <c r="B127" t="s">
        <v>45</v>
      </c>
    </row>
    <row r="128" spans="1:2" x14ac:dyDescent="0.25">
      <c r="A128" t="s">
        <v>80</v>
      </c>
      <c r="B128" t="s">
        <v>45</v>
      </c>
    </row>
    <row r="129" spans="1:2" x14ac:dyDescent="0.25">
      <c r="A129" t="s">
        <v>81</v>
      </c>
      <c r="B129" t="s">
        <v>3</v>
      </c>
    </row>
    <row r="130" spans="1:2" x14ac:dyDescent="0.25">
      <c r="A130" t="s">
        <v>82</v>
      </c>
      <c r="B130" t="s">
        <v>7</v>
      </c>
    </row>
    <row r="131" spans="1:2" x14ac:dyDescent="0.25">
      <c r="A131" t="s">
        <v>83</v>
      </c>
      <c r="B131" t="s">
        <v>5</v>
      </c>
    </row>
    <row r="132" spans="1:2" x14ac:dyDescent="0.25">
      <c r="A132" t="s">
        <v>84</v>
      </c>
      <c r="B132" t="s">
        <v>3</v>
      </c>
    </row>
    <row r="133" spans="1:2" x14ac:dyDescent="0.25">
      <c r="A133" t="s">
        <v>85</v>
      </c>
      <c r="B133" t="s">
        <v>6</v>
      </c>
    </row>
    <row r="134" spans="1:2" x14ac:dyDescent="0.25">
      <c r="A134" t="s">
        <v>86</v>
      </c>
      <c r="B134" t="s">
        <v>3</v>
      </c>
    </row>
    <row r="135" spans="1:2" x14ac:dyDescent="0.25">
      <c r="A135" t="s">
        <v>87</v>
      </c>
      <c r="B135" t="s">
        <v>45</v>
      </c>
    </row>
    <row r="136" spans="1:2" x14ac:dyDescent="0.25">
      <c r="A136" t="s">
        <v>88</v>
      </c>
      <c r="B136" t="s">
        <v>3</v>
      </c>
    </row>
    <row r="137" spans="1:2" x14ac:dyDescent="0.25">
      <c r="A137" t="s">
        <v>89</v>
      </c>
      <c r="B137" t="s">
        <v>3</v>
      </c>
    </row>
    <row r="138" spans="1:2" x14ac:dyDescent="0.25">
      <c r="A138" t="s">
        <v>90</v>
      </c>
      <c r="B138" t="s">
        <v>3</v>
      </c>
    </row>
    <row r="139" spans="1:2" x14ac:dyDescent="0.25">
      <c r="A139" t="s">
        <v>91</v>
      </c>
      <c r="B139" t="s">
        <v>3</v>
      </c>
    </row>
    <row r="140" spans="1:2" x14ac:dyDescent="0.25">
      <c r="A140" t="s">
        <v>92</v>
      </c>
      <c r="B140" t="s">
        <v>3</v>
      </c>
    </row>
    <row r="141" spans="1:2" x14ac:dyDescent="0.25">
      <c r="A141" t="s">
        <v>93</v>
      </c>
      <c r="B141" t="s">
        <v>45</v>
      </c>
    </row>
    <row r="142" spans="1:2" x14ac:dyDescent="0.25">
      <c r="A142" t="s">
        <v>94</v>
      </c>
      <c r="B142" t="s">
        <v>3</v>
      </c>
    </row>
    <row r="143" spans="1:2" x14ac:dyDescent="0.25">
      <c r="A143" t="s">
        <v>95</v>
      </c>
      <c r="B143" t="s">
        <v>3</v>
      </c>
    </row>
    <row r="144" spans="1:2" x14ac:dyDescent="0.25">
      <c r="A144" t="s">
        <v>96</v>
      </c>
      <c r="B144" t="s">
        <v>3</v>
      </c>
    </row>
    <row r="145" spans="1:2" x14ac:dyDescent="0.25">
      <c r="A145" t="s">
        <v>97</v>
      </c>
      <c r="B145" t="s">
        <v>5</v>
      </c>
    </row>
    <row r="146" spans="1:2" x14ac:dyDescent="0.25">
      <c r="A146" t="s">
        <v>98</v>
      </c>
      <c r="B146" t="s">
        <v>3</v>
      </c>
    </row>
    <row r="147" spans="1:2" x14ac:dyDescent="0.25">
      <c r="A147" t="s">
        <v>108</v>
      </c>
      <c r="B147" t="s">
        <v>3</v>
      </c>
    </row>
    <row r="148" spans="1:2" x14ac:dyDescent="0.25">
      <c r="A148" t="s">
        <v>109</v>
      </c>
      <c r="B148" t="s">
        <v>45</v>
      </c>
    </row>
    <row r="149" spans="1:2" x14ac:dyDescent="0.25">
      <c r="A149" t="s">
        <v>110</v>
      </c>
      <c r="B149" t="s">
        <v>5</v>
      </c>
    </row>
    <row r="150" spans="1:2" x14ac:dyDescent="0.25">
      <c r="A150" t="s">
        <v>111</v>
      </c>
      <c r="B150" t="s">
        <v>45</v>
      </c>
    </row>
    <row r="151" spans="1:2" x14ac:dyDescent="0.25">
      <c r="A151" t="s">
        <v>112</v>
      </c>
      <c r="B151" t="s">
        <v>45</v>
      </c>
    </row>
    <row r="152" spans="1:2" x14ac:dyDescent="0.25">
      <c r="A152" t="s">
        <v>113</v>
      </c>
      <c r="B152" t="s">
        <v>5</v>
      </c>
    </row>
    <row r="153" spans="1:2" x14ac:dyDescent="0.25">
      <c r="A153" t="s">
        <v>114</v>
      </c>
      <c r="B153" t="s">
        <v>5</v>
      </c>
    </row>
    <row r="154" spans="1:2" x14ac:dyDescent="0.25">
      <c r="A154" t="s">
        <v>115</v>
      </c>
      <c r="B154" t="s">
        <v>116</v>
      </c>
    </row>
    <row r="155" spans="1:2" x14ac:dyDescent="0.25">
      <c r="A155" t="s">
        <v>117</v>
      </c>
      <c r="B155" t="s">
        <v>3</v>
      </c>
    </row>
    <row r="156" spans="1:2" x14ac:dyDescent="0.25">
      <c r="A156" t="s">
        <v>118</v>
      </c>
      <c r="B156" t="s">
        <v>3</v>
      </c>
    </row>
    <row r="157" spans="1:2" x14ac:dyDescent="0.25">
      <c r="A157" t="s">
        <v>119</v>
      </c>
      <c r="B157" t="s">
        <v>45</v>
      </c>
    </row>
    <row r="158" spans="1:2" x14ac:dyDescent="0.25">
      <c r="A158" t="s">
        <v>120</v>
      </c>
      <c r="B158" t="s">
        <v>3</v>
      </c>
    </row>
    <row r="159" spans="1:2" x14ac:dyDescent="0.25">
      <c r="A159" t="s">
        <v>121</v>
      </c>
      <c r="B159" t="s">
        <v>3</v>
      </c>
    </row>
    <row r="160" spans="1:2" x14ac:dyDescent="0.25">
      <c r="A160" t="s">
        <v>122</v>
      </c>
      <c r="B160" t="s">
        <v>3</v>
      </c>
    </row>
    <row r="161" spans="1:2" x14ac:dyDescent="0.25">
      <c r="A161" t="s">
        <v>123</v>
      </c>
      <c r="B161" t="s">
        <v>3</v>
      </c>
    </row>
    <row r="162" spans="1:2" x14ac:dyDescent="0.25">
      <c r="A162" t="s">
        <v>124</v>
      </c>
      <c r="B162" t="s">
        <v>3</v>
      </c>
    </row>
    <row r="163" spans="1:2" x14ac:dyDescent="0.25">
      <c r="A163" t="s">
        <v>125</v>
      </c>
      <c r="B163" t="s">
        <v>3</v>
      </c>
    </row>
    <row r="164" spans="1:2" x14ac:dyDescent="0.25">
      <c r="A164" t="s">
        <v>126</v>
      </c>
      <c r="B164" t="s">
        <v>5</v>
      </c>
    </row>
    <row r="165" spans="1:2" x14ac:dyDescent="0.25">
      <c r="A165" t="s">
        <v>127</v>
      </c>
      <c r="B165" t="s">
        <v>5</v>
      </c>
    </row>
    <row r="166" spans="1:2" x14ac:dyDescent="0.25">
      <c r="A166" t="s">
        <v>128</v>
      </c>
      <c r="B166" t="s">
        <v>5</v>
      </c>
    </row>
    <row r="167" spans="1:2" x14ac:dyDescent="0.25">
      <c r="A167" t="s">
        <v>129</v>
      </c>
      <c r="B167" t="s">
        <v>3</v>
      </c>
    </row>
    <row r="168" spans="1:2" x14ac:dyDescent="0.25">
      <c r="A168" t="s">
        <v>130</v>
      </c>
      <c r="B168" t="s">
        <v>7</v>
      </c>
    </row>
    <row r="169" spans="1:2" x14ac:dyDescent="0.25">
      <c r="A169" t="s">
        <v>131</v>
      </c>
      <c r="B169" t="s">
        <v>7</v>
      </c>
    </row>
    <row r="170" spans="1:2" x14ac:dyDescent="0.25">
      <c r="A170" t="s">
        <v>132</v>
      </c>
      <c r="B170" t="s">
        <v>3</v>
      </c>
    </row>
    <row r="171" spans="1:2" x14ac:dyDescent="0.25">
      <c r="A171" t="s">
        <v>133</v>
      </c>
      <c r="B171" t="s">
        <v>45</v>
      </c>
    </row>
    <row r="172" spans="1:2" x14ac:dyDescent="0.25">
      <c r="A172" t="s">
        <v>134</v>
      </c>
      <c r="B172" t="s">
        <v>45</v>
      </c>
    </row>
    <row r="173" spans="1:2" x14ac:dyDescent="0.25">
      <c r="A173" t="s">
        <v>135</v>
      </c>
      <c r="B173" t="s">
        <v>3</v>
      </c>
    </row>
    <row r="174" spans="1:2" x14ac:dyDescent="0.25">
      <c r="A174" t="s">
        <v>132</v>
      </c>
      <c r="B174" t="s">
        <v>3</v>
      </c>
    </row>
    <row r="175" spans="1:2" x14ac:dyDescent="0.25">
      <c r="A175" t="s">
        <v>136</v>
      </c>
      <c r="B175" t="s">
        <v>1</v>
      </c>
    </row>
    <row r="176" spans="1:2" x14ac:dyDescent="0.25">
      <c r="A176" t="s">
        <v>137</v>
      </c>
      <c r="B176" t="s">
        <v>3</v>
      </c>
    </row>
    <row r="177" spans="1:2" x14ac:dyDescent="0.25">
      <c r="A177" t="s">
        <v>138</v>
      </c>
      <c r="B177" t="s">
        <v>45</v>
      </c>
    </row>
    <row r="178" spans="1:2" x14ac:dyDescent="0.25">
      <c r="A178" t="s">
        <v>139</v>
      </c>
      <c r="B178" t="s">
        <v>5</v>
      </c>
    </row>
    <row r="179" spans="1:2" x14ac:dyDescent="0.25">
      <c r="A179" t="s">
        <v>141</v>
      </c>
      <c r="B179" t="s">
        <v>3</v>
      </c>
    </row>
    <row r="180" spans="1:2" x14ac:dyDescent="0.25">
      <c r="A180" t="s">
        <v>142</v>
      </c>
      <c r="B180" t="s">
        <v>3</v>
      </c>
    </row>
    <row r="181" spans="1:2" x14ac:dyDescent="0.25">
      <c r="A181" t="s">
        <v>143</v>
      </c>
      <c r="B181" t="s">
        <v>3</v>
      </c>
    </row>
    <row r="182" spans="1:2" x14ac:dyDescent="0.25">
      <c r="A182" t="s">
        <v>144</v>
      </c>
      <c r="B182" t="s">
        <v>3</v>
      </c>
    </row>
    <row r="183" spans="1:2" x14ac:dyDescent="0.25">
      <c r="A183" t="s">
        <v>145</v>
      </c>
      <c r="B183" t="s">
        <v>3</v>
      </c>
    </row>
    <row r="184" spans="1:2" x14ac:dyDescent="0.25">
      <c r="A184" t="s">
        <v>146</v>
      </c>
      <c r="B184" t="s">
        <v>45</v>
      </c>
    </row>
    <row r="185" spans="1:2" x14ac:dyDescent="0.25">
      <c r="A185" t="s">
        <v>147</v>
      </c>
      <c r="B185" t="s">
        <v>3</v>
      </c>
    </row>
    <row r="186" spans="1:2" x14ac:dyDescent="0.25">
      <c r="A186" t="s">
        <v>148</v>
      </c>
      <c r="B186" t="s">
        <v>45</v>
      </c>
    </row>
    <row r="187" spans="1:2" x14ac:dyDescent="0.25">
      <c r="A187" t="s">
        <v>149</v>
      </c>
      <c r="B187" t="s">
        <v>3</v>
      </c>
    </row>
    <row r="188" spans="1:2" x14ac:dyDescent="0.25">
      <c r="A188" t="s">
        <v>150</v>
      </c>
      <c r="B188" t="s">
        <v>5</v>
      </c>
    </row>
    <row r="189" spans="1:2" x14ac:dyDescent="0.25">
      <c r="A189" t="s">
        <v>151</v>
      </c>
      <c r="B189" t="s">
        <v>5</v>
      </c>
    </row>
    <row r="190" spans="1:2" x14ac:dyDescent="0.25">
      <c r="A190" t="s">
        <v>152</v>
      </c>
      <c r="B190" t="s">
        <v>45</v>
      </c>
    </row>
    <row r="191" spans="1:2" x14ac:dyDescent="0.25">
      <c r="A191" t="s">
        <v>153</v>
      </c>
      <c r="B191" t="s">
        <v>104</v>
      </c>
    </row>
    <row r="192" spans="1:2" x14ac:dyDescent="0.25">
      <c r="A192" t="s">
        <v>154</v>
      </c>
      <c r="B192" t="s">
        <v>3</v>
      </c>
    </row>
    <row r="193" spans="1:2" x14ac:dyDescent="0.25">
      <c r="A193" t="s">
        <v>155</v>
      </c>
      <c r="B193" t="s">
        <v>3</v>
      </c>
    </row>
    <row r="194" spans="1:2" x14ac:dyDescent="0.25">
      <c r="A194" t="s">
        <v>156</v>
      </c>
      <c r="B194" t="s">
        <v>101</v>
      </c>
    </row>
    <row r="195" spans="1:2" x14ac:dyDescent="0.25">
      <c r="A195" t="s">
        <v>157</v>
      </c>
      <c r="B195" t="s">
        <v>45</v>
      </c>
    </row>
    <row r="196" spans="1:2" x14ac:dyDescent="0.25">
      <c r="A196" t="s">
        <v>158</v>
      </c>
      <c r="B196" t="s">
        <v>45</v>
      </c>
    </row>
    <row r="197" spans="1:2" x14ac:dyDescent="0.25">
      <c r="A197" t="s">
        <v>159</v>
      </c>
      <c r="B197" t="s">
        <v>258</v>
      </c>
    </row>
    <row r="198" spans="1:2" x14ac:dyDescent="0.25">
      <c r="A198" t="s">
        <v>160</v>
      </c>
      <c r="B198" t="s">
        <v>45</v>
      </c>
    </row>
    <row r="199" spans="1:2" x14ac:dyDescent="0.25">
      <c r="A199" t="s">
        <v>161</v>
      </c>
      <c r="B199" t="s">
        <v>3</v>
      </c>
    </row>
    <row r="200" spans="1:2" x14ac:dyDescent="0.25">
      <c r="A200" t="s">
        <v>249</v>
      </c>
      <c r="B200" t="s">
        <v>11</v>
      </c>
    </row>
    <row r="201" spans="1:2" x14ac:dyDescent="0.25">
      <c r="A201" t="s">
        <v>162</v>
      </c>
      <c r="B201" t="s">
        <v>3</v>
      </c>
    </row>
    <row r="202" spans="1:2" x14ac:dyDescent="0.25">
      <c r="A202" t="s">
        <v>163</v>
      </c>
      <c r="B202" t="s">
        <v>7</v>
      </c>
    </row>
    <row r="203" spans="1:2" x14ac:dyDescent="0.25">
      <c r="A203" t="s">
        <v>164</v>
      </c>
      <c r="B203" t="s">
        <v>2</v>
      </c>
    </row>
    <row r="204" spans="1:2" x14ac:dyDescent="0.25">
      <c r="A204" t="s">
        <v>165</v>
      </c>
      <c r="B204" t="s">
        <v>45</v>
      </c>
    </row>
    <row r="205" spans="1:2" x14ac:dyDescent="0.25">
      <c r="A205" t="s">
        <v>166</v>
      </c>
      <c r="B205" t="s">
        <v>3</v>
      </c>
    </row>
    <row r="206" spans="1:2" x14ac:dyDescent="0.25">
      <c r="A206" t="s">
        <v>167</v>
      </c>
      <c r="B206" t="s">
        <v>6</v>
      </c>
    </row>
    <row r="207" spans="1:2" x14ac:dyDescent="0.25">
      <c r="A207" t="s">
        <v>168</v>
      </c>
      <c r="B207" t="s">
        <v>6</v>
      </c>
    </row>
    <row r="208" spans="1:2" x14ac:dyDescent="0.25">
      <c r="A208" t="s">
        <v>169</v>
      </c>
      <c r="B208" t="s">
        <v>3</v>
      </c>
    </row>
    <row r="209" spans="1:2" x14ac:dyDescent="0.25">
      <c r="A209" t="s">
        <v>170</v>
      </c>
      <c r="B209" t="s">
        <v>5</v>
      </c>
    </row>
    <row r="210" spans="1:2" x14ac:dyDescent="0.25">
      <c r="A210" t="s">
        <v>171</v>
      </c>
      <c r="B210" t="s">
        <v>3</v>
      </c>
    </row>
    <row r="211" spans="1:2" x14ac:dyDescent="0.25">
      <c r="A211" t="s">
        <v>172</v>
      </c>
      <c r="B211" t="s">
        <v>3</v>
      </c>
    </row>
    <row r="212" spans="1:2" x14ac:dyDescent="0.25">
      <c r="A212" t="s">
        <v>173</v>
      </c>
      <c r="B212" t="s">
        <v>5</v>
      </c>
    </row>
    <row r="213" spans="1:2" x14ac:dyDescent="0.25">
      <c r="A213" t="s">
        <v>174</v>
      </c>
      <c r="B213" t="s">
        <v>3</v>
      </c>
    </row>
    <row r="214" spans="1:2" x14ac:dyDescent="0.25">
      <c r="A214" t="s">
        <v>175</v>
      </c>
      <c r="B214" t="s">
        <v>258</v>
      </c>
    </row>
    <row r="215" spans="1:2" x14ac:dyDescent="0.25">
      <c r="A215" t="s">
        <v>176</v>
      </c>
      <c r="B215" t="s">
        <v>45</v>
      </c>
    </row>
    <row r="216" spans="1:2" x14ac:dyDescent="0.25">
      <c r="A216" t="s">
        <v>177</v>
      </c>
      <c r="B216" t="s">
        <v>104</v>
      </c>
    </row>
    <row r="217" spans="1:2" x14ac:dyDescent="0.25">
      <c r="A217" t="s">
        <v>178</v>
      </c>
      <c r="B217" t="s">
        <v>3</v>
      </c>
    </row>
    <row r="218" spans="1:2" x14ac:dyDescent="0.25">
      <c r="A218" t="s">
        <v>179</v>
      </c>
      <c r="B218" t="s">
        <v>3</v>
      </c>
    </row>
    <row r="219" spans="1:2" x14ac:dyDescent="0.25">
      <c r="A219" t="s">
        <v>180</v>
      </c>
      <c r="B219" t="s">
        <v>5</v>
      </c>
    </row>
    <row r="220" spans="1:2" x14ac:dyDescent="0.25">
      <c r="A220" t="s">
        <v>181</v>
      </c>
      <c r="B220" t="s">
        <v>3</v>
      </c>
    </row>
    <row r="221" spans="1:2" x14ac:dyDescent="0.25">
      <c r="A221" t="s">
        <v>182</v>
      </c>
      <c r="B221" t="s">
        <v>6</v>
      </c>
    </row>
    <row r="222" spans="1:2" x14ac:dyDescent="0.25">
      <c r="A222" t="s">
        <v>183</v>
      </c>
      <c r="B222" t="s">
        <v>3</v>
      </c>
    </row>
    <row r="223" spans="1:2" x14ac:dyDescent="0.25">
      <c r="A223" t="s">
        <v>184</v>
      </c>
      <c r="B223" t="s">
        <v>3</v>
      </c>
    </row>
    <row r="224" spans="1:2" x14ac:dyDescent="0.25">
      <c r="A224" t="s">
        <v>185</v>
      </c>
      <c r="B224" t="s">
        <v>3</v>
      </c>
    </row>
    <row r="225" spans="1:2" x14ac:dyDescent="0.25">
      <c r="A225" t="s">
        <v>186</v>
      </c>
      <c r="B225" t="s">
        <v>7</v>
      </c>
    </row>
    <row r="226" spans="1:2" x14ac:dyDescent="0.25">
      <c r="A226" t="s">
        <v>187</v>
      </c>
      <c r="B226" t="s">
        <v>45</v>
      </c>
    </row>
    <row r="227" spans="1:2" x14ac:dyDescent="0.25">
      <c r="A227" t="s">
        <v>188</v>
      </c>
      <c r="B227" t="s">
        <v>3</v>
      </c>
    </row>
    <row r="228" spans="1:2" x14ac:dyDescent="0.25">
      <c r="A228" t="s">
        <v>189</v>
      </c>
      <c r="B228" t="s">
        <v>3</v>
      </c>
    </row>
    <row r="229" spans="1:2" x14ac:dyDescent="0.25">
      <c r="A229" t="s">
        <v>190</v>
      </c>
      <c r="B229" t="s">
        <v>3</v>
      </c>
    </row>
    <row r="230" spans="1:2" x14ac:dyDescent="0.25">
      <c r="A230" t="s">
        <v>191</v>
      </c>
      <c r="B230" t="s">
        <v>3</v>
      </c>
    </row>
    <row r="231" spans="1:2" x14ac:dyDescent="0.25">
      <c r="A231" t="s">
        <v>192</v>
      </c>
      <c r="B231" t="s">
        <v>6</v>
      </c>
    </row>
    <row r="232" spans="1:2" x14ac:dyDescent="0.25">
      <c r="A232" t="s">
        <v>194</v>
      </c>
      <c r="B232" t="s">
        <v>3</v>
      </c>
    </row>
    <row r="233" spans="1:2" x14ac:dyDescent="0.25">
      <c r="A233" t="s">
        <v>195</v>
      </c>
      <c r="B233" t="s">
        <v>99</v>
      </c>
    </row>
    <row r="234" spans="1:2" x14ac:dyDescent="0.25">
      <c r="A234" t="s">
        <v>196</v>
      </c>
      <c r="B234" t="s">
        <v>7</v>
      </c>
    </row>
    <row r="235" spans="1:2" x14ac:dyDescent="0.25">
      <c r="A235" t="s">
        <v>197</v>
      </c>
      <c r="B235" t="s">
        <v>3</v>
      </c>
    </row>
    <row r="236" spans="1:2" x14ac:dyDescent="0.25">
      <c r="A236" t="s">
        <v>198</v>
      </c>
      <c r="B236" t="s">
        <v>7</v>
      </c>
    </row>
    <row r="237" spans="1:2" x14ac:dyDescent="0.25">
      <c r="A237" t="s">
        <v>199</v>
      </c>
      <c r="B237" t="s">
        <v>45</v>
      </c>
    </row>
    <row r="238" spans="1:2" x14ac:dyDescent="0.25">
      <c r="A238" t="s">
        <v>200</v>
      </c>
      <c r="B238" t="s">
        <v>6</v>
      </c>
    </row>
    <row r="239" spans="1:2" x14ac:dyDescent="0.25">
      <c r="A239" t="s">
        <v>199</v>
      </c>
      <c r="B239" t="s">
        <v>45</v>
      </c>
    </row>
    <row r="240" spans="1:2" x14ac:dyDescent="0.25">
      <c r="A240" t="s">
        <v>201</v>
      </c>
      <c r="B240" t="s">
        <v>45</v>
      </c>
    </row>
    <row r="241" spans="1:2" x14ac:dyDescent="0.25">
      <c r="A241" t="s">
        <v>202</v>
      </c>
      <c r="B241" t="s">
        <v>3</v>
      </c>
    </row>
    <row r="242" spans="1:2" x14ac:dyDescent="0.25">
      <c r="A242" t="s">
        <v>203</v>
      </c>
      <c r="B242" t="s">
        <v>5</v>
      </c>
    </row>
    <row r="243" spans="1:2" x14ac:dyDescent="0.25">
      <c r="A243" t="s">
        <v>204</v>
      </c>
      <c r="B243" t="s">
        <v>5</v>
      </c>
    </row>
    <row r="244" spans="1:2" x14ac:dyDescent="0.25">
      <c r="A244" t="s">
        <v>205</v>
      </c>
      <c r="B244" t="s">
        <v>3</v>
      </c>
    </row>
    <row r="245" spans="1:2" x14ac:dyDescent="0.25">
      <c r="A245" t="s">
        <v>206</v>
      </c>
      <c r="B245" t="s">
        <v>101</v>
      </c>
    </row>
    <row r="246" spans="1:2" x14ac:dyDescent="0.25">
      <c r="A246" t="s">
        <v>207</v>
      </c>
      <c r="B246" t="s">
        <v>3</v>
      </c>
    </row>
    <row r="247" spans="1:2" x14ac:dyDescent="0.25">
      <c r="A247" t="s">
        <v>208</v>
      </c>
      <c r="B247" t="s">
        <v>45</v>
      </c>
    </row>
    <row r="248" spans="1:2" x14ac:dyDescent="0.25">
      <c r="A248" t="s">
        <v>209</v>
      </c>
      <c r="B248" t="s">
        <v>5</v>
      </c>
    </row>
    <row r="249" spans="1:2" x14ac:dyDescent="0.25">
      <c r="A249" t="s">
        <v>210</v>
      </c>
      <c r="B249" t="s">
        <v>5</v>
      </c>
    </row>
    <row r="250" spans="1:2" x14ac:dyDescent="0.25">
      <c r="A250" t="s">
        <v>211</v>
      </c>
      <c r="B250" t="s">
        <v>45</v>
      </c>
    </row>
    <row r="251" spans="1:2" x14ac:dyDescent="0.25">
      <c r="A251" t="s">
        <v>212</v>
      </c>
      <c r="B251" t="s">
        <v>99</v>
      </c>
    </row>
    <row r="252" spans="1:2" x14ac:dyDescent="0.25">
      <c r="A252" t="s">
        <v>213</v>
      </c>
      <c r="B252" t="s">
        <v>5</v>
      </c>
    </row>
    <row r="253" spans="1:2" x14ac:dyDescent="0.25">
      <c r="A253" t="s">
        <v>213</v>
      </c>
      <c r="B253" t="s">
        <v>5</v>
      </c>
    </row>
    <row r="254" spans="1:2" x14ac:dyDescent="0.25">
      <c r="A254" t="s">
        <v>213</v>
      </c>
      <c r="B254" t="s">
        <v>5</v>
      </c>
    </row>
    <row r="255" spans="1:2" x14ac:dyDescent="0.25">
      <c r="A255" t="s">
        <v>214</v>
      </c>
      <c r="B255" t="s">
        <v>45</v>
      </c>
    </row>
    <row r="256" spans="1:2" x14ac:dyDescent="0.25">
      <c r="A256" t="s">
        <v>215</v>
      </c>
      <c r="B256" t="s">
        <v>45</v>
      </c>
    </row>
    <row r="257" spans="1:2" x14ac:dyDescent="0.25">
      <c r="A257" t="s">
        <v>259</v>
      </c>
      <c r="B257" t="s">
        <v>45</v>
      </c>
    </row>
    <row r="258" spans="1:2" x14ac:dyDescent="0.25">
      <c r="A258" t="s">
        <v>260</v>
      </c>
      <c r="B258" t="s">
        <v>3</v>
      </c>
    </row>
    <row r="259" spans="1:2" x14ac:dyDescent="0.25">
      <c r="A259" t="s">
        <v>261</v>
      </c>
      <c r="B259" t="s">
        <v>2</v>
      </c>
    </row>
    <row r="260" spans="1:2" x14ac:dyDescent="0.25">
      <c r="A260" t="s">
        <v>262</v>
      </c>
      <c r="B260" t="s">
        <v>5</v>
      </c>
    </row>
    <row r="261" spans="1:2" x14ac:dyDescent="0.25">
      <c r="A261" t="s">
        <v>263</v>
      </c>
      <c r="B261" t="s">
        <v>3</v>
      </c>
    </row>
    <row r="262" spans="1:2" x14ac:dyDescent="0.25">
      <c r="A262" t="s">
        <v>264</v>
      </c>
      <c r="B262" t="s">
        <v>5</v>
      </c>
    </row>
    <row r="263" spans="1:2" x14ac:dyDescent="0.25">
      <c r="A263" t="s">
        <v>265</v>
      </c>
      <c r="B263" t="s">
        <v>2</v>
      </c>
    </row>
    <row r="264" spans="1:2" x14ac:dyDescent="0.25">
      <c r="A264" t="s">
        <v>266</v>
      </c>
      <c r="B264" t="s">
        <v>3</v>
      </c>
    </row>
    <row r="265" spans="1:2" x14ac:dyDescent="0.25">
      <c r="A265" t="s">
        <v>267</v>
      </c>
      <c r="B265" t="s">
        <v>5</v>
      </c>
    </row>
    <row r="266" spans="1:2" x14ac:dyDescent="0.25">
      <c r="A266" t="s">
        <v>268</v>
      </c>
      <c r="B266" t="s">
        <v>5</v>
      </c>
    </row>
    <row r="267" spans="1:2" x14ac:dyDescent="0.25">
      <c r="A267" t="s">
        <v>269</v>
      </c>
      <c r="B267" t="s">
        <v>6</v>
      </c>
    </row>
    <row r="268" spans="1:2" x14ac:dyDescent="0.25">
      <c r="A268" t="s">
        <v>270</v>
      </c>
      <c r="B268" t="s">
        <v>45</v>
      </c>
    </row>
    <row r="269" spans="1:2" x14ac:dyDescent="0.25">
      <c r="A269" t="s">
        <v>271</v>
      </c>
      <c r="B269" t="s">
        <v>3</v>
      </c>
    </row>
    <row r="270" spans="1:2" x14ac:dyDescent="0.25">
      <c r="A270" t="s">
        <v>33</v>
      </c>
      <c r="B270" t="s">
        <v>3</v>
      </c>
    </row>
    <row r="271" spans="1:2" x14ac:dyDescent="0.25">
      <c r="A271" t="s">
        <v>206</v>
      </c>
      <c r="B271" t="s">
        <v>101</v>
      </c>
    </row>
    <row r="272" spans="1:2" x14ac:dyDescent="0.25">
      <c r="A272" t="s">
        <v>22</v>
      </c>
      <c r="B272" t="s">
        <v>5</v>
      </c>
    </row>
    <row r="273" spans="1:2" x14ac:dyDescent="0.25">
      <c r="A273" t="s">
        <v>272</v>
      </c>
      <c r="B273" t="s">
        <v>3</v>
      </c>
    </row>
    <row r="274" spans="1:2" x14ac:dyDescent="0.25">
      <c r="A274" t="s">
        <v>273</v>
      </c>
      <c r="B274" t="s">
        <v>3</v>
      </c>
    </row>
    <row r="275" spans="1:2" x14ac:dyDescent="0.25">
      <c r="A275" t="s">
        <v>274</v>
      </c>
      <c r="B275" t="s">
        <v>3</v>
      </c>
    </row>
    <row r="276" spans="1:2" x14ac:dyDescent="0.25">
      <c r="A276" t="s">
        <v>275</v>
      </c>
      <c r="B276" t="s">
        <v>3</v>
      </c>
    </row>
    <row r="277" spans="1:2" x14ac:dyDescent="0.25">
      <c r="A277" t="s">
        <v>276</v>
      </c>
      <c r="B277" t="s">
        <v>7</v>
      </c>
    </row>
    <row r="278" spans="1:2" x14ac:dyDescent="0.25">
      <c r="A278" t="s">
        <v>277</v>
      </c>
      <c r="B278" t="s">
        <v>7</v>
      </c>
    </row>
    <row r="279" spans="1:2" x14ac:dyDescent="0.25">
      <c r="A279" t="s">
        <v>278</v>
      </c>
      <c r="B279" t="s">
        <v>3</v>
      </c>
    </row>
    <row r="280" spans="1:2" x14ac:dyDescent="0.25">
      <c r="A280" t="s">
        <v>279</v>
      </c>
      <c r="B280" t="s">
        <v>45</v>
      </c>
    </row>
    <row r="281" spans="1:2" x14ac:dyDescent="0.25">
      <c r="A281" t="s">
        <v>280</v>
      </c>
      <c r="B281" t="s">
        <v>1374</v>
      </c>
    </row>
    <row r="282" spans="1:2" x14ac:dyDescent="0.25">
      <c r="A282" t="s">
        <v>281</v>
      </c>
      <c r="B282" t="s">
        <v>7</v>
      </c>
    </row>
    <row r="283" spans="1:2" x14ac:dyDescent="0.25">
      <c r="A283" t="s">
        <v>282</v>
      </c>
      <c r="B283" t="s">
        <v>7</v>
      </c>
    </row>
    <row r="284" spans="1:2" x14ac:dyDescent="0.25">
      <c r="A284" t="s">
        <v>283</v>
      </c>
      <c r="B284" t="s">
        <v>45</v>
      </c>
    </row>
    <row r="285" spans="1:2" x14ac:dyDescent="0.25">
      <c r="A285" t="s">
        <v>240</v>
      </c>
      <c r="B285" t="s">
        <v>3</v>
      </c>
    </row>
    <row r="286" spans="1:2" x14ac:dyDescent="0.25">
      <c r="A286" t="s">
        <v>284</v>
      </c>
      <c r="B286" t="s">
        <v>3</v>
      </c>
    </row>
    <row r="287" spans="1:2" x14ac:dyDescent="0.25">
      <c r="A287" t="s">
        <v>285</v>
      </c>
      <c r="B287" t="s">
        <v>7</v>
      </c>
    </row>
    <row r="288" spans="1:2" x14ac:dyDescent="0.25">
      <c r="A288" t="s">
        <v>286</v>
      </c>
      <c r="B288" t="s">
        <v>3</v>
      </c>
    </row>
    <row r="289" spans="1:2" x14ac:dyDescent="0.25">
      <c r="A289" t="s">
        <v>287</v>
      </c>
      <c r="B289" t="s">
        <v>3</v>
      </c>
    </row>
    <row r="290" spans="1:2" x14ac:dyDescent="0.25">
      <c r="A290" t="s">
        <v>288</v>
      </c>
      <c r="B290" t="s">
        <v>3</v>
      </c>
    </row>
    <row r="291" spans="1:2" x14ac:dyDescent="0.25">
      <c r="A291" t="s">
        <v>289</v>
      </c>
      <c r="B291" t="s">
        <v>290</v>
      </c>
    </row>
    <row r="292" spans="1:2" x14ac:dyDescent="0.25">
      <c r="A292" t="s">
        <v>291</v>
      </c>
      <c r="B292" t="s">
        <v>290</v>
      </c>
    </row>
    <row r="293" spans="1:2" x14ac:dyDescent="0.25">
      <c r="A293" t="s">
        <v>292</v>
      </c>
      <c r="B293" t="s">
        <v>3</v>
      </c>
    </row>
    <row r="294" spans="1:2" x14ac:dyDescent="0.25">
      <c r="A294" t="s">
        <v>293</v>
      </c>
      <c r="B294" t="s">
        <v>290</v>
      </c>
    </row>
    <row r="295" spans="1:2" x14ac:dyDescent="0.25">
      <c r="A295" t="s">
        <v>294</v>
      </c>
      <c r="B295" t="s">
        <v>3</v>
      </c>
    </row>
    <row r="296" spans="1:2" x14ac:dyDescent="0.25">
      <c r="A296" t="s">
        <v>295</v>
      </c>
      <c r="B296" t="s">
        <v>290</v>
      </c>
    </row>
    <row r="297" spans="1:2" x14ac:dyDescent="0.25">
      <c r="A297" t="s">
        <v>296</v>
      </c>
      <c r="B297" t="s">
        <v>3</v>
      </c>
    </row>
    <row r="298" spans="1:2" x14ac:dyDescent="0.25">
      <c r="A298" t="s">
        <v>297</v>
      </c>
      <c r="B298" t="s">
        <v>290</v>
      </c>
    </row>
    <row r="299" spans="1:2" x14ac:dyDescent="0.25">
      <c r="A299" t="s">
        <v>298</v>
      </c>
      <c r="B299" t="s">
        <v>290</v>
      </c>
    </row>
    <row r="300" spans="1:2" x14ac:dyDescent="0.25">
      <c r="A300" t="s">
        <v>299</v>
      </c>
      <c r="B300" t="s">
        <v>3</v>
      </c>
    </row>
    <row r="301" spans="1:2" x14ac:dyDescent="0.25">
      <c r="A301" t="s">
        <v>300</v>
      </c>
      <c r="B301" t="s">
        <v>3</v>
      </c>
    </row>
    <row r="302" spans="1:2" x14ac:dyDescent="0.25">
      <c r="A302" t="s">
        <v>301</v>
      </c>
      <c r="B302" t="s">
        <v>290</v>
      </c>
    </row>
    <row r="303" spans="1:2" x14ac:dyDescent="0.25">
      <c r="A303" t="s">
        <v>302</v>
      </c>
      <c r="B303" t="s">
        <v>3</v>
      </c>
    </row>
    <row r="304" spans="1:2" x14ac:dyDescent="0.25">
      <c r="A304" t="s">
        <v>303</v>
      </c>
      <c r="B304" t="s">
        <v>290</v>
      </c>
    </row>
    <row r="305" spans="1:2" x14ac:dyDescent="0.25">
      <c r="A305" t="s">
        <v>304</v>
      </c>
      <c r="B305" t="s">
        <v>3</v>
      </c>
    </row>
    <row r="306" spans="1:2" x14ac:dyDescent="0.25">
      <c r="A306" t="s">
        <v>305</v>
      </c>
      <c r="B306" t="s">
        <v>3</v>
      </c>
    </row>
    <row r="307" spans="1:2" x14ac:dyDescent="0.25">
      <c r="A307" t="s">
        <v>306</v>
      </c>
      <c r="B307" t="s">
        <v>3</v>
      </c>
    </row>
    <row r="308" spans="1:2" x14ac:dyDescent="0.25">
      <c r="A308" t="s">
        <v>307</v>
      </c>
      <c r="B308" t="s">
        <v>3</v>
      </c>
    </row>
    <row r="309" spans="1:2" x14ac:dyDescent="0.25">
      <c r="A309" t="s">
        <v>308</v>
      </c>
      <c r="B309" t="s">
        <v>290</v>
      </c>
    </row>
    <row r="310" spans="1:2" x14ac:dyDescent="0.25">
      <c r="A310" t="s">
        <v>309</v>
      </c>
      <c r="B310" t="s">
        <v>3</v>
      </c>
    </row>
    <row r="311" spans="1:2" x14ac:dyDescent="0.25">
      <c r="A311" t="s">
        <v>310</v>
      </c>
      <c r="B311" t="s">
        <v>290</v>
      </c>
    </row>
    <row r="312" spans="1:2" x14ac:dyDescent="0.25">
      <c r="A312" t="s">
        <v>311</v>
      </c>
      <c r="B312" t="s">
        <v>3</v>
      </c>
    </row>
    <row r="313" spans="1:2" x14ac:dyDescent="0.25">
      <c r="A313" t="s">
        <v>312</v>
      </c>
      <c r="B313" t="s">
        <v>5</v>
      </c>
    </row>
    <row r="314" spans="1:2" x14ac:dyDescent="0.25">
      <c r="A314" t="s">
        <v>313</v>
      </c>
      <c r="B314" t="s">
        <v>3</v>
      </c>
    </row>
    <row r="315" spans="1:2" x14ac:dyDescent="0.25">
      <c r="A315" t="s">
        <v>314</v>
      </c>
      <c r="B315" t="s">
        <v>45</v>
      </c>
    </row>
    <row r="316" spans="1:2" x14ac:dyDescent="0.25">
      <c r="A316" t="s">
        <v>315</v>
      </c>
      <c r="B316" t="s">
        <v>3</v>
      </c>
    </row>
    <row r="317" spans="1:2" x14ac:dyDescent="0.25">
      <c r="A317" t="s">
        <v>316</v>
      </c>
      <c r="B317" t="s">
        <v>3</v>
      </c>
    </row>
    <row r="318" spans="1:2" x14ac:dyDescent="0.25">
      <c r="A318" t="s">
        <v>317</v>
      </c>
      <c r="B318" t="s">
        <v>3</v>
      </c>
    </row>
    <row r="319" spans="1:2" x14ac:dyDescent="0.25">
      <c r="A319" t="s">
        <v>315</v>
      </c>
      <c r="B319" t="s">
        <v>3</v>
      </c>
    </row>
    <row r="320" spans="1:2" x14ac:dyDescent="0.25">
      <c r="A320" t="s">
        <v>318</v>
      </c>
      <c r="B320" t="s">
        <v>3</v>
      </c>
    </row>
    <row r="321" spans="1:2" x14ac:dyDescent="0.25">
      <c r="A321" t="s">
        <v>319</v>
      </c>
      <c r="B321" t="s">
        <v>3</v>
      </c>
    </row>
    <row r="322" spans="1:2" x14ac:dyDescent="0.25">
      <c r="A322" t="s">
        <v>320</v>
      </c>
      <c r="B322" t="s">
        <v>321</v>
      </c>
    </row>
    <row r="323" spans="1:2" x14ac:dyDescent="0.25">
      <c r="A323" t="s">
        <v>238</v>
      </c>
      <c r="B323" t="s">
        <v>3</v>
      </c>
    </row>
    <row r="324" spans="1:2" x14ac:dyDescent="0.25">
      <c r="A324" t="s">
        <v>239</v>
      </c>
      <c r="B324" t="s">
        <v>5</v>
      </c>
    </row>
    <row r="325" spans="1:2" x14ac:dyDescent="0.25">
      <c r="A325" t="s">
        <v>322</v>
      </c>
      <c r="B325" t="s">
        <v>3</v>
      </c>
    </row>
    <row r="326" spans="1:2" x14ac:dyDescent="0.25">
      <c r="A326" t="s">
        <v>323</v>
      </c>
      <c r="B326" t="s">
        <v>3</v>
      </c>
    </row>
    <row r="327" spans="1:2" x14ac:dyDescent="0.25">
      <c r="A327" t="s">
        <v>324</v>
      </c>
      <c r="B327" t="s">
        <v>3</v>
      </c>
    </row>
    <row r="328" spans="1:2" x14ac:dyDescent="0.25">
      <c r="A328" t="s">
        <v>325</v>
      </c>
      <c r="B328" t="s">
        <v>5</v>
      </c>
    </row>
    <row r="329" spans="1:2" x14ac:dyDescent="0.25">
      <c r="A329" t="s">
        <v>251</v>
      </c>
      <c r="B329" t="s">
        <v>6</v>
      </c>
    </row>
    <row r="330" spans="1:2" x14ac:dyDescent="0.25">
      <c r="A330" t="s">
        <v>326</v>
      </c>
      <c r="B330" t="s">
        <v>3</v>
      </c>
    </row>
    <row r="331" spans="1:2" x14ac:dyDescent="0.25">
      <c r="A331" t="s">
        <v>327</v>
      </c>
      <c r="B331" t="s">
        <v>45</v>
      </c>
    </row>
    <row r="332" spans="1:2" x14ac:dyDescent="0.25">
      <c r="A332" t="s">
        <v>237</v>
      </c>
      <c r="B332" t="s">
        <v>3</v>
      </c>
    </row>
    <row r="333" spans="1:2" x14ac:dyDescent="0.25">
      <c r="A333" t="s">
        <v>328</v>
      </c>
      <c r="B333" t="s">
        <v>45</v>
      </c>
    </row>
    <row r="334" spans="1:2" x14ac:dyDescent="0.25">
      <c r="A334" t="s">
        <v>329</v>
      </c>
      <c r="B334" t="s">
        <v>5</v>
      </c>
    </row>
    <row r="335" spans="1:2" x14ac:dyDescent="0.25">
      <c r="A335" t="s">
        <v>330</v>
      </c>
      <c r="B335" t="s">
        <v>7</v>
      </c>
    </row>
    <row r="336" spans="1:2" x14ac:dyDescent="0.25">
      <c r="A336" t="s">
        <v>331</v>
      </c>
      <c r="B336" t="s">
        <v>3</v>
      </c>
    </row>
    <row r="337" spans="1:2" x14ac:dyDescent="0.25">
      <c r="A337" t="s">
        <v>332</v>
      </c>
      <c r="B337" t="s">
        <v>7</v>
      </c>
    </row>
    <row r="338" spans="1:2" x14ac:dyDescent="0.25">
      <c r="A338" t="s">
        <v>333</v>
      </c>
      <c r="B338" t="s">
        <v>45</v>
      </c>
    </row>
    <row r="339" spans="1:2" x14ac:dyDescent="0.25">
      <c r="A339" t="s">
        <v>334</v>
      </c>
      <c r="B339" t="s">
        <v>45</v>
      </c>
    </row>
    <row r="340" spans="1:2" x14ac:dyDescent="0.25">
      <c r="A340" t="s">
        <v>335</v>
      </c>
      <c r="B340" t="s">
        <v>3</v>
      </c>
    </row>
    <row r="341" spans="1:2" x14ac:dyDescent="0.25">
      <c r="A341" t="s">
        <v>336</v>
      </c>
      <c r="B341" t="s">
        <v>3</v>
      </c>
    </row>
    <row r="342" spans="1:2" x14ac:dyDescent="0.25">
      <c r="A342" t="s">
        <v>337</v>
      </c>
      <c r="B342" t="s">
        <v>3</v>
      </c>
    </row>
    <row r="343" spans="1:2" x14ac:dyDescent="0.25">
      <c r="A343" t="s">
        <v>338</v>
      </c>
      <c r="B343" t="s">
        <v>45</v>
      </c>
    </row>
    <row r="344" spans="1:2" x14ac:dyDescent="0.25">
      <c r="A344" t="s">
        <v>339</v>
      </c>
      <c r="B344" t="s">
        <v>45</v>
      </c>
    </row>
    <row r="345" spans="1:2" x14ac:dyDescent="0.25">
      <c r="A345" t="s">
        <v>340</v>
      </c>
      <c r="B345" t="s">
        <v>3</v>
      </c>
    </row>
    <row r="346" spans="1:2" x14ac:dyDescent="0.25">
      <c r="A346" t="s">
        <v>341</v>
      </c>
      <c r="B346" t="s">
        <v>7</v>
      </c>
    </row>
    <row r="347" spans="1:2" x14ac:dyDescent="0.25">
      <c r="A347" t="s">
        <v>342</v>
      </c>
      <c r="B347" t="s">
        <v>3</v>
      </c>
    </row>
    <row r="348" spans="1:2" x14ac:dyDescent="0.25">
      <c r="A348" t="s">
        <v>343</v>
      </c>
      <c r="B348" t="s">
        <v>321</v>
      </c>
    </row>
    <row r="349" spans="1:2" x14ac:dyDescent="0.25">
      <c r="A349" t="s">
        <v>344</v>
      </c>
      <c r="B349" t="s">
        <v>3</v>
      </c>
    </row>
    <row r="350" spans="1:2" x14ac:dyDescent="0.25">
      <c r="A350" t="s">
        <v>247</v>
      </c>
      <c r="B350" t="s">
        <v>3</v>
      </c>
    </row>
    <row r="351" spans="1:2" x14ac:dyDescent="0.25">
      <c r="A351" t="s">
        <v>345</v>
      </c>
      <c r="B351" t="s">
        <v>5</v>
      </c>
    </row>
    <row r="352" spans="1:2" x14ac:dyDescent="0.25">
      <c r="A352" t="s">
        <v>346</v>
      </c>
      <c r="B352" t="s">
        <v>5</v>
      </c>
    </row>
    <row r="353" spans="1:2" x14ac:dyDescent="0.25">
      <c r="A353" t="s">
        <v>345</v>
      </c>
      <c r="B353" t="s">
        <v>5</v>
      </c>
    </row>
    <row r="354" spans="1:2" x14ac:dyDescent="0.25">
      <c r="A354" t="s">
        <v>347</v>
      </c>
      <c r="B354" t="s">
        <v>3</v>
      </c>
    </row>
    <row r="355" spans="1:2" x14ac:dyDescent="0.25">
      <c r="A355" t="s">
        <v>348</v>
      </c>
      <c r="B355" t="s">
        <v>3</v>
      </c>
    </row>
    <row r="356" spans="1:2" x14ac:dyDescent="0.25">
      <c r="A356" t="s">
        <v>349</v>
      </c>
      <c r="B356" t="s">
        <v>6</v>
      </c>
    </row>
    <row r="357" spans="1:2" x14ac:dyDescent="0.25">
      <c r="A357" t="s">
        <v>350</v>
      </c>
      <c r="B357" t="s">
        <v>3</v>
      </c>
    </row>
    <row r="358" spans="1:2" x14ac:dyDescent="0.25">
      <c r="A358" t="s">
        <v>241</v>
      </c>
      <c r="B358" t="s">
        <v>3</v>
      </c>
    </row>
    <row r="359" spans="1:2" x14ac:dyDescent="0.25">
      <c r="A359" t="s">
        <v>351</v>
      </c>
      <c r="B359" t="s">
        <v>3</v>
      </c>
    </row>
    <row r="360" spans="1:2" x14ac:dyDescent="0.25">
      <c r="A360" t="s">
        <v>236</v>
      </c>
      <c r="B360" t="s">
        <v>3</v>
      </c>
    </row>
    <row r="361" spans="1:2" x14ac:dyDescent="0.25">
      <c r="A361" t="s">
        <v>352</v>
      </c>
      <c r="B361" t="s">
        <v>6</v>
      </c>
    </row>
    <row r="362" spans="1:2" x14ac:dyDescent="0.25">
      <c r="A362" t="s">
        <v>353</v>
      </c>
      <c r="B362" t="s">
        <v>5</v>
      </c>
    </row>
    <row r="363" spans="1:2" x14ac:dyDescent="0.25">
      <c r="A363" t="s">
        <v>354</v>
      </c>
      <c r="B363" t="s">
        <v>7</v>
      </c>
    </row>
    <row r="364" spans="1:2" x14ac:dyDescent="0.25">
      <c r="A364" t="s">
        <v>355</v>
      </c>
      <c r="B364" t="s">
        <v>3</v>
      </c>
    </row>
    <row r="365" spans="1:2" x14ac:dyDescent="0.25">
      <c r="A365" t="s">
        <v>356</v>
      </c>
      <c r="B365" t="s">
        <v>5</v>
      </c>
    </row>
    <row r="366" spans="1:2" x14ac:dyDescent="0.25">
      <c r="A366" t="s">
        <v>357</v>
      </c>
      <c r="B366" t="s">
        <v>5</v>
      </c>
    </row>
    <row r="367" spans="1:2" x14ac:dyDescent="0.25">
      <c r="A367" t="s">
        <v>358</v>
      </c>
      <c r="B367" t="s">
        <v>3</v>
      </c>
    </row>
    <row r="368" spans="1:2" x14ac:dyDescent="0.25">
      <c r="A368" t="s">
        <v>359</v>
      </c>
      <c r="B368" t="s">
        <v>7</v>
      </c>
    </row>
    <row r="369" spans="1:2" x14ac:dyDescent="0.25">
      <c r="A369" t="s">
        <v>360</v>
      </c>
      <c r="B369" t="s">
        <v>3</v>
      </c>
    </row>
    <row r="370" spans="1:2" x14ac:dyDescent="0.25">
      <c r="A370" t="s">
        <v>361</v>
      </c>
      <c r="B370" t="s">
        <v>3</v>
      </c>
    </row>
    <row r="371" spans="1:2" x14ac:dyDescent="0.25">
      <c r="A371" t="s">
        <v>362</v>
      </c>
      <c r="B371" t="s">
        <v>7</v>
      </c>
    </row>
    <row r="372" spans="1:2" x14ac:dyDescent="0.25">
      <c r="A372" t="s">
        <v>363</v>
      </c>
      <c r="B372" t="s">
        <v>3</v>
      </c>
    </row>
    <row r="373" spans="1:2" x14ac:dyDescent="0.25">
      <c r="A373" t="s">
        <v>364</v>
      </c>
      <c r="B373" t="s">
        <v>3</v>
      </c>
    </row>
    <row r="374" spans="1:2" x14ac:dyDescent="0.25">
      <c r="A374" t="s">
        <v>365</v>
      </c>
      <c r="B374" t="s">
        <v>3</v>
      </c>
    </row>
    <row r="375" spans="1:2" x14ac:dyDescent="0.25">
      <c r="A375" t="s">
        <v>366</v>
      </c>
      <c r="B375" t="s">
        <v>5</v>
      </c>
    </row>
    <row r="376" spans="1:2" x14ac:dyDescent="0.25">
      <c r="A376" t="s">
        <v>367</v>
      </c>
      <c r="B376" t="s">
        <v>3</v>
      </c>
    </row>
    <row r="377" spans="1:2" x14ac:dyDescent="0.25">
      <c r="A377" t="s">
        <v>368</v>
      </c>
      <c r="B377" t="s">
        <v>3</v>
      </c>
    </row>
    <row r="378" spans="1:2" x14ac:dyDescent="0.25">
      <c r="A378" t="s">
        <v>369</v>
      </c>
      <c r="B378" t="s">
        <v>3</v>
      </c>
    </row>
    <row r="379" spans="1:2" x14ac:dyDescent="0.25">
      <c r="A379" t="s">
        <v>370</v>
      </c>
      <c r="B379" t="s">
        <v>5</v>
      </c>
    </row>
    <row r="380" spans="1:2" x14ac:dyDescent="0.25">
      <c r="A380" t="s">
        <v>371</v>
      </c>
      <c r="B380" t="s">
        <v>5</v>
      </c>
    </row>
    <row r="381" spans="1:2" x14ac:dyDescent="0.25">
      <c r="A381" t="s">
        <v>372</v>
      </c>
      <c r="B381" t="s">
        <v>193</v>
      </c>
    </row>
    <row r="382" spans="1:2" x14ac:dyDescent="0.25">
      <c r="A382" t="s">
        <v>373</v>
      </c>
      <c r="B382" t="s">
        <v>193</v>
      </c>
    </row>
    <row r="383" spans="1:2" x14ac:dyDescent="0.25">
      <c r="A383" t="s">
        <v>374</v>
      </c>
      <c r="B383" t="s">
        <v>3</v>
      </c>
    </row>
    <row r="384" spans="1:2" x14ac:dyDescent="0.25">
      <c r="A384" t="s">
        <v>375</v>
      </c>
      <c r="B384" t="s">
        <v>193</v>
      </c>
    </row>
    <row r="385" spans="1:2" x14ac:dyDescent="0.25">
      <c r="A385" t="s">
        <v>376</v>
      </c>
      <c r="B385" t="s">
        <v>3</v>
      </c>
    </row>
    <row r="386" spans="1:2" x14ac:dyDescent="0.25">
      <c r="A386" t="s">
        <v>377</v>
      </c>
      <c r="B386" t="s">
        <v>45</v>
      </c>
    </row>
    <row r="387" spans="1:2" x14ac:dyDescent="0.25">
      <c r="A387" t="s">
        <v>246</v>
      </c>
      <c r="B387" t="s">
        <v>3</v>
      </c>
    </row>
    <row r="388" spans="1:2" x14ac:dyDescent="0.25">
      <c r="A388" t="s">
        <v>378</v>
      </c>
      <c r="B388" t="s">
        <v>3</v>
      </c>
    </row>
    <row r="389" spans="1:2" x14ac:dyDescent="0.25">
      <c r="A389" t="s">
        <v>379</v>
      </c>
      <c r="B389" t="s">
        <v>3</v>
      </c>
    </row>
    <row r="390" spans="1:2" x14ac:dyDescent="0.25">
      <c r="A390" t="s">
        <v>380</v>
      </c>
      <c r="B390" t="s">
        <v>3</v>
      </c>
    </row>
    <row r="391" spans="1:2" x14ac:dyDescent="0.25">
      <c r="A391" t="s">
        <v>381</v>
      </c>
      <c r="B391" t="s">
        <v>5</v>
      </c>
    </row>
    <row r="392" spans="1:2" x14ac:dyDescent="0.25">
      <c r="A392" t="s">
        <v>382</v>
      </c>
      <c r="B392" t="s">
        <v>6</v>
      </c>
    </row>
    <row r="393" spans="1:2" x14ac:dyDescent="0.25">
      <c r="A393" t="s">
        <v>242</v>
      </c>
      <c r="B393" t="s">
        <v>3</v>
      </c>
    </row>
    <row r="394" spans="1:2" x14ac:dyDescent="0.25">
      <c r="A394" t="s">
        <v>243</v>
      </c>
      <c r="B394" t="s">
        <v>3</v>
      </c>
    </row>
    <row r="395" spans="1:2" x14ac:dyDescent="0.25">
      <c r="A395" t="s">
        <v>244</v>
      </c>
      <c r="B395" t="s">
        <v>5</v>
      </c>
    </row>
    <row r="396" spans="1:2" x14ac:dyDescent="0.25">
      <c r="A396" t="s">
        <v>245</v>
      </c>
      <c r="B396" t="s">
        <v>3</v>
      </c>
    </row>
    <row r="397" spans="1:2" x14ac:dyDescent="0.25">
      <c r="A397" t="s">
        <v>248</v>
      </c>
      <c r="B397" t="s">
        <v>45</v>
      </c>
    </row>
    <row r="398" spans="1:2" x14ac:dyDescent="0.25">
      <c r="A398" t="s">
        <v>250</v>
      </c>
      <c r="B398" t="s">
        <v>3</v>
      </c>
    </row>
    <row r="399" spans="1:2" x14ac:dyDescent="0.25">
      <c r="A399" t="s">
        <v>252</v>
      </c>
      <c r="B399" t="s">
        <v>3</v>
      </c>
    </row>
    <row r="400" spans="1:2" x14ac:dyDescent="0.25">
      <c r="A400" t="s">
        <v>1158</v>
      </c>
      <c r="B400" t="s">
        <v>45</v>
      </c>
    </row>
    <row r="401" spans="1:2" x14ac:dyDescent="0.25">
      <c r="A401" t="s">
        <v>1159</v>
      </c>
      <c r="B401" t="s">
        <v>7</v>
      </c>
    </row>
    <row r="402" spans="1:2" x14ac:dyDescent="0.25">
      <c r="A402" t="s">
        <v>1160</v>
      </c>
      <c r="B402" t="s">
        <v>3</v>
      </c>
    </row>
    <row r="403" spans="1:2" x14ac:dyDescent="0.25">
      <c r="A403" t="s">
        <v>1193</v>
      </c>
      <c r="B403" t="s">
        <v>1</v>
      </c>
    </row>
    <row r="404" spans="1:2" x14ac:dyDescent="0.25">
      <c r="A404" t="s">
        <v>1194</v>
      </c>
      <c r="B404" t="s">
        <v>321</v>
      </c>
    </row>
    <row r="405" spans="1:2" x14ac:dyDescent="0.25">
      <c r="A405" t="s">
        <v>1195</v>
      </c>
      <c r="B405" t="s">
        <v>5</v>
      </c>
    </row>
    <row r="406" spans="1:2" x14ac:dyDescent="0.25">
      <c r="A406" t="s">
        <v>1193</v>
      </c>
      <c r="B406" t="s">
        <v>1</v>
      </c>
    </row>
    <row r="407" spans="1:2" x14ac:dyDescent="0.25">
      <c r="A407" t="s">
        <v>1196</v>
      </c>
      <c r="B407" t="s">
        <v>3</v>
      </c>
    </row>
    <row r="408" spans="1:2" x14ac:dyDescent="0.25">
      <c r="A408" t="s">
        <v>1197</v>
      </c>
      <c r="B408" t="s">
        <v>6</v>
      </c>
    </row>
    <row r="409" spans="1:2" x14ac:dyDescent="0.25">
      <c r="A409" t="s">
        <v>1198</v>
      </c>
      <c r="B409" t="s">
        <v>5</v>
      </c>
    </row>
    <row r="410" spans="1:2" x14ac:dyDescent="0.25">
      <c r="A410" t="s">
        <v>1200</v>
      </c>
      <c r="B410" t="s">
        <v>5</v>
      </c>
    </row>
    <row r="411" spans="1:2" x14ac:dyDescent="0.25">
      <c r="A411" t="s">
        <v>1201</v>
      </c>
      <c r="B411" t="s">
        <v>1199</v>
      </c>
    </row>
    <row r="412" spans="1:2" x14ac:dyDescent="0.25">
      <c r="A412" t="s">
        <v>1201</v>
      </c>
      <c r="B412" t="s">
        <v>1199</v>
      </c>
    </row>
    <row r="413" spans="1:2" x14ac:dyDescent="0.25">
      <c r="A413" t="s">
        <v>1202</v>
      </c>
      <c r="B413" t="s">
        <v>5</v>
      </c>
    </row>
    <row r="414" spans="1:2" x14ac:dyDescent="0.25">
      <c r="A414" t="s">
        <v>1203</v>
      </c>
      <c r="B414" t="s">
        <v>7</v>
      </c>
    </row>
    <row r="415" spans="1:2" x14ac:dyDescent="0.25">
      <c r="A415" t="s">
        <v>1204</v>
      </c>
      <c r="B415" t="s">
        <v>5</v>
      </c>
    </row>
    <row r="416" spans="1:2" x14ac:dyDescent="0.25">
      <c r="A416" t="s">
        <v>1205</v>
      </c>
      <c r="B416" t="s">
        <v>3</v>
      </c>
    </row>
    <row r="417" spans="1:2" x14ac:dyDescent="0.25">
      <c r="A417" t="s">
        <v>1206</v>
      </c>
      <c r="B417" t="s">
        <v>5</v>
      </c>
    </row>
    <row r="418" spans="1:2" x14ac:dyDescent="0.25">
      <c r="A418" t="s">
        <v>1207</v>
      </c>
      <c r="B418" t="s">
        <v>5</v>
      </c>
    </row>
    <row r="419" spans="1:2" x14ac:dyDescent="0.25">
      <c r="A419" t="s">
        <v>1208</v>
      </c>
      <c r="B419" t="s">
        <v>321</v>
      </c>
    </row>
    <row r="420" spans="1:2" x14ac:dyDescent="0.25">
      <c r="A420" t="s">
        <v>1209</v>
      </c>
      <c r="B420" t="s">
        <v>3</v>
      </c>
    </row>
    <row r="421" spans="1:2" x14ac:dyDescent="0.25">
      <c r="A421" t="s">
        <v>1210</v>
      </c>
      <c r="B421" t="s">
        <v>3</v>
      </c>
    </row>
    <row r="422" spans="1:2" x14ac:dyDescent="0.25">
      <c r="A422" t="s">
        <v>1211</v>
      </c>
      <c r="B422" t="s">
        <v>5</v>
      </c>
    </row>
    <row r="423" spans="1:2" x14ac:dyDescent="0.25">
      <c r="A423" t="s">
        <v>1212</v>
      </c>
      <c r="B423" t="s">
        <v>3</v>
      </c>
    </row>
    <row r="424" spans="1:2" x14ac:dyDescent="0.25">
      <c r="A424" t="s">
        <v>1213</v>
      </c>
      <c r="B424" t="s">
        <v>3</v>
      </c>
    </row>
    <row r="425" spans="1:2" x14ac:dyDescent="0.25">
      <c r="A425" t="s">
        <v>1214</v>
      </c>
      <c r="B425" t="s">
        <v>45</v>
      </c>
    </row>
    <row r="426" spans="1:2" x14ac:dyDescent="0.25">
      <c r="A426" t="s">
        <v>1215</v>
      </c>
      <c r="B426" t="s">
        <v>5</v>
      </c>
    </row>
    <row r="427" spans="1:2" x14ac:dyDescent="0.25">
      <c r="A427" t="s">
        <v>1216</v>
      </c>
      <c r="B427" t="s">
        <v>45</v>
      </c>
    </row>
    <row r="428" spans="1:2" x14ac:dyDescent="0.25">
      <c r="A428" t="s">
        <v>1217</v>
      </c>
      <c r="B428" t="s">
        <v>5</v>
      </c>
    </row>
    <row r="429" spans="1:2" x14ac:dyDescent="0.25">
      <c r="A429" t="s">
        <v>1218</v>
      </c>
      <c r="B429" t="s">
        <v>5</v>
      </c>
    </row>
    <row r="430" spans="1:2" x14ac:dyDescent="0.25">
      <c r="A430" t="s">
        <v>1219</v>
      </c>
      <c r="B430" t="s">
        <v>45</v>
      </c>
    </row>
    <row r="431" spans="1:2" x14ac:dyDescent="0.25">
      <c r="A431" t="s">
        <v>1220</v>
      </c>
      <c r="B431" t="s">
        <v>3</v>
      </c>
    </row>
    <row r="432" spans="1:2" x14ac:dyDescent="0.25">
      <c r="A432" t="s">
        <v>1221</v>
      </c>
      <c r="B432" t="s">
        <v>5</v>
      </c>
    </row>
    <row r="433" spans="1:2" x14ac:dyDescent="0.25">
      <c r="A433" t="s">
        <v>1222</v>
      </c>
      <c r="B433" t="s">
        <v>5</v>
      </c>
    </row>
    <row r="434" spans="1:2" x14ac:dyDescent="0.25">
      <c r="A434" t="s">
        <v>1223</v>
      </c>
      <c r="B434" t="s">
        <v>3</v>
      </c>
    </row>
    <row r="435" spans="1:2" x14ac:dyDescent="0.25">
      <c r="A435" t="s">
        <v>1226</v>
      </c>
      <c r="B435" t="s">
        <v>3</v>
      </c>
    </row>
    <row r="436" spans="1:2" x14ac:dyDescent="0.25">
      <c r="A436" t="s">
        <v>1227</v>
      </c>
      <c r="B436" t="s">
        <v>3</v>
      </c>
    </row>
    <row r="437" spans="1:2" x14ac:dyDescent="0.25">
      <c r="A437" t="s">
        <v>1228</v>
      </c>
      <c r="B437" t="s">
        <v>3</v>
      </c>
    </row>
    <row r="438" spans="1:2" x14ac:dyDescent="0.25">
      <c r="A438" t="s">
        <v>1229</v>
      </c>
      <c r="B438" t="s">
        <v>3</v>
      </c>
    </row>
    <row r="439" spans="1:2" x14ac:dyDescent="0.25">
      <c r="A439" t="s">
        <v>1230</v>
      </c>
      <c r="B439" t="s">
        <v>5</v>
      </c>
    </row>
    <row r="440" spans="1:2" x14ac:dyDescent="0.25">
      <c r="A440" t="s">
        <v>1231</v>
      </c>
      <c r="B440" t="s">
        <v>5</v>
      </c>
    </row>
    <row r="441" spans="1:2" x14ac:dyDescent="0.25">
      <c r="A441" t="s">
        <v>1233</v>
      </c>
      <c r="B441" t="s">
        <v>45</v>
      </c>
    </row>
    <row r="442" spans="1:2" x14ac:dyDescent="0.25">
      <c r="A442" t="s">
        <v>1234</v>
      </c>
      <c r="B442" t="s">
        <v>5</v>
      </c>
    </row>
    <row r="443" spans="1:2" x14ac:dyDescent="0.25">
      <c r="A443" t="s">
        <v>1236</v>
      </c>
      <c r="B443" t="s">
        <v>3</v>
      </c>
    </row>
    <row r="444" spans="1:2" x14ac:dyDescent="0.25">
      <c r="A444" t="s">
        <v>1237</v>
      </c>
      <c r="B444" t="s">
        <v>45</v>
      </c>
    </row>
    <row r="445" spans="1:2" x14ac:dyDescent="0.25">
      <c r="A445" t="s">
        <v>1238</v>
      </c>
      <c r="B445" t="s">
        <v>3</v>
      </c>
    </row>
    <row r="446" spans="1:2" x14ac:dyDescent="0.25">
      <c r="A446" t="s">
        <v>1239</v>
      </c>
      <c r="B446" t="s">
        <v>3</v>
      </c>
    </row>
    <row r="447" spans="1:2" x14ac:dyDescent="0.25">
      <c r="A447" t="s">
        <v>1240</v>
      </c>
      <c r="B447" t="s">
        <v>3</v>
      </c>
    </row>
    <row r="448" spans="1:2" x14ac:dyDescent="0.25">
      <c r="A448" t="s">
        <v>1241</v>
      </c>
      <c r="B448" t="s">
        <v>5</v>
      </c>
    </row>
    <row r="449" spans="1:2" x14ac:dyDescent="0.25">
      <c r="A449" t="s">
        <v>1242</v>
      </c>
      <c r="B449" t="s">
        <v>3</v>
      </c>
    </row>
    <row r="450" spans="1:2" x14ac:dyDescent="0.25">
      <c r="A450" t="s">
        <v>1243</v>
      </c>
      <c r="B450" t="s">
        <v>45</v>
      </c>
    </row>
    <row r="451" spans="1:2" x14ac:dyDescent="0.25">
      <c r="A451" t="s">
        <v>1244</v>
      </c>
      <c r="B451" t="s">
        <v>3</v>
      </c>
    </row>
    <row r="452" spans="1:2" x14ac:dyDescent="0.25">
      <c r="A452" t="s">
        <v>1245</v>
      </c>
      <c r="B452" t="s">
        <v>3</v>
      </c>
    </row>
    <row r="453" spans="1:2" x14ac:dyDescent="0.25">
      <c r="A453" t="s">
        <v>1246</v>
      </c>
      <c r="B453" t="s">
        <v>3</v>
      </c>
    </row>
    <row r="454" spans="1:2" x14ac:dyDescent="0.25">
      <c r="A454" t="s">
        <v>1247</v>
      </c>
      <c r="B454" t="s">
        <v>7</v>
      </c>
    </row>
    <row r="455" spans="1:2" x14ac:dyDescent="0.25">
      <c r="A455" t="s">
        <v>1248</v>
      </c>
      <c r="B455" t="s">
        <v>7</v>
      </c>
    </row>
    <row r="456" spans="1:2" x14ac:dyDescent="0.25">
      <c r="A456" t="s">
        <v>1249</v>
      </c>
      <c r="B456" t="s">
        <v>45</v>
      </c>
    </row>
    <row r="457" spans="1:2" x14ac:dyDescent="0.25">
      <c r="A457" t="s">
        <v>1250</v>
      </c>
      <c r="B457" t="s">
        <v>3</v>
      </c>
    </row>
    <row r="458" spans="1:2" x14ac:dyDescent="0.25">
      <c r="A458" t="s">
        <v>1251</v>
      </c>
      <c r="B458" t="s">
        <v>7</v>
      </c>
    </row>
    <row r="459" spans="1:2" x14ac:dyDescent="0.25">
      <c r="A459" t="s">
        <v>1252</v>
      </c>
      <c r="B459" t="s">
        <v>3</v>
      </c>
    </row>
    <row r="460" spans="1:2" x14ac:dyDescent="0.25">
      <c r="A460" t="s">
        <v>1253</v>
      </c>
      <c r="B460" t="s">
        <v>3</v>
      </c>
    </row>
    <row r="461" spans="1:2" x14ac:dyDescent="0.25">
      <c r="A461" t="s">
        <v>1254</v>
      </c>
      <c r="B461" t="s">
        <v>3</v>
      </c>
    </row>
    <row r="462" spans="1:2" x14ac:dyDescent="0.25">
      <c r="A462" t="s">
        <v>1255</v>
      </c>
      <c r="B462" t="s">
        <v>3</v>
      </c>
    </row>
    <row r="463" spans="1:2" x14ac:dyDescent="0.25">
      <c r="A463" t="s">
        <v>1256</v>
      </c>
      <c r="B463" t="s">
        <v>3</v>
      </c>
    </row>
    <row r="464" spans="1:2" x14ac:dyDescent="0.25">
      <c r="A464" t="s">
        <v>1264</v>
      </c>
      <c r="B464" t="s">
        <v>193</v>
      </c>
    </row>
    <row r="465" spans="1:2" x14ac:dyDescent="0.25">
      <c r="A465" t="s">
        <v>1265</v>
      </c>
      <c r="B465" t="s">
        <v>7</v>
      </c>
    </row>
    <row r="466" spans="1:2" x14ac:dyDescent="0.25">
      <c r="A466" t="s">
        <v>1266</v>
      </c>
      <c r="B466" t="s">
        <v>3</v>
      </c>
    </row>
    <row r="467" spans="1:2" x14ac:dyDescent="0.25">
      <c r="A467" t="s">
        <v>1257</v>
      </c>
      <c r="B467" t="s">
        <v>104</v>
      </c>
    </row>
    <row r="468" spans="1:2" x14ac:dyDescent="0.25">
      <c r="A468" t="s">
        <v>1279</v>
      </c>
      <c r="B468" t="s">
        <v>3</v>
      </c>
    </row>
    <row r="469" spans="1:2" x14ac:dyDescent="0.25">
      <c r="A469" t="s">
        <v>1269</v>
      </c>
      <c r="B469" t="s">
        <v>7</v>
      </c>
    </row>
    <row r="470" spans="1:2" x14ac:dyDescent="0.25">
      <c r="A470" t="s">
        <v>1267</v>
      </c>
      <c r="B470" t="s">
        <v>5</v>
      </c>
    </row>
    <row r="471" spans="1:2" x14ac:dyDescent="0.25">
      <c r="A471" t="s">
        <v>1278</v>
      </c>
      <c r="B471" t="s">
        <v>290</v>
      </c>
    </row>
    <row r="472" spans="1:2" x14ac:dyDescent="0.25">
      <c r="A472" t="s">
        <v>1268</v>
      </c>
      <c r="B472" t="s">
        <v>3</v>
      </c>
    </row>
    <row r="473" spans="1:2" x14ac:dyDescent="0.25">
      <c r="A473" t="s">
        <v>1280</v>
      </c>
      <c r="B473" t="s">
        <v>45</v>
      </c>
    </row>
    <row r="474" spans="1:2" x14ac:dyDescent="0.25">
      <c r="A474" t="s">
        <v>1281</v>
      </c>
      <c r="B474" t="s">
        <v>3</v>
      </c>
    </row>
    <row r="475" spans="1:2" x14ac:dyDescent="0.25">
      <c r="A475" t="s">
        <v>1282</v>
      </c>
      <c r="B475" t="s">
        <v>5</v>
      </c>
    </row>
    <row r="476" spans="1:2" x14ac:dyDescent="0.25">
      <c r="A476" t="s">
        <v>1283</v>
      </c>
      <c r="B476" t="s">
        <v>99</v>
      </c>
    </row>
    <row r="477" spans="1:2" x14ac:dyDescent="0.25">
      <c r="A477" t="s">
        <v>1284</v>
      </c>
      <c r="B477" t="s">
        <v>7</v>
      </c>
    </row>
    <row r="478" spans="1:2" x14ac:dyDescent="0.25">
      <c r="A478" t="s">
        <v>1285</v>
      </c>
      <c r="B478" t="s">
        <v>3</v>
      </c>
    </row>
    <row r="479" spans="1:2" x14ac:dyDescent="0.25">
      <c r="A479" t="s">
        <v>1286</v>
      </c>
      <c r="B479" t="s">
        <v>3</v>
      </c>
    </row>
    <row r="480" spans="1:2" x14ac:dyDescent="0.25">
      <c r="A480" t="s">
        <v>1287</v>
      </c>
      <c r="B480" t="s">
        <v>5</v>
      </c>
    </row>
    <row r="481" spans="1:2" x14ac:dyDescent="0.25">
      <c r="A481" t="s">
        <v>1288</v>
      </c>
      <c r="B481" t="s">
        <v>3</v>
      </c>
    </row>
    <row r="482" spans="1:2" x14ac:dyDescent="0.25">
      <c r="A482" t="s">
        <v>1289</v>
      </c>
      <c r="B482" t="s">
        <v>5</v>
      </c>
    </row>
    <row r="483" spans="1:2" x14ac:dyDescent="0.25">
      <c r="A483" t="s">
        <v>1290</v>
      </c>
      <c r="B483" t="s">
        <v>3</v>
      </c>
    </row>
    <row r="484" spans="1:2" x14ac:dyDescent="0.25">
      <c r="A484" t="s">
        <v>1291</v>
      </c>
      <c r="B484" t="s">
        <v>5</v>
      </c>
    </row>
    <row r="485" spans="1:2" x14ac:dyDescent="0.25">
      <c r="A485" t="s">
        <v>1292</v>
      </c>
      <c r="B485" t="s">
        <v>3</v>
      </c>
    </row>
    <row r="486" spans="1:2" x14ac:dyDescent="0.25">
      <c r="A486" t="s">
        <v>1293</v>
      </c>
      <c r="B486" t="s">
        <v>5</v>
      </c>
    </row>
    <row r="487" spans="1:2" x14ac:dyDescent="0.25">
      <c r="A487" t="s">
        <v>1294</v>
      </c>
      <c r="B487" t="s">
        <v>3</v>
      </c>
    </row>
    <row r="488" spans="1:2" x14ac:dyDescent="0.25">
      <c r="A488" t="s">
        <v>1295</v>
      </c>
      <c r="B488" t="s">
        <v>3</v>
      </c>
    </row>
    <row r="489" spans="1:2" x14ac:dyDescent="0.25">
      <c r="A489" t="s">
        <v>1296</v>
      </c>
      <c r="B489" t="s">
        <v>3</v>
      </c>
    </row>
    <row r="490" spans="1:2" x14ac:dyDescent="0.25">
      <c r="A490" t="s">
        <v>1193</v>
      </c>
      <c r="B490" t="s">
        <v>1</v>
      </c>
    </row>
    <row r="491" spans="1:2" x14ac:dyDescent="0.25">
      <c r="A491" t="s">
        <v>1225</v>
      </c>
      <c r="B491" t="s">
        <v>3</v>
      </c>
    </row>
    <row r="492" spans="1:2" x14ac:dyDescent="0.25">
      <c r="A492" t="s">
        <v>1297</v>
      </c>
      <c r="B492" t="s">
        <v>45</v>
      </c>
    </row>
    <row r="493" spans="1:2" x14ac:dyDescent="0.25">
      <c r="A493" t="s">
        <v>1299</v>
      </c>
      <c r="B493" t="s">
        <v>3</v>
      </c>
    </row>
    <row r="494" spans="1:2" x14ac:dyDescent="0.25">
      <c r="A494" t="s">
        <v>1300</v>
      </c>
      <c r="B494" t="s">
        <v>3</v>
      </c>
    </row>
    <row r="495" spans="1:2" x14ac:dyDescent="0.25">
      <c r="A495" t="s">
        <v>1301</v>
      </c>
      <c r="B495" t="s">
        <v>321</v>
      </c>
    </row>
    <row r="496" spans="1:2" x14ac:dyDescent="0.25">
      <c r="A496" t="s">
        <v>1302</v>
      </c>
      <c r="B496" t="s">
        <v>321</v>
      </c>
    </row>
    <row r="497" spans="1:2" x14ac:dyDescent="0.25">
      <c r="A497" t="s">
        <v>1303</v>
      </c>
      <c r="B497" t="s">
        <v>5</v>
      </c>
    </row>
    <row r="498" spans="1:2" x14ac:dyDescent="0.25">
      <c r="A498" t="s">
        <v>1304</v>
      </c>
      <c r="B498" t="s">
        <v>3</v>
      </c>
    </row>
    <row r="499" spans="1:2" x14ac:dyDescent="0.25">
      <c r="A499" t="s">
        <v>1305</v>
      </c>
      <c r="B499" t="s">
        <v>3</v>
      </c>
    </row>
    <row r="500" spans="1:2" x14ac:dyDescent="0.25">
      <c r="A500" t="s">
        <v>1306</v>
      </c>
      <c r="B500" t="s">
        <v>45</v>
      </c>
    </row>
    <row r="501" spans="1:2" x14ac:dyDescent="0.25">
      <c r="A501" t="s">
        <v>1307</v>
      </c>
      <c r="B501" t="s">
        <v>3</v>
      </c>
    </row>
    <row r="502" spans="1:2" x14ac:dyDescent="0.25">
      <c r="A502" t="s">
        <v>1308</v>
      </c>
      <c r="B502" t="s">
        <v>7</v>
      </c>
    </row>
    <row r="503" spans="1:2" x14ac:dyDescent="0.25">
      <c r="A503" t="s">
        <v>1309</v>
      </c>
      <c r="B503" t="s">
        <v>7</v>
      </c>
    </row>
    <row r="504" spans="1:2" x14ac:dyDescent="0.25">
      <c r="A504" t="s">
        <v>1310</v>
      </c>
      <c r="B504" t="s">
        <v>3</v>
      </c>
    </row>
    <row r="505" spans="1:2" x14ac:dyDescent="0.25">
      <c r="A505" t="s">
        <v>1311</v>
      </c>
      <c r="B505" t="s">
        <v>2</v>
      </c>
    </row>
    <row r="506" spans="1:2" x14ac:dyDescent="0.25">
      <c r="A506" t="s">
        <v>1312</v>
      </c>
      <c r="B506" t="s">
        <v>3</v>
      </c>
    </row>
    <row r="507" spans="1:2" x14ac:dyDescent="0.25">
      <c r="A507" t="s">
        <v>1313</v>
      </c>
      <c r="B507" t="s">
        <v>3</v>
      </c>
    </row>
    <row r="508" spans="1:2" x14ac:dyDescent="0.25">
      <c r="A508" t="s">
        <v>1314</v>
      </c>
      <c r="B508" t="s">
        <v>3</v>
      </c>
    </row>
    <row r="509" spans="1:2" x14ac:dyDescent="0.25">
      <c r="A509" t="s">
        <v>1315</v>
      </c>
      <c r="B509" t="s">
        <v>193</v>
      </c>
    </row>
    <row r="510" spans="1:2" x14ac:dyDescent="0.25">
      <c r="A510" t="s">
        <v>1316</v>
      </c>
      <c r="B510" t="s">
        <v>45</v>
      </c>
    </row>
    <row r="511" spans="1:2" x14ac:dyDescent="0.25">
      <c r="A511" t="s">
        <v>1317</v>
      </c>
      <c r="B511" t="s">
        <v>7</v>
      </c>
    </row>
    <row r="512" spans="1:2" x14ac:dyDescent="0.25">
      <c r="A512" t="s">
        <v>1318</v>
      </c>
      <c r="B512" t="s">
        <v>3</v>
      </c>
    </row>
    <row r="513" spans="1:2" x14ac:dyDescent="0.25">
      <c r="A513" t="s">
        <v>1319</v>
      </c>
      <c r="B513" t="s">
        <v>2</v>
      </c>
    </row>
    <row r="514" spans="1:2" x14ac:dyDescent="0.25">
      <c r="A514" t="s">
        <v>1320</v>
      </c>
      <c r="B514" t="s">
        <v>321</v>
      </c>
    </row>
    <row r="515" spans="1:2" x14ac:dyDescent="0.25">
      <c r="A515" t="s">
        <v>1321</v>
      </c>
      <c r="B515" t="s">
        <v>5</v>
      </c>
    </row>
    <row r="516" spans="1:2" x14ac:dyDescent="0.25">
      <c r="A516" t="s">
        <v>1322</v>
      </c>
      <c r="B516" t="s">
        <v>45</v>
      </c>
    </row>
    <row r="517" spans="1:2" x14ac:dyDescent="0.25">
      <c r="A517" t="s">
        <v>1323</v>
      </c>
      <c r="B517" t="s">
        <v>3</v>
      </c>
    </row>
    <row r="518" spans="1:2" x14ac:dyDescent="0.25">
      <c r="A518" t="s">
        <v>1324</v>
      </c>
      <c r="B518" t="s">
        <v>3</v>
      </c>
    </row>
    <row r="519" spans="1:2" x14ac:dyDescent="0.25">
      <c r="A519" t="s">
        <v>1325</v>
      </c>
      <c r="B519" t="s">
        <v>3</v>
      </c>
    </row>
    <row r="520" spans="1:2" x14ac:dyDescent="0.25">
      <c r="A520" t="s">
        <v>1326</v>
      </c>
      <c r="B520" t="s">
        <v>3</v>
      </c>
    </row>
    <row r="521" spans="1:2" x14ac:dyDescent="0.25">
      <c r="A521" t="s">
        <v>1327</v>
      </c>
      <c r="B521" t="s">
        <v>7</v>
      </c>
    </row>
    <row r="522" spans="1:2" x14ac:dyDescent="0.25">
      <c r="A522" t="s">
        <v>1328</v>
      </c>
      <c r="B522" t="s">
        <v>3</v>
      </c>
    </row>
    <row r="523" spans="1:2" x14ac:dyDescent="0.25">
      <c r="A523" t="s">
        <v>1329</v>
      </c>
      <c r="B523" t="s">
        <v>5</v>
      </c>
    </row>
    <row r="524" spans="1:2" x14ac:dyDescent="0.25">
      <c r="A524" t="s">
        <v>1330</v>
      </c>
      <c r="B524" t="s">
        <v>7</v>
      </c>
    </row>
    <row r="525" spans="1:2" x14ac:dyDescent="0.25">
      <c r="A525" t="s">
        <v>1331</v>
      </c>
      <c r="B525" t="s">
        <v>3</v>
      </c>
    </row>
    <row r="526" spans="1:2" x14ac:dyDescent="0.25">
      <c r="A526" t="s">
        <v>1332</v>
      </c>
      <c r="B526" t="s">
        <v>321</v>
      </c>
    </row>
    <row r="527" spans="1:2" x14ac:dyDescent="0.25">
      <c r="A527" t="s">
        <v>1340</v>
      </c>
      <c r="B527" t="s">
        <v>3</v>
      </c>
    </row>
    <row r="528" spans="1:2" x14ac:dyDescent="0.25">
      <c r="A528" t="s">
        <v>1333</v>
      </c>
      <c r="B528" t="s">
        <v>3</v>
      </c>
    </row>
    <row r="529" spans="1:2" x14ac:dyDescent="0.25">
      <c r="A529" t="s">
        <v>1334</v>
      </c>
      <c r="B529" t="s">
        <v>321</v>
      </c>
    </row>
    <row r="530" spans="1:2" x14ac:dyDescent="0.25">
      <c r="A530" t="s">
        <v>1335</v>
      </c>
      <c r="B530" t="s">
        <v>99</v>
      </c>
    </row>
    <row r="531" spans="1:2" x14ac:dyDescent="0.25">
      <c r="A531" t="s">
        <v>1336</v>
      </c>
      <c r="B531" t="s">
        <v>3</v>
      </c>
    </row>
    <row r="532" spans="1:2" x14ac:dyDescent="0.25">
      <c r="A532" t="s">
        <v>1337</v>
      </c>
      <c r="B532" t="s">
        <v>7</v>
      </c>
    </row>
    <row r="533" spans="1:2" x14ac:dyDescent="0.25">
      <c r="A533" t="s">
        <v>1338</v>
      </c>
      <c r="B533" t="s">
        <v>3</v>
      </c>
    </row>
    <row r="534" spans="1:2" x14ac:dyDescent="0.25">
      <c r="A534" t="s">
        <v>1339</v>
      </c>
      <c r="B534" t="s">
        <v>3</v>
      </c>
    </row>
    <row r="535" spans="1:2" x14ac:dyDescent="0.25">
      <c r="A535" t="s">
        <v>1341</v>
      </c>
      <c r="B535" t="s">
        <v>5</v>
      </c>
    </row>
    <row r="536" spans="1:2" x14ac:dyDescent="0.25">
      <c r="A536" t="s">
        <v>1342</v>
      </c>
      <c r="B536" t="s">
        <v>3</v>
      </c>
    </row>
    <row r="537" spans="1:2" x14ac:dyDescent="0.25">
      <c r="A537" t="s">
        <v>1343</v>
      </c>
      <c r="B537" t="s">
        <v>3</v>
      </c>
    </row>
    <row r="538" spans="1:2" x14ac:dyDescent="0.25">
      <c r="A538" t="s">
        <v>1345</v>
      </c>
      <c r="B538" t="s">
        <v>1199</v>
      </c>
    </row>
    <row r="539" spans="1:2" x14ac:dyDescent="0.25">
      <c r="A539" t="s">
        <v>1346</v>
      </c>
      <c r="B539" t="s">
        <v>5</v>
      </c>
    </row>
    <row r="540" spans="1:2" x14ac:dyDescent="0.25">
      <c r="A540" t="s">
        <v>1352</v>
      </c>
      <c r="B540" t="s">
        <v>1199</v>
      </c>
    </row>
    <row r="541" spans="1:2" x14ac:dyDescent="0.25">
      <c r="A541" t="s">
        <v>1353</v>
      </c>
      <c r="B541" t="s">
        <v>3</v>
      </c>
    </row>
    <row r="542" spans="1:2" x14ac:dyDescent="0.25">
      <c r="A542" t="s">
        <v>1354</v>
      </c>
      <c r="B542" t="s">
        <v>3</v>
      </c>
    </row>
    <row r="543" spans="1:2" x14ac:dyDescent="0.25">
      <c r="A543" t="s">
        <v>1355</v>
      </c>
      <c r="B543" t="s">
        <v>7</v>
      </c>
    </row>
    <row r="544" spans="1:2" x14ac:dyDescent="0.25">
      <c r="A544" t="s">
        <v>1356</v>
      </c>
      <c r="B544" t="s">
        <v>3</v>
      </c>
    </row>
    <row r="545" spans="1:2" x14ac:dyDescent="0.25">
      <c r="A545" t="s">
        <v>1357</v>
      </c>
      <c r="B545" t="s">
        <v>7</v>
      </c>
    </row>
    <row r="546" spans="1:2" x14ac:dyDescent="0.25">
      <c r="A546" t="s">
        <v>1355</v>
      </c>
      <c r="B546" t="s">
        <v>7</v>
      </c>
    </row>
    <row r="547" spans="1:2" x14ac:dyDescent="0.25">
      <c r="A547" t="s">
        <v>1358</v>
      </c>
      <c r="B547" t="s">
        <v>3</v>
      </c>
    </row>
    <row r="548" spans="1:2" x14ac:dyDescent="0.25">
      <c r="A548" t="s">
        <v>1359</v>
      </c>
      <c r="B548" t="s">
        <v>3</v>
      </c>
    </row>
    <row r="549" spans="1:2" x14ac:dyDescent="0.25">
      <c r="A549" t="s">
        <v>1360</v>
      </c>
      <c r="B549" t="s">
        <v>3</v>
      </c>
    </row>
    <row r="550" spans="1:2" x14ac:dyDescent="0.25">
      <c r="A550" t="s">
        <v>1361</v>
      </c>
      <c r="B550" t="s">
        <v>3</v>
      </c>
    </row>
    <row r="551" spans="1:2" x14ac:dyDescent="0.25">
      <c r="A551" t="s">
        <v>1362</v>
      </c>
      <c r="B551" t="s">
        <v>3</v>
      </c>
    </row>
    <row r="552" spans="1:2" x14ac:dyDescent="0.25">
      <c r="A552" t="s">
        <v>1363</v>
      </c>
      <c r="B552" t="s">
        <v>3</v>
      </c>
    </row>
    <row r="553" spans="1:2" x14ac:dyDescent="0.25">
      <c r="A553" t="s">
        <v>1364</v>
      </c>
      <c r="B553" t="s">
        <v>3</v>
      </c>
    </row>
    <row r="554" spans="1:2" x14ac:dyDescent="0.25">
      <c r="A554" t="s">
        <v>1271</v>
      </c>
      <c r="B554" t="s">
        <v>7</v>
      </c>
    </row>
    <row r="555" spans="1:2" x14ac:dyDescent="0.25">
      <c r="A555" t="s">
        <v>1365</v>
      </c>
      <c r="B555" t="s">
        <v>3</v>
      </c>
    </row>
    <row r="556" spans="1:2" x14ac:dyDescent="0.25">
      <c r="A556" t="s">
        <v>1366</v>
      </c>
      <c r="B556" t="s">
        <v>3</v>
      </c>
    </row>
    <row r="557" spans="1:2" x14ac:dyDescent="0.25">
      <c r="A557" t="s">
        <v>1367</v>
      </c>
      <c r="B557" t="s">
        <v>5</v>
      </c>
    </row>
    <row r="558" spans="1:2" x14ac:dyDescent="0.25">
      <c r="A558" t="s">
        <v>1368</v>
      </c>
      <c r="B558" t="s">
        <v>3</v>
      </c>
    </row>
    <row r="559" spans="1:2" x14ac:dyDescent="0.25">
      <c r="A559" t="s">
        <v>1369</v>
      </c>
      <c r="B559" t="s">
        <v>3</v>
      </c>
    </row>
    <row r="560" spans="1:2" x14ac:dyDescent="0.25">
      <c r="A560" t="s">
        <v>1370</v>
      </c>
      <c r="B560" t="s">
        <v>45</v>
      </c>
    </row>
    <row r="561" spans="1:2" x14ac:dyDescent="0.25">
      <c r="A561" t="s">
        <v>1371</v>
      </c>
      <c r="B561" t="s">
        <v>2</v>
      </c>
    </row>
    <row r="562" spans="1:2" x14ac:dyDescent="0.25">
      <c r="A562" t="s">
        <v>1372</v>
      </c>
      <c r="B562" t="s">
        <v>1</v>
      </c>
    </row>
    <row r="563" spans="1:2" x14ac:dyDescent="0.25">
      <c r="A563" t="s">
        <v>1373</v>
      </c>
      <c r="B563" t="s">
        <v>3</v>
      </c>
    </row>
    <row r="564" spans="1:2" x14ac:dyDescent="0.25">
      <c r="A564" t="s">
        <v>1347</v>
      </c>
      <c r="B564" t="s">
        <v>3</v>
      </c>
    </row>
    <row r="565" spans="1:2" x14ac:dyDescent="0.25">
      <c r="A565" t="s">
        <v>1348</v>
      </c>
      <c r="B565" t="s">
        <v>5</v>
      </c>
    </row>
    <row r="566" spans="1:2" x14ac:dyDescent="0.25">
      <c r="A566" t="s">
        <v>1350</v>
      </c>
      <c r="B566" t="s">
        <v>5</v>
      </c>
    </row>
    <row r="567" spans="1:2" x14ac:dyDescent="0.25">
      <c r="A567" t="s">
        <v>1270</v>
      </c>
      <c r="B567" t="s">
        <v>3</v>
      </c>
    </row>
    <row r="568" spans="1:2" x14ac:dyDescent="0.25">
      <c r="A568" t="s">
        <v>1272</v>
      </c>
      <c r="B568" t="s">
        <v>193</v>
      </c>
    </row>
    <row r="569" spans="1:2" x14ac:dyDescent="0.25">
      <c r="A569" t="s">
        <v>1273</v>
      </c>
      <c r="B569" t="s">
        <v>3</v>
      </c>
    </row>
    <row r="570" spans="1:2" x14ac:dyDescent="0.25">
      <c r="A570" t="s">
        <v>1274</v>
      </c>
      <c r="B570" t="s">
        <v>7</v>
      </c>
    </row>
    <row r="571" spans="1:2" x14ac:dyDescent="0.25">
      <c r="A571" t="s">
        <v>1275</v>
      </c>
      <c r="B571" t="s">
        <v>3</v>
      </c>
    </row>
    <row r="572" spans="1:2" x14ac:dyDescent="0.25">
      <c r="A572" t="s">
        <v>1276</v>
      </c>
      <c r="B572" t="s">
        <v>3</v>
      </c>
    </row>
    <row r="573" spans="1:2" x14ac:dyDescent="0.25">
      <c r="A573" t="s">
        <v>1277</v>
      </c>
      <c r="B573" t="s">
        <v>1</v>
      </c>
    </row>
    <row r="574" spans="1:2" x14ac:dyDescent="0.25">
      <c r="A574" t="s">
        <v>1258</v>
      </c>
      <c r="B574" t="s">
        <v>1199</v>
      </c>
    </row>
    <row r="575" spans="1:2" x14ac:dyDescent="0.25">
      <c r="A575" t="s">
        <v>1260</v>
      </c>
      <c r="B575" t="s">
        <v>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5"/>
  <sheetViews>
    <sheetView topLeftCell="A73" workbookViewId="0">
      <selection activeCell="A27" sqref="A27:XFD27"/>
    </sheetView>
  </sheetViews>
  <sheetFormatPr defaultRowHeight="15" x14ac:dyDescent="0.25"/>
  <cols>
    <col min="1" max="1" width="10.42578125" style="19" bestFit="1" customWidth="1"/>
    <col min="4" max="4" width="23.28515625" bestFit="1" customWidth="1"/>
    <col min="5" max="5" width="35.28515625" bestFit="1" customWidth="1"/>
  </cols>
  <sheetData>
    <row r="1" spans="1:6" x14ac:dyDescent="0.25">
      <c r="A1" s="19">
        <v>45381</v>
      </c>
      <c r="B1">
        <v>-115</v>
      </c>
      <c r="C1" t="s">
        <v>385</v>
      </c>
      <c r="D1" t="s">
        <v>388</v>
      </c>
      <c r="E1" t="s">
        <v>1231</v>
      </c>
      <c r="F1" t="str">
        <f>VLOOKUP(E1, 'POS Categories'!$A$1:$B$1999, 2, FALSE)</f>
        <v>Entertainment</v>
      </c>
    </row>
    <row r="2" spans="1:6" x14ac:dyDescent="0.25">
      <c r="A2" s="19">
        <v>45381</v>
      </c>
      <c r="B2">
        <v>-242.28</v>
      </c>
      <c r="C2" t="s">
        <v>385</v>
      </c>
      <c r="D2" t="s">
        <v>388</v>
      </c>
      <c r="E2" t="s">
        <v>1207</v>
      </c>
      <c r="F2" t="str">
        <f>VLOOKUP(E2, 'POS Categories'!$A$1:$B$1999, 2, FALSE)</f>
        <v>Entertainment</v>
      </c>
    </row>
    <row r="3" spans="1:6" x14ac:dyDescent="0.25">
      <c r="A3" s="19">
        <v>45381</v>
      </c>
      <c r="B3">
        <v>246.86</v>
      </c>
      <c r="C3" t="s">
        <v>385</v>
      </c>
      <c r="D3" t="s">
        <v>430</v>
      </c>
      <c r="E3" t="s">
        <v>1294</v>
      </c>
      <c r="F3" t="str">
        <f>VLOOKUP(E3, 'POS Categories'!$A$1:$B$1999, 2, FALSE)</f>
        <v>Food</v>
      </c>
    </row>
    <row r="4" spans="1:6" x14ac:dyDescent="0.25">
      <c r="A4" s="19">
        <v>45381</v>
      </c>
      <c r="B4">
        <v>-246.86</v>
      </c>
      <c r="C4" t="s">
        <v>385</v>
      </c>
      <c r="D4" t="s">
        <v>388</v>
      </c>
      <c r="E4" t="s">
        <v>1294</v>
      </c>
      <c r="F4" t="str">
        <f>VLOOKUP(E4, 'POS Categories'!$A$1:$B$1999, 2, FALSE)</f>
        <v>Food</v>
      </c>
    </row>
    <row r="5" spans="1:6" x14ac:dyDescent="0.25">
      <c r="A5" s="19">
        <v>45381</v>
      </c>
      <c r="B5">
        <v>246.86</v>
      </c>
      <c r="C5" t="s">
        <v>385</v>
      </c>
      <c r="D5" t="s">
        <v>430</v>
      </c>
      <c r="E5" t="s">
        <v>1294</v>
      </c>
      <c r="F5" t="str">
        <f>VLOOKUP(E5, 'POS Categories'!$A$1:$B$1999, 2, FALSE)</f>
        <v>Food</v>
      </c>
    </row>
    <row r="6" spans="1:6" x14ac:dyDescent="0.25">
      <c r="A6" s="19">
        <v>45381</v>
      </c>
      <c r="B6">
        <v>-246.86</v>
      </c>
      <c r="C6" t="s">
        <v>385</v>
      </c>
      <c r="D6" t="s">
        <v>388</v>
      </c>
      <c r="E6" t="s">
        <v>1294</v>
      </c>
      <c r="F6" t="str">
        <f>VLOOKUP(E6, 'POS Categories'!$A$1:$B$1999, 2, FALSE)</f>
        <v>Food</v>
      </c>
    </row>
    <row r="7" spans="1:6" x14ac:dyDescent="0.25">
      <c r="A7" s="19">
        <v>45381</v>
      </c>
      <c r="B7">
        <v>246.86</v>
      </c>
      <c r="C7" t="s">
        <v>385</v>
      </c>
      <c r="D7" t="s">
        <v>430</v>
      </c>
      <c r="E7" t="s">
        <v>1294</v>
      </c>
      <c r="F7" t="str">
        <f>VLOOKUP(E7, 'POS Categories'!$A$1:$B$1999, 2, FALSE)</f>
        <v>Food</v>
      </c>
    </row>
    <row r="8" spans="1:6" x14ac:dyDescent="0.25">
      <c r="A8" s="19">
        <v>45381</v>
      </c>
      <c r="B8">
        <v>-246.86</v>
      </c>
      <c r="C8" t="s">
        <v>385</v>
      </c>
      <c r="D8" t="s">
        <v>388</v>
      </c>
      <c r="E8" t="s">
        <v>1294</v>
      </c>
      <c r="F8" t="str">
        <f>VLOOKUP(E8, 'POS Categories'!$A$1:$B$1999, 2, FALSE)</f>
        <v>Food</v>
      </c>
    </row>
    <row r="9" spans="1:6" x14ac:dyDescent="0.25">
      <c r="A9" s="19">
        <v>45381</v>
      </c>
      <c r="B9">
        <v>-8.08</v>
      </c>
      <c r="C9" t="s">
        <v>385</v>
      </c>
      <c r="D9" t="s">
        <v>388</v>
      </c>
      <c r="E9" t="s">
        <v>408</v>
      </c>
      <c r="F9" t="str">
        <f>VLOOKUP(E9, 'POS Categories'!$A$1:$B$1999, 2, FALSE)</f>
        <v>Food</v>
      </c>
    </row>
    <row r="10" spans="1:6" x14ac:dyDescent="0.25">
      <c r="A10" s="19">
        <v>45381</v>
      </c>
      <c r="B10">
        <v>-6.28</v>
      </c>
      <c r="C10" t="s">
        <v>385</v>
      </c>
      <c r="D10" t="s">
        <v>388</v>
      </c>
      <c r="E10" t="s">
        <v>183</v>
      </c>
      <c r="F10" t="str">
        <f>VLOOKUP(E10, 'POS Categories'!$A$1:$B$1999, 2, FALSE)</f>
        <v>Food</v>
      </c>
    </row>
    <row r="11" spans="1:6" x14ac:dyDescent="0.25">
      <c r="A11" s="19">
        <v>45381</v>
      </c>
      <c r="B11">
        <v>-11.74</v>
      </c>
      <c r="C11" t="s">
        <v>385</v>
      </c>
      <c r="D11" t="s">
        <v>388</v>
      </c>
      <c r="E11" t="s">
        <v>408</v>
      </c>
      <c r="F11" t="str">
        <f>VLOOKUP(E11, 'POS Categories'!$A$1:$B$1999, 2, FALSE)</f>
        <v>Food</v>
      </c>
    </row>
    <row r="12" spans="1:6" x14ac:dyDescent="0.25">
      <c r="A12" s="19">
        <v>45381</v>
      </c>
      <c r="B12">
        <v>-18.3</v>
      </c>
      <c r="C12" t="s">
        <v>385</v>
      </c>
      <c r="D12" t="s">
        <v>388</v>
      </c>
      <c r="E12" t="s">
        <v>1336</v>
      </c>
      <c r="F12" t="str">
        <f>VLOOKUP(E12, 'POS Categories'!$A$1:$B$1999, 2, FALSE)</f>
        <v>Food</v>
      </c>
    </row>
    <row r="13" spans="1:6" x14ac:dyDescent="0.25">
      <c r="A13" s="19">
        <v>45381</v>
      </c>
      <c r="B13">
        <v>-57.77</v>
      </c>
      <c r="C13" t="s">
        <v>385</v>
      </c>
      <c r="D13" t="s">
        <v>388</v>
      </c>
      <c r="E13" t="s">
        <v>271</v>
      </c>
      <c r="F13" t="str">
        <f>VLOOKUP(E13, 'POS Categories'!$A$1:$B$1999, 2, FALSE)</f>
        <v>Food</v>
      </c>
    </row>
    <row r="14" spans="1:6" x14ac:dyDescent="0.25">
      <c r="A14" s="19">
        <v>45381</v>
      </c>
      <c r="B14">
        <v>-69.66</v>
      </c>
      <c r="C14" t="s">
        <v>385</v>
      </c>
      <c r="D14" t="s">
        <v>388</v>
      </c>
      <c r="E14" t="s">
        <v>1366</v>
      </c>
      <c r="F14" t="str">
        <f>VLOOKUP(E14, 'POS Categories'!$A$1:$B$1999, 2, FALSE)</f>
        <v>Food</v>
      </c>
    </row>
    <row r="15" spans="1:6" x14ac:dyDescent="0.25">
      <c r="A15" s="19">
        <v>45381</v>
      </c>
      <c r="B15">
        <v>-250</v>
      </c>
      <c r="C15" t="s">
        <v>385</v>
      </c>
      <c r="D15" t="s">
        <v>400</v>
      </c>
      <c r="E15" t="s">
        <v>1335</v>
      </c>
      <c r="F15" t="str">
        <f>VLOOKUP(E15, 'POS Categories'!$A$1:$B$1999, 2, FALSE)</f>
        <v>Investment</v>
      </c>
    </row>
    <row r="16" spans="1:6" x14ac:dyDescent="0.25">
      <c r="A16" s="19">
        <v>45381</v>
      </c>
      <c r="B16">
        <v>-150</v>
      </c>
      <c r="C16" t="s">
        <v>385</v>
      </c>
      <c r="D16" t="s">
        <v>400</v>
      </c>
      <c r="E16" t="s">
        <v>1335</v>
      </c>
      <c r="F16" t="str">
        <f>VLOOKUP(E16, 'POS Categories'!$A$1:$B$1999, 2, FALSE)</f>
        <v>Investment</v>
      </c>
    </row>
    <row r="17" spans="1:6" x14ac:dyDescent="0.25">
      <c r="A17" s="19">
        <v>45381</v>
      </c>
      <c r="B17">
        <v>-240.68</v>
      </c>
      <c r="C17" t="s">
        <v>385</v>
      </c>
      <c r="D17" t="s">
        <v>388</v>
      </c>
      <c r="E17" t="s">
        <v>1207</v>
      </c>
      <c r="F17" t="str">
        <f>VLOOKUP(E17, 'POS Categories'!$A$1:$B$1999, 2, FALSE)</f>
        <v>Entertainment</v>
      </c>
    </row>
    <row r="18" spans="1:6" x14ac:dyDescent="0.25">
      <c r="A18" s="19">
        <v>45381</v>
      </c>
      <c r="B18">
        <v>-17.52</v>
      </c>
      <c r="C18" t="s">
        <v>385</v>
      </c>
      <c r="D18" t="s">
        <v>388</v>
      </c>
      <c r="E18" t="s">
        <v>184</v>
      </c>
      <c r="F18" t="str">
        <f>VLOOKUP(E18, 'POS Categories'!$A$1:$B$1999, 2, FALSE)</f>
        <v>Food</v>
      </c>
    </row>
    <row r="19" spans="1:6" x14ac:dyDescent="0.25">
      <c r="A19" s="19">
        <v>45379</v>
      </c>
      <c r="B19">
        <v>-5.08</v>
      </c>
      <c r="C19" t="s">
        <v>385</v>
      </c>
      <c r="D19" t="s">
        <v>388</v>
      </c>
      <c r="E19" t="s">
        <v>183</v>
      </c>
      <c r="F19" t="str">
        <f>VLOOKUP(E19, 'POS Categories'!$A$1:$B$1999, 2, FALSE)</f>
        <v>Food</v>
      </c>
    </row>
    <row r="20" spans="1:6" x14ac:dyDescent="0.25">
      <c r="A20" s="19">
        <v>45379</v>
      </c>
      <c r="B20">
        <v>-22.18</v>
      </c>
      <c r="C20" t="s">
        <v>385</v>
      </c>
      <c r="D20" t="s">
        <v>388</v>
      </c>
      <c r="E20" t="s">
        <v>171</v>
      </c>
      <c r="F20" t="str">
        <f>VLOOKUP(E20, 'POS Categories'!$A$1:$B$1999, 2, FALSE)</f>
        <v>Food</v>
      </c>
    </row>
    <row r="21" spans="1:6" x14ac:dyDescent="0.25">
      <c r="A21" s="19">
        <v>45379</v>
      </c>
      <c r="B21">
        <v>-14.76</v>
      </c>
      <c r="C21" t="s">
        <v>385</v>
      </c>
      <c r="D21" t="s">
        <v>388</v>
      </c>
      <c r="E21" t="s">
        <v>1225</v>
      </c>
      <c r="F21" t="str">
        <f>VLOOKUP(E21, 'POS Categories'!$A$1:$B$1999, 2, FALSE)</f>
        <v>Food</v>
      </c>
    </row>
    <row r="22" spans="1:6" x14ac:dyDescent="0.25">
      <c r="A22" s="19">
        <v>45378</v>
      </c>
      <c r="B22">
        <v>-34.19</v>
      </c>
      <c r="C22" t="s">
        <v>385</v>
      </c>
      <c r="D22" t="s">
        <v>388</v>
      </c>
      <c r="E22" t="s">
        <v>1196</v>
      </c>
      <c r="F22" t="str">
        <f>VLOOKUP(E22, 'POS Categories'!$A$1:$B$1999, 2, FALSE)</f>
        <v>Food</v>
      </c>
    </row>
    <row r="23" spans="1:6" x14ac:dyDescent="0.25">
      <c r="A23" s="19">
        <v>45378</v>
      </c>
      <c r="B23">
        <v>-25.53</v>
      </c>
      <c r="C23" t="s">
        <v>385</v>
      </c>
      <c r="D23" t="s">
        <v>388</v>
      </c>
      <c r="E23" t="s">
        <v>1244</v>
      </c>
      <c r="F23" t="str">
        <f>VLOOKUP(E23, 'POS Categories'!$A$1:$B$1999, 2, FALSE)</f>
        <v>Food</v>
      </c>
    </row>
    <row r="24" spans="1:6" x14ac:dyDescent="0.25">
      <c r="A24" s="19">
        <v>45378</v>
      </c>
      <c r="B24">
        <v>-3.99</v>
      </c>
      <c r="C24" t="s">
        <v>385</v>
      </c>
      <c r="D24" t="s">
        <v>388</v>
      </c>
      <c r="E24" t="s">
        <v>408</v>
      </c>
      <c r="F24" t="str">
        <f>VLOOKUP(E24, 'POS Categories'!$A$1:$B$1999, 2, FALSE)</f>
        <v>Food</v>
      </c>
    </row>
    <row r="25" spans="1:6" x14ac:dyDescent="0.25">
      <c r="A25" s="19">
        <v>45377</v>
      </c>
      <c r="B25">
        <v>-5.95</v>
      </c>
      <c r="C25" t="s">
        <v>385</v>
      </c>
      <c r="D25" t="s">
        <v>388</v>
      </c>
      <c r="E25" t="s">
        <v>183</v>
      </c>
      <c r="F25" t="str">
        <f>VLOOKUP(E25, 'POS Categories'!$A$1:$B$1999, 2, FALSE)</f>
        <v>Food</v>
      </c>
    </row>
    <row r="26" spans="1:6" x14ac:dyDescent="0.25">
      <c r="A26" s="19">
        <v>45377</v>
      </c>
      <c r="B26">
        <v>-30.13</v>
      </c>
      <c r="C26" t="s">
        <v>385</v>
      </c>
      <c r="D26" t="s">
        <v>388</v>
      </c>
      <c r="E26" t="s">
        <v>1295</v>
      </c>
      <c r="F26" t="str">
        <f>VLOOKUP(E26, 'POS Categories'!$A$1:$B$1999, 2, FALSE)</f>
        <v>Food</v>
      </c>
    </row>
    <row r="27" spans="1:6" x14ac:dyDescent="0.25">
      <c r="A27" s="19">
        <v>45377</v>
      </c>
      <c r="B27">
        <v>-11.7</v>
      </c>
      <c r="C27" t="s">
        <v>385</v>
      </c>
      <c r="D27" t="s">
        <v>400</v>
      </c>
      <c r="E27" t="s">
        <v>401</v>
      </c>
      <c r="F27" t="str">
        <f>VLOOKUP(E27, 'POS Categories'!$A$1:$B$1999, 2, FALSE)</f>
        <v>Misc</v>
      </c>
    </row>
    <row r="28" spans="1:6" x14ac:dyDescent="0.25">
      <c r="A28" s="19">
        <v>45376</v>
      </c>
      <c r="B28">
        <v>-14.63</v>
      </c>
      <c r="C28" t="s">
        <v>385</v>
      </c>
      <c r="D28" t="s">
        <v>388</v>
      </c>
      <c r="E28" t="s">
        <v>171</v>
      </c>
      <c r="F28" t="str">
        <f>VLOOKUP(E28, 'POS Categories'!$A$1:$B$1999, 2, FALSE)</f>
        <v>Food</v>
      </c>
    </row>
    <row r="29" spans="1:6" x14ac:dyDescent="0.25">
      <c r="A29" s="19">
        <v>45376</v>
      </c>
      <c r="B29">
        <v>-44</v>
      </c>
      <c r="C29" t="s">
        <v>385</v>
      </c>
      <c r="D29" t="s">
        <v>388</v>
      </c>
      <c r="E29" t="s">
        <v>1312</v>
      </c>
      <c r="F29" t="str">
        <f>VLOOKUP(E29, 'POS Categories'!$A$1:$B$1999, 2, FALSE)</f>
        <v>Food</v>
      </c>
    </row>
    <row r="30" spans="1:6" x14ac:dyDescent="0.25">
      <c r="A30" s="19">
        <v>45376</v>
      </c>
      <c r="B30">
        <v>-13.36</v>
      </c>
      <c r="C30" t="s">
        <v>385</v>
      </c>
      <c r="D30" t="s">
        <v>388</v>
      </c>
      <c r="E30" t="s">
        <v>408</v>
      </c>
      <c r="F30" t="str">
        <f>VLOOKUP(E30, 'POS Categories'!$A$1:$B$1999, 2, FALSE)</f>
        <v>Food</v>
      </c>
    </row>
    <row r="31" spans="1:6" x14ac:dyDescent="0.25">
      <c r="A31" s="19">
        <v>45376</v>
      </c>
      <c r="B31">
        <v>-36.61</v>
      </c>
      <c r="C31" t="s">
        <v>385</v>
      </c>
      <c r="D31" t="s">
        <v>388</v>
      </c>
      <c r="E31" t="s">
        <v>1336</v>
      </c>
      <c r="F31" t="str">
        <f>VLOOKUP(E31, 'POS Categories'!$A$1:$B$1999, 2, FALSE)</f>
        <v>Food</v>
      </c>
    </row>
    <row r="32" spans="1:6" x14ac:dyDescent="0.25">
      <c r="A32" s="19">
        <v>45376</v>
      </c>
      <c r="B32">
        <v>-7.08</v>
      </c>
      <c r="C32" t="s">
        <v>385</v>
      </c>
      <c r="D32" t="s">
        <v>388</v>
      </c>
      <c r="E32" t="s">
        <v>408</v>
      </c>
      <c r="F32" t="str">
        <f>VLOOKUP(E32, 'POS Categories'!$A$1:$B$1999, 2, FALSE)</f>
        <v>Food</v>
      </c>
    </row>
    <row r="33" spans="1:6" x14ac:dyDescent="0.25">
      <c r="A33" s="19">
        <v>45374</v>
      </c>
      <c r="B33">
        <v>-14.32</v>
      </c>
      <c r="C33" t="s">
        <v>385</v>
      </c>
      <c r="D33" t="s">
        <v>388</v>
      </c>
      <c r="E33" t="s">
        <v>1225</v>
      </c>
      <c r="F33" t="str">
        <f>VLOOKUP(E33, 'POS Categories'!$A$1:$B$1999, 2, FALSE)</f>
        <v>Food</v>
      </c>
    </row>
    <row r="34" spans="1:6" x14ac:dyDescent="0.25">
      <c r="A34" s="19">
        <v>45373</v>
      </c>
      <c r="B34">
        <v>-69.95</v>
      </c>
      <c r="C34" t="s">
        <v>385</v>
      </c>
      <c r="D34" t="s">
        <v>388</v>
      </c>
      <c r="E34" t="s">
        <v>1337</v>
      </c>
      <c r="F34" t="str">
        <f>VLOOKUP(E34, 'POS Categories'!$A$1:$B$1999, 2, FALSE)</f>
        <v>Vehicle</v>
      </c>
    </row>
    <row r="35" spans="1:6" x14ac:dyDescent="0.25">
      <c r="A35" s="19">
        <v>45373</v>
      </c>
      <c r="B35">
        <v>2149.54</v>
      </c>
      <c r="C35" t="s">
        <v>385</v>
      </c>
      <c r="D35" t="s">
        <v>386</v>
      </c>
      <c r="E35" t="s">
        <v>1193</v>
      </c>
      <c r="F35" t="str">
        <f>VLOOKUP(E35, 'POS Categories'!$A$1:$B$1999, 2, FALSE)</f>
        <v>Job</v>
      </c>
    </row>
    <row r="36" spans="1:6" x14ac:dyDescent="0.25">
      <c r="A36" s="19">
        <v>45372</v>
      </c>
      <c r="B36">
        <v>-87.86</v>
      </c>
      <c r="C36" t="s">
        <v>385</v>
      </c>
      <c r="D36" t="s">
        <v>388</v>
      </c>
      <c r="E36" t="s">
        <v>1281</v>
      </c>
      <c r="F36" t="str">
        <f>VLOOKUP(E36, 'POS Categories'!$A$1:$B$1999, 2, FALSE)</f>
        <v>Food</v>
      </c>
    </row>
    <row r="37" spans="1:6" x14ac:dyDescent="0.25">
      <c r="A37" s="19">
        <v>45372</v>
      </c>
      <c r="B37">
        <v>-62.34</v>
      </c>
      <c r="C37" t="s">
        <v>385</v>
      </c>
      <c r="D37" t="s">
        <v>435</v>
      </c>
      <c r="E37" t="s">
        <v>1257</v>
      </c>
      <c r="F37" t="str">
        <f>VLOOKUP(E37, 'POS Categories'!$A$1:$B$1999, 2, FALSE)</f>
        <v>Power</v>
      </c>
    </row>
    <row r="38" spans="1:6" x14ac:dyDescent="0.25">
      <c r="A38" s="19">
        <v>45371</v>
      </c>
      <c r="B38">
        <v>-14.76</v>
      </c>
      <c r="C38" t="s">
        <v>385</v>
      </c>
      <c r="D38" t="s">
        <v>388</v>
      </c>
      <c r="E38" t="s">
        <v>1225</v>
      </c>
      <c r="F38" t="str">
        <f>VLOOKUP(E38, 'POS Categories'!$A$1:$B$1999, 2, FALSE)</f>
        <v>Food</v>
      </c>
    </row>
    <row r="39" spans="1:6" x14ac:dyDescent="0.25">
      <c r="A39" s="19">
        <v>45371</v>
      </c>
      <c r="B39">
        <v>-7.08</v>
      </c>
      <c r="C39" t="s">
        <v>385</v>
      </c>
      <c r="D39" t="s">
        <v>388</v>
      </c>
      <c r="E39" t="s">
        <v>408</v>
      </c>
      <c r="F39" t="str">
        <f>VLOOKUP(E39, 'POS Categories'!$A$1:$B$1999, 2, FALSE)</f>
        <v>Food</v>
      </c>
    </row>
    <row r="40" spans="1:6" x14ac:dyDescent="0.25">
      <c r="A40" s="19">
        <v>45370</v>
      </c>
      <c r="B40">
        <v>-29.06</v>
      </c>
      <c r="C40" t="s">
        <v>385</v>
      </c>
      <c r="D40" t="s">
        <v>388</v>
      </c>
      <c r="E40" t="s">
        <v>184</v>
      </c>
      <c r="F40" t="str">
        <f>VLOOKUP(E40, 'POS Categories'!$A$1:$B$1999, 2, FALSE)</f>
        <v>Food</v>
      </c>
    </row>
    <row r="41" spans="1:6" x14ac:dyDescent="0.25">
      <c r="A41" s="19">
        <v>45370</v>
      </c>
      <c r="B41">
        <v>-153.09</v>
      </c>
      <c r="C41" t="s">
        <v>385</v>
      </c>
      <c r="D41" t="s">
        <v>388</v>
      </c>
      <c r="E41" t="s">
        <v>36</v>
      </c>
      <c r="F41" t="str">
        <f>VLOOKUP(E41, 'POS Categories'!$A$1:$B$1999, 2, FALSE)</f>
        <v>Food</v>
      </c>
    </row>
    <row r="42" spans="1:6" x14ac:dyDescent="0.25">
      <c r="A42" s="19">
        <v>45370</v>
      </c>
      <c r="B42">
        <v>-29.95</v>
      </c>
      <c r="C42" t="s">
        <v>385</v>
      </c>
      <c r="D42" t="s">
        <v>388</v>
      </c>
      <c r="E42" t="s">
        <v>142</v>
      </c>
      <c r="F42" t="str">
        <f>VLOOKUP(E42, 'POS Categories'!$A$1:$B$1999, 2, FALSE)</f>
        <v>Food</v>
      </c>
    </row>
    <row r="43" spans="1:6" x14ac:dyDescent="0.25">
      <c r="A43" s="19">
        <v>45370</v>
      </c>
      <c r="B43">
        <v>-9.9700000000000006</v>
      </c>
      <c r="C43" t="s">
        <v>385</v>
      </c>
      <c r="D43" t="s">
        <v>388</v>
      </c>
      <c r="E43" t="s">
        <v>408</v>
      </c>
      <c r="F43" t="str">
        <f>VLOOKUP(E43, 'POS Categories'!$A$1:$B$1999, 2, FALSE)</f>
        <v>Food</v>
      </c>
    </row>
    <row r="44" spans="1:6" x14ac:dyDescent="0.25">
      <c r="A44" s="19">
        <v>45369</v>
      </c>
      <c r="B44">
        <v>-33.92</v>
      </c>
      <c r="C44" t="s">
        <v>385</v>
      </c>
      <c r="D44" t="s">
        <v>388</v>
      </c>
      <c r="E44" t="s">
        <v>8</v>
      </c>
      <c r="F44" t="str">
        <f>VLOOKUP(E44, 'POS Categories'!$A$1:$B$1999, 2, FALSE)</f>
        <v>Food</v>
      </c>
    </row>
    <row r="45" spans="1:6" x14ac:dyDescent="0.25">
      <c r="A45" s="19">
        <v>45369</v>
      </c>
      <c r="B45">
        <v>-11.09</v>
      </c>
      <c r="C45" t="s">
        <v>385</v>
      </c>
      <c r="D45" t="s">
        <v>388</v>
      </c>
      <c r="E45" t="s">
        <v>1311</v>
      </c>
      <c r="F45" t="str">
        <f>VLOOKUP(E45, 'POS Categories'!$A$1:$B$1999, 2, FALSE)</f>
        <v>Home</v>
      </c>
    </row>
    <row r="46" spans="1:6" x14ac:dyDescent="0.25">
      <c r="A46" s="19">
        <v>45369</v>
      </c>
      <c r="B46">
        <v>2.0699999999999998</v>
      </c>
      <c r="C46" t="s">
        <v>385</v>
      </c>
      <c r="D46" t="s">
        <v>414</v>
      </c>
      <c r="E46" t="s">
        <v>1345</v>
      </c>
      <c r="F46" t="str">
        <f>VLOOKUP(E46, 'POS Categories'!$A$1:$B$1999, 2, FALSE)</f>
        <v>Unknown</v>
      </c>
    </row>
    <row r="47" spans="1:6" x14ac:dyDescent="0.25">
      <c r="A47" s="19">
        <v>45369</v>
      </c>
      <c r="B47">
        <v>-21.95</v>
      </c>
      <c r="C47" t="s">
        <v>385</v>
      </c>
      <c r="D47" t="s">
        <v>388</v>
      </c>
      <c r="E47" t="s">
        <v>1360</v>
      </c>
      <c r="F47" t="str">
        <f>VLOOKUP(E47, 'POS Categories'!$A$1:$B$1999, 2, FALSE)</f>
        <v>Food</v>
      </c>
    </row>
    <row r="48" spans="1:6" x14ac:dyDescent="0.25">
      <c r="A48" s="19">
        <v>45369</v>
      </c>
      <c r="B48">
        <v>-7.97</v>
      </c>
      <c r="C48" t="s">
        <v>385</v>
      </c>
      <c r="D48" t="s">
        <v>388</v>
      </c>
      <c r="E48" t="s">
        <v>408</v>
      </c>
      <c r="F48" t="str">
        <f>VLOOKUP(E48, 'POS Categories'!$A$1:$B$1999, 2, FALSE)</f>
        <v>Food</v>
      </c>
    </row>
    <row r="49" spans="1:6" x14ac:dyDescent="0.25">
      <c r="A49" s="19">
        <v>45369</v>
      </c>
      <c r="B49">
        <v>-84.84</v>
      </c>
      <c r="C49" t="s">
        <v>385</v>
      </c>
      <c r="D49" t="s">
        <v>388</v>
      </c>
      <c r="E49" t="s">
        <v>1324</v>
      </c>
      <c r="F49" t="str">
        <f>VLOOKUP(E49, 'POS Categories'!$A$1:$B$1999, 2, FALSE)</f>
        <v>Food</v>
      </c>
    </row>
    <row r="50" spans="1:6" x14ac:dyDescent="0.25">
      <c r="A50" s="19">
        <v>45367</v>
      </c>
      <c r="B50">
        <v>-17.600000000000001</v>
      </c>
      <c r="C50" t="s">
        <v>385</v>
      </c>
      <c r="D50" t="s">
        <v>388</v>
      </c>
      <c r="E50" t="s">
        <v>241</v>
      </c>
      <c r="F50" t="str">
        <f>VLOOKUP(E50, 'POS Categories'!$A$1:$B$1999, 2, FALSE)</f>
        <v>Food</v>
      </c>
    </row>
    <row r="51" spans="1:6" x14ac:dyDescent="0.25">
      <c r="A51" s="19">
        <v>45367</v>
      </c>
      <c r="B51">
        <v>-58.02</v>
      </c>
      <c r="C51" t="s">
        <v>385</v>
      </c>
      <c r="D51" t="s">
        <v>388</v>
      </c>
      <c r="E51" t="s">
        <v>1312</v>
      </c>
      <c r="F51" t="str">
        <f>VLOOKUP(E51, 'POS Categories'!$A$1:$B$1999, 2, FALSE)</f>
        <v>Food</v>
      </c>
    </row>
    <row r="52" spans="1:6" x14ac:dyDescent="0.25">
      <c r="A52" s="19">
        <v>45367</v>
      </c>
      <c r="B52">
        <v>-44.67</v>
      </c>
      <c r="C52" t="s">
        <v>385</v>
      </c>
      <c r="D52" t="s">
        <v>388</v>
      </c>
      <c r="E52" t="s">
        <v>35</v>
      </c>
      <c r="F52" t="str">
        <f>VLOOKUP(E52, 'POS Categories'!$A$1:$B$1999, 2, FALSE)</f>
        <v>Personal</v>
      </c>
    </row>
    <row r="53" spans="1:6" x14ac:dyDescent="0.25">
      <c r="A53" s="19">
        <v>45367</v>
      </c>
      <c r="B53">
        <v>-7.38</v>
      </c>
      <c r="C53" t="s">
        <v>385</v>
      </c>
      <c r="D53" t="s">
        <v>388</v>
      </c>
      <c r="E53" t="s">
        <v>1225</v>
      </c>
      <c r="F53" t="str">
        <f>VLOOKUP(E53, 'POS Categories'!$A$1:$B$1999, 2, FALSE)</f>
        <v>Food</v>
      </c>
    </row>
    <row r="54" spans="1:6" x14ac:dyDescent="0.25">
      <c r="A54" s="19">
        <v>45367</v>
      </c>
      <c r="B54">
        <v>-1008.57</v>
      </c>
      <c r="C54" t="s">
        <v>385</v>
      </c>
      <c r="D54" t="s">
        <v>400</v>
      </c>
      <c r="E54" t="s">
        <v>401</v>
      </c>
      <c r="F54" t="str">
        <f>VLOOKUP(E54, 'POS Categories'!$A$1:$B$1999, 2, FALSE)</f>
        <v>Misc</v>
      </c>
    </row>
    <row r="55" spans="1:6" x14ac:dyDescent="0.25">
      <c r="A55" s="19">
        <v>45366</v>
      </c>
      <c r="B55">
        <v>-11.09</v>
      </c>
      <c r="C55" t="s">
        <v>385</v>
      </c>
      <c r="D55" t="s">
        <v>388</v>
      </c>
      <c r="E55" t="s">
        <v>171</v>
      </c>
      <c r="F55" t="str">
        <f>VLOOKUP(E55, 'POS Categories'!$A$1:$B$1999, 2, FALSE)</f>
        <v>Food</v>
      </c>
    </row>
    <row r="56" spans="1:6" x14ac:dyDescent="0.25">
      <c r="A56" s="19">
        <v>45366</v>
      </c>
      <c r="B56">
        <v>-27.45</v>
      </c>
      <c r="C56" t="s">
        <v>385</v>
      </c>
      <c r="D56" t="s">
        <v>388</v>
      </c>
      <c r="E56" t="s">
        <v>1160</v>
      </c>
      <c r="F56" t="str">
        <f>VLOOKUP(E56, 'POS Categories'!$A$1:$B$1999, 2, FALSE)</f>
        <v>Food</v>
      </c>
    </row>
    <row r="57" spans="1:6" x14ac:dyDescent="0.25">
      <c r="A57" s="19">
        <v>45366</v>
      </c>
      <c r="B57">
        <v>-5.08</v>
      </c>
      <c r="C57" t="s">
        <v>385</v>
      </c>
      <c r="D57" t="s">
        <v>388</v>
      </c>
      <c r="E57" t="s">
        <v>183</v>
      </c>
      <c r="F57" t="str">
        <f>VLOOKUP(E57, 'POS Categories'!$A$1:$B$1999, 2, FALSE)</f>
        <v>Food</v>
      </c>
    </row>
    <row r="58" spans="1:6" x14ac:dyDescent="0.25">
      <c r="A58" s="19">
        <v>45366</v>
      </c>
      <c r="B58">
        <v>-61.24</v>
      </c>
      <c r="C58" t="s">
        <v>385</v>
      </c>
      <c r="D58" t="s">
        <v>388</v>
      </c>
      <c r="E58" t="s">
        <v>1330</v>
      </c>
      <c r="F58" t="str">
        <f>VLOOKUP(E58, 'POS Categories'!$A$1:$B$1999, 2, FALSE)</f>
        <v>Vehicle</v>
      </c>
    </row>
    <row r="59" spans="1:6" x14ac:dyDescent="0.25">
      <c r="A59" s="19">
        <v>45366</v>
      </c>
      <c r="B59">
        <v>-110.95</v>
      </c>
      <c r="C59" t="s">
        <v>385</v>
      </c>
      <c r="D59" t="s">
        <v>388</v>
      </c>
      <c r="E59" t="s">
        <v>175</v>
      </c>
      <c r="F59" t="str">
        <f>VLOOKUP(E59, 'POS Categories'!$A$1:$B$1999, 2, FALSE)</f>
        <v>Sasktel</v>
      </c>
    </row>
    <row r="60" spans="1:6" x14ac:dyDescent="0.25">
      <c r="A60" s="19">
        <v>45366</v>
      </c>
      <c r="B60">
        <v>-26.17</v>
      </c>
      <c r="C60" t="s">
        <v>385</v>
      </c>
      <c r="D60" t="s">
        <v>388</v>
      </c>
      <c r="E60" t="s">
        <v>174</v>
      </c>
      <c r="F60" t="str">
        <f>VLOOKUP(E60, 'POS Categories'!$A$1:$B$1999, 2, FALSE)</f>
        <v>Food</v>
      </c>
    </row>
    <row r="61" spans="1:6" x14ac:dyDescent="0.25">
      <c r="A61" s="19">
        <v>45366</v>
      </c>
      <c r="B61">
        <v>-4.9800000000000004</v>
      </c>
      <c r="C61" t="s">
        <v>385</v>
      </c>
      <c r="D61" t="s">
        <v>388</v>
      </c>
      <c r="E61" t="s">
        <v>408</v>
      </c>
      <c r="F61" t="str">
        <f>VLOOKUP(E61, 'POS Categories'!$A$1:$B$1999, 2, FALSE)</f>
        <v>Food</v>
      </c>
    </row>
    <row r="62" spans="1:6" x14ac:dyDescent="0.25">
      <c r="A62" s="19">
        <v>45366</v>
      </c>
      <c r="B62">
        <v>-65.900000000000006</v>
      </c>
      <c r="C62" t="s">
        <v>385</v>
      </c>
      <c r="D62" t="s">
        <v>388</v>
      </c>
      <c r="E62" t="s">
        <v>199</v>
      </c>
      <c r="F62" t="str">
        <f>VLOOKUP(E62, 'POS Categories'!$A$1:$B$1999, 2, FALSE)</f>
        <v>Personal</v>
      </c>
    </row>
    <row r="63" spans="1:6" x14ac:dyDescent="0.25">
      <c r="A63" s="19">
        <v>45366</v>
      </c>
      <c r="B63">
        <v>-33.380000000000003</v>
      </c>
      <c r="C63" t="s">
        <v>385</v>
      </c>
      <c r="D63" t="s">
        <v>1349</v>
      </c>
      <c r="F63" t="s">
        <v>6</v>
      </c>
    </row>
    <row r="64" spans="1:6" x14ac:dyDescent="0.25">
      <c r="A64" s="19">
        <v>45366</v>
      </c>
      <c r="B64">
        <v>-150</v>
      </c>
      <c r="C64" t="s">
        <v>385</v>
      </c>
      <c r="D64" t="s">
        <v>400</v>
      </c>
      <c r="E64" t="s">
        <v>1335</v>
      </c>
      <c r="F64" t="str">
        <f>VLOOKUP(E64, 'POS Categories'!$A$1:$B$1999, 2, FALSE)</f>
        <v>Investment</v>
      </c>
    </row>
    <row r="65" spans="1:6" x14ac:dyDescent="0.25">
      <c r="A65" s="19">
        <v>45366</v>
      </c>
      <c r="B65">
        <v>-250</v>
      </c>
      <c r="C65" t="s">
        <v>385</v>
      </c>
      <c r="D65" t="s">
        <v>400</v>
      </c>
      <c r="E65" t="s">
        <v>1335</v>
      </c>
      <c r="F65" t="str">
        <f>VLOOKUP(E65, 'POS Categories'!$A$1:$B$1999, 2, FALSE)</f>
        <v>Investment</v>
      </c>
    </row>
    <row r="66" spans="1:6" x14ac:dyDescent="0.25">
      <c r="A66" s="19">
        <v>45365</v>
      </c>
      <c r="B66">
        <v>-6.58</v>
      </c>
      <c r="C66" t="s">
        <v>385</v>
      </c>
      <c r="D66" t="s">
        <v>388</v>
      </c>
      <c r="E66" t="s">
        <v>183</v>
      </c>
      <c r="F66" t="str">
        <f>VLOOKUP(E66, 'POS Categories'!$A$1:$B$1999, 2, FALSE)</f>
        <v>Food</v>
      </c>
    </row>
    <row r="67" spans="1:6" x14ac:dyDescent="0.25">
      <c r="A67" s="19">
        <v>45365</v>
      </c>
      <c r="B67">
        <v>-56.32</v>
      </c>
      <c r="C67" t="s">
        <v>385</v>
      </c>
      <c r="D67" t="s">
        <v>388</v>
      </c>
      <c r="E67" t="s">
        <v>188</v>
      </c>
      <c r="F67" t="str">
        <f>VLOOKUP(E67, 'POS Categories'!$A$1:$B$1999, 2, FALSE)</f>
        <v>Food</v>
      </c>
    </row>
    <row r="68" spans="1:6" x14ac:dyDescent="0.25">
      <c r="A68" s="19">
        <v>45365</v>
      </c>
      <c r="B68">
        <v>-26.84</v>
      </c>
      <c r="C68" t="s">
        <v>385</v>
      </c>
      <c r="D68" t="s">
        <v>388</v>
      </c>
      <c r="E68" t="s">
        <v>171</v>
      </c>
      <c r="F68" t="str">
        <f>VLOOKUP(E68, 'POS Categories'!$A$1:$B$1999, 2, FALSE)</f>
        <v>Food</v>
      </c>
    </row>
    <row r="69" spans="1:6" x14ac:dyDescent="0.25">
      <c r="A69" s="19">
        <v>45364</v>
      </c>
      <c r="B69">
        <v>-10</v>
      </c>
      <c r="C69" t="s">
        <v>385</v>
      </c>
      <c r="D69" t="s">
        <v>388</v>
      </c>
      <c r="E69" t="s">
        <v>1367</v>
      </c>
      <c r="F69" t="str">
        <f>VLOOKUP(E69, 'POS Categories'!$A$1:$B$1999, 2, FALSE)</f>
        <v>Entertainment</v>
      </c>
    </row>
    <row r="70" spans="1:6" x14ac:dyDescent="0.25">
      <c r="A70" s="19">
        <v>45364</v>
      </c>
      <c r="B70">
        <v>-24.39</v>
      </c>
      <c r="C70" t="s">
        <v>385</v>
      </c>
      <c r="D70" t="s">
        <v>388</v>
      </c>
      <c r="E70" t="s">
        <v>314</v>
      </c>
      <c r="F70" t="str">
        <f>VLOOKUP(E70, 'POS Categories'!$A$1:$B$1999, 2, FALSE)</f>
        <v>Personal</v>
      </c>
    </row>
    <row r="71" spans="1:6" x14ac:dyDescent="0.25">
      <c r="A71" s="19">
        <v>45364</v>
      </c>
      <c r="B71">
        <v>-41.48</v>
      </c>
      <c r="C71" t="s">
        <v>385</v>
      </c>
      <c r="D71" t="s">
        <v>388</v>
      </c>
      <c r="E71" t="s">
        <v>319</v>
      </c>
      <c r="F71" t="str">
        <f>VLOOKUP(E71, 'POS Categories'!$A$1:$B$1999, 2, FALSE)</f>
        <v>Food</v>
      </c>
    </row>
    <row r="72" spans="1:6" x14ac:dyDescent="0.25">
      <c r="A72" s="19">
        <v>45364</v>
      </c>
      <c r="B72">
        <v>-11.73</v>
      </c>
      <c r="C72" t="s">
        <v>385</v>
      </c>
      <c r="D72" t="s">
        <v>388</v>
      </c>
      <c r="E72" t="s">
        <v>408</v>
      </c>
      <c r="F72" t="str">
        <f>VLOOKUP(E72, 'POS Categories'!$A$1:$B$1999, 2, FALSE)</f>
        <v>Food</v>
      </c>
    </row>
    <row r="73" spans="1:6" x14ac:dyDescent="0.25">
      <c r="A73" s="19">
        <v>45363</v>
      </c>
      <c r="B73">
        <v>-41</v>
      </c>
      <c r="C73" t="s">
        <v>385</v>
      </c>
      <c r="D73" t="s">
        <v>388</v>
      </c>
      <c r="E73" t="s">
        <v>1368</v>
      </c>
      <c r="F73" t="str">
        <f>VLOOKUP(E73, 'POS Categories'!$A$1:$B$1999, 2, FALSE)</f>
        <v>Food</v>
      </c>
    </row>
    <row r="74" spans="1:6" x14ac:dyDescent="0.25">
      <c r="A74" s="19">
        <v>45363</v>
      </c>
      <c r="B74">
        <v>-7.14</v>
      </c>
      <c r="C74" t="s">
        <v>385</v>
      </c>
      <c r="D74" t="s">
        <v>388</v>
      </c>
      <c r="E74" t="s">
        <v>183</v>
      </c>
      <c r="F74" t="str">
        <f>VLOOKUP(E74, 'POS Categories'!$A$1:$B$1999, 2, FALSE)</f>
        <v>Food</v>
      </c>
    </row>
    <row r="75" spans="1:6" x14ac:dyDescent="0.25">
      <c r="A75" s="19">
        <v>45363</v>
      </c>
      <c r="B75">
        <v>-35.39</v>
      </c>
      <c r="C75" t="s">
        <v>385</v>
      </c>
      <c r="D75" t="s">
        <v>388</v>
      </c>
      <c r="E75" t="s">
        <v>1336</v>
      </c>
      <c r="F75" t="str">
        <f>VLOOKUP(E75, 'POS Categories'!$A$1:$B$1999, 2, FALSE)</f>
        <v>Food</v>
      </c>
    </row>
    <row r="76" spans="1:6" x14ac:dyDescent="0.25">
      <c r="A76" s="19">
        <v>45363</v>
      </c>
      <c r="B76">
        <v>-7.97</v>
      </c>
      <c r="C76" t="s">
        <v>385</v>
      </c>
      <c r="D76" t="s">
        <v>388</v>
      </c>
      <c r="E76" t="s">
        <v>408</v>
      </c>
      <c r="F76" t="str">
        <f>VLOOKUP(E76, 'POS Categories'!$A$1:$B$1999, 2, FALSE)</f>
        <v>Food</v>
      </c>
    </row>
    <row r="77" spans="1:6" x14ac:dyDescent="0.25">
      <c r="A77" s="19">
        <v>45362</v>
      </c>
      <c r="B77">
        <v>-30.09</v>
      </c>
      <c r="C77" t="s">
        <v>385</v>
      </c>
      <c r="D77" t="s">
        <v>388</v>
      </c>
      <c r="E77" t="s">
        <v>1244</v>
      </c>
      <c r="F77" t="str">
        <f>VLOOKUP(E77, 'POS Categories'!$A$1:$B$1999, 2, FALSE)</f>
        <v>Food</v>
      </c>
    </row>
    <row r="78" spans="1:6" x14ac:dyDescent="0.25">
      <c r="A78" s="19">
        <v>45362</v>
      </c>
      <c r="B78">
        <v>-17.84</v>
      </c>
      <c r="C78" t="s">
        <v>385</v>
      </c>
      <c r="D78" t="s">
        <v>388</v>
      </c>
      <c r="E78" t="s">
        <v>1245</v>
      </c>
      <c r="F78" t="str">
        <f>VLOOKUP(E78, 'POS Categories'!$A$1:$B$1999, 2, FALSE)</f>
        <v>Food</v>
      </c>
    </row>
    <row r="79" spans="1:6" x14ac:dyDescent="0.25">
      <c r="A79" s="19">
        <v>45362</v>
      </c>
      <c r="B79">
        <v>-24.72</v>
      </c>
      <c r="C79" t="s">
        <v>385</v>
      </c>
      <c r="D79" t="s">
        <v>388</v>
      </c>
      <c r="E79" t="s">
        <v>149</v>
      </c>
      <c r="F79" t="str">
        <f>VLOOKUP(E79, 'POS Categories'!$A$1:$B$1999, 2, FALSE)</f>
        <v>Food</v>
      </c>
    </row>
    <row r="80" spans="1:6" x14ac:dyDescent="0.25">
      <c r="A80" s="19">
        <v>45362</v>
      </c>
      <c r="B80">
        <v>-14.76</v>
      </c>
      <c r="C80" t="s">
        <v>385</v>
      </c>
      <c r="D80" t="s">
        <v>388</v>
      </c>
      <c r="E80" t="s">
        <v>1225</v>
      </c>
      <c r="F80" t="str">
        <f>VLOOKUP(E80, 'POS Categories'!$A$1:$B$1999, 2, FALSE)</f>
        <v>Food</v>
      </c>
    </row>
    <row r="81" spans="1:6" x14ac:dyDescent="0.25">
      <c r="A81" s="19">
        <v>45362</v>
      </c>
      <c r="B81">
        <v>-29.95</v>
      </c>
      <c r="C81" t="s">
        <v>385</v>
      </c>
      <c r="D81" t="s">
        <v>388</v>
      </c>
      <c r="E81" t="s">
        <v>142</v>
      </c>
      <c r="F81" t="str">
        <f>VLOOKUP(E81, 'POS Categories'!$A$1:$B$1999, 2, FALSE)</f>
        <v>Food</v>
      </c>
    </row>
    <row r="82" spans="1:6" x14ac:dyDescent="0.25">
      <c r="A82" s="19">
        <v>45362</v>
      </c>
      <c r="B82">
        <v>-52.83</v>
      </c>
      <c r="C82" t="s">
        <v>385</v>
      </c>
      <c r="D82" t="s">
        <v>388</v>
      </c>
      <c r="E82" t="s">
        <v>1271</v>
      </c>
      <c r="F82" t="str">
        <f>VLOOKUP(E82, 'POS Categories'!$A$1:$B$1999, 2, FALSE)</f>
        <v>Vehicle</v>
      </c>
    </row>
    <row r="83" spans="1:6" x14ac:dyDescent="0.25">
      <c r="A83" s="19">
        <v>45362</v>
      </c>
      <c r="B83">
        <v>-23.7</v>
      </c>
      <c r="C83" t="s">
        <v>385</v>
      </c>
      <c r="D83" t="s">
        <v>388</v>
      </c>
      <c r="E83" t="s">
        <v>281</v>
      </c>
      <c r="F83" t="str">
        <f>VLOOKUP(E83, 'POS Categories'!$A$1:$B$1999, 2, FALSE)</f>
        <v>Vehicle</v>
      </c>
    </row>
    <row r="84" spans="1:6" x14ac:dyDescent="0.25">
      <c r="A84" s="19">
        <v>45360</v>
      </c>
      <c r="B84">
        <v>-2.31</v>
      </c>
      <c r="C84" t="s">
        <v>385</v>
      </c>
      <c r="D84" t="s">
        <v>388</v>
      </c>
      <c r="E84" t="s">
        <v>1268</v>
      </c>
      <c r="F84" t="str">
        <f>VLOOKUP(E84, 'POS Categories'!$A$1:$B$1999, 2, FALSE)</f>
        <v>Food</v>
      </c>
    </row>
    <row r="85" spans="1:6" x14ac:dyDescent="0.25">
      <c r="A85" s="19">
        <v>45360</v>
      </c>
      <c r="B85">
        <v>-5.91</v>
      </c>
      <c r="C85" t="s">
        <v>385</v>
      </c>
      <c r="D85" t="s">
        <v>388</v>
      </c>
      <c r="E85" t="s">
        <v>282</v>
      </c>
      <c r="F85" t="str">
        <f>VLOOKUP(E85, 'POS Categories'!$A$1:$B$1999, 2, FALSE)</f>
        <v>Vehicle</v>
      </c>
    </row>
    <row r="86" spans="1:6" x14ac:dyDescent="0.25">
      <c r="A86" s="19">
        <v>45360</v>
      </c>
      <c r="B86">
        <v>-42.57</v>
      </c>
      <c r="C86" t="s">
        <v>385</v>
      </c>
      <c r="D86" t="s">
        <v>388</v>
      </c>
      <c r="E86" t="s">
        <v>1355</v>
      </c>
      <c r="F86" t="str">
        <f>VLOOKUP(E86, 'POS Categories'!$A$1:$B$1999, 2, FALSE)</f>
        <v>Vehicle</v>
      </c>
    </row>
    <row r="87" spans="1:6" x14ac:dyDescent="0.25">
      <c r="A87" s="19">
        <v>45360</v>
      </c>
      <c r="B87">
        <v>-10.06</v>
      </c>
      <c r="C87" t="s">
        <v>385</v>
      </c>
      <c r="D87" t="s">
        <v>388</v>
      </c>
      <c r="E87" t="s">
        <v>1369</v>
      </c>
      <c r="F87" t="str">
        <f>VLOOKUP(E87, 'POS Categories'!$A$1:$B$1999, 2, FALSE)</f>
        <v>Food</v>
      </c>
    </row>
    <row r="88" spans="1:6" x14ac:dyDescent="0.25">
      <c r="A88" s="19">
        <v>45360</v>
      </c>
      <c r="B88">
        <v>-43.6</v>
      </c>
      <c r="C88" t="s">
        <v>385</v>
      </c>
      <c r="D88" t="s">
        <v>388</v>
      </c>
      <c r="E88" t="s">
        <v>1330</v>
      </c>
      <c r="F88" t="str">
        <f>VLOOKUP(E88, 'POS Categories'!$A$1:$B$1999, 2, FALSE)</f>
        <v>Vehicle</v>
      </c>
    </row>
    <row r="89" spans="1:6" x14ac:dyDescent="0.25">
      <c r="A89" s="19">
        <v>45360</v>
      </c>
      <c r="B89">
        <v>-16.16</v>
      </c>
      <c r="C89" t="s">
        <v>385</v>
      </c>
      <c r="D89" t="s">
        <v>388</v>
      </c>
      <c r="E89" t="s">
        <v>8</v>
      </c>
      <c r="F89" t="str">
        <f>VLOOKUP(E89, 'POS Categories'!$A$1:$B$1999, 2, FALSE)</f>
        <v>Food</v>
      </c>
    </row>
    <row r="90" spans="1:6" x14ac:dyDescent="0.25">
      <c r="A90" s="19">
        <v>45359</v>
      </c>
      <c r="B90">
        <v>-84.75</v>
      </c>
      <c r="C90" t="s">
        <v>385</v>
      </c>
      <c r="D90" t="s">
        <v>388</v>
      </c>
      <c r="E90" t="s">
        <v>411</v>
      </c>
      <c r="F90" t="str">
        <f>VLOOKUP(E90, 'POS Categories'!$A$1:$B$1999, 2, FALSE)</f>
        <v>Sasktel</v>
      </c>
    </row>
    <row r="91" spans="1:6" x14ac:dyDescent="0.25">
      <c r="A91" s="19">
        <v>45359</v>
      </c>
      <c r="B91">
        <v>-18.579999999999998</v>
      </c>
      <c r="C91" t="s">
        <v>385</v>
      </c>
      <c r="D91" t="s">
        <v>388</v>
      </c>
      <c r="E91" t="s">
        <v>1304</v>
      </c>
      <c r="F91" t="str">
        <f>VLOOKUP(E91, 'POS Categories'!$A$1:$B$1999, 2, FALSE)</f>
        <v>Food</v>
      </c>
    </row>
    <row r="92" spans="1:6" x14ac:dyDescent="0.25">
      <c r="A92" s="19">
        <v>45359</v>
      </c>
      <c r="B92">
        <v>-8.6999999999999993</v>
      </c>
      <c r="C92" t="s">
        <v>385</v>
      </c>
      <c r="D92" t="s">
        <v>388</v>
      </c>
      <c r="E92" t="s">
        <v>183</v>
      </c>
      <c r="F92" t="str">
        <f>VLOOKUP(E92, 'POS Categories'!$A$1:$B$1999, 2, FALSE)</f>
        <v>Food</v>
      </c>
    </row>
    <row r="93" spans="1:6" x14ac:dyDescent="0.25">
      <c r="A93" s="19">
        <v>45359</v>
      </c>
      <c r="B93">
        <v>2180.94</v>
      </c>
      <c r="C93" t="s">
        <v>385</v>
      </c>
      <c r="D93" t="s">
        <v>386</v>
      </c>
      <c r="E93" t="s">
        <v>1193</v>
      </c>
      <c r="F93" t="str">
        <f>VLOOKUP(E93, 'POS Categories'!$A$1:$B$1999, 2, FALSE)</f>
        <v>Job</v>
      </c>
    </row>
    <row r="94" spans="1:6" x14ac:dyDescent="0.25">
      <c r="A94" s="19">
        <v>45358</v>
      </c>
      <c r="B94">
        <v>-36.14</v>
      </c>
      <c r="C94" t="s">
        <v>385</v>
      </c>
      <c r="D94" t="s">
        <v>388</v>
      </c>
      <c r="E94" t="s">
        <v>8</v>
      </c>
      <c r="F94" t="str">
        <f>VLOOKUP(E94, 'POS Categories'!$A$1:$B$1999, 2, FALSE)</f>
        <v>Food</v>
      </c>
    </row>
    <row r="95" spans="1:6" x14ac:dyDescent="0.25">
      <c r="A95" s="19">
        <v>45357</v>
      </c>
      <c r="B95">
        <v>-18.29</v>
      </c>
      <c r="C95" t="s">
        <v>385</v>
      </c>
      <c r="D95" t="s">
        <v>388</v>
      </c>
      <c r="E95" t="s">
        <v>171</v>
      </c>
      <c r="F95" t="str">
        <f>VLOOKUP(E95, 'POS Categories'!$A$1:$B$1999, 2, FALSE)</f>
        <v>Food</v>
      </c>
    </row>
    <row r="96" spans="1:6" x14ac:dyDescent="0.25">
      <c r="A96" s="19">
        <v>45357</v>
      </c>
      <c r="B96">
        <v>-20.14</v>
      </c>
      <c r="C96" t="s">
        <v>385</v>
      </c>
      <c r="D96" t="s">
        <v>388</v>
      </c>
      <c r="E96" t="s">
        <v>1370</v>
      </c>
      <c r="F96" t="str">
        <f>VLOOKUP(E96, 'POS Categories'!$A$1:$B$1999, 2, FALSE)</f>
        <v>Personal</v>
      </c>
    </row>
    <row r="97" spans="1:6" x14ac:dyDescent="0.25">
      <c r="A97" s="19">
        <v>45357</v>
      </c>
      <c r="B97">
        <v>-142.07</v>
      </c>
      <c r="C97" t="s">
        <v>385</v>
      </c>
      <c r="D97" t="s">
        <v>388</v>
      </c>
      <c r="E97" t="s">
        <v>1371</v>
      </c>
      <c r="F97" t="str">
        <f>VLOOKUP(E97, 'POS Categories'!$A$1:$B$1999, 2, FALSE)</f>
        <v>Home</v>
      </c>
    </row>
    <row r="98" spans="1:6" x14ac:dyDescent="0.25">
      <c r="A98" s="19">
        <v>45357</v>
      </c>
      <c r="B98">
        <v>-9.9700000000000006</v>
      </c>
      <c r="C98" t="s">
        <v>385</v>
      </c>
      <c r="D98" t="s">
        <v>388</v>
      </c>
      <c r="E98" t="s">
        <v>408</v>
      </c>
      <c r="F98" t="str">
        <f>VLOOKUP(E98, 'POS Categories'!$A$1:$B$1999, 2, FALSE)</f>
        <v>Food</v>
      </c>
    </row>
    <row r="99" spans="1:6" x14ac:dyDescent="0.25">
      <c r="A99" s="19">
        <v>45357</v>
      </c>
      <c r="B99">
        <v>-36.61</v>
      </c>
      <c r="C99" t="s">
        <v>385</v>
      </c>
      <c r="D99" t="s">
        <v>388</v>
      </c>
      <c r="E99" t="s">
        <v>1336</v>
      </c>
      <c r="F99" t="str">
        <f>VLOOKUP(E99, 'POS Categories'!$A$1:$B$1999, 2, FALSE)</f>
        <v>Food</v>
      </c>
    </row>
    <row r="100" spans="1:6" x14ac:dyDescent="0.25">
      <c r="A100" s="19">
        <v>45357</v>
      </c>
      <c r="B100">
        <v>368.37</v>
      </c>
      <c r="C100" t="s">
        <v>385</v>
      </c>
      <c r="D100" t="s">
        <v>414</v>
      </c>
      <c r="E100" t="s">
        <v>1372</v>
      </c>
      <c r="F100" t="str">
        <f>VLOOKUP(E100, 'POS Categories'!$A$1:$B$1999, 2, FALSE)</f>
        <v>Job</v>
      </c>
    </row>
    <row r="101" spans="1:6" x14ac:dyDescent="0.25">
      <c r="A101" s="19">
        <v>45356</v>
      </c>
      <c r="B101">
        <v>-14.76</v>
      </c>
      <c r="C101" t="s">
        <v>385</v>
      </c>
      <c r="D101" t="s">
        <v>388</v>
      </c>
      <c r="E101" t="s">
        <v>1225</v>
      </c>
      <c r="F101" t="str">
        <f>VLOOKUP(E101, 'POS Categories'!$A$1:$B$1999, 2, FALSE)</f>
        <v>Food</v>
      </c>
    </row>
    <row r="102" spans="1:6" x14ac:dyDescent="0.25">
      <c r="A102" s="19">
        <v>45356</v>
      </c>
      <c r="B102">
        <v>-27.39</v>
      </c>
      <c r="C102" t="s">
        <v>385</v>
      </c>
      <c r="D102" t="s">
        <v>388</v>
      </c>
      <c r="E102" t="s">
        <v>142</v>
      </c>
      <c r="F102" t="str">
        <f>VLOOKUP(E102, 'POS Categories'!$A$1:$B$1999, 2, FALSE)</f>
        <v>Food</v>
      </c>
    </row>
    <row r="103" spans="1:6" x14ac:dyDescent="0.25">
      <c r="A103" s="19">
        <v>45356</v>
      </c>
      <c r="B103">
        <v>-15.02</v>
      </c>
      <c r="C103" t="s">
        <v>385</v>
      </c>
      <c r="D103" t="s">
        <v>388</v>
      </c>
      <c r="E103" t="s">
        <v>408</v>
      </c>
      <c r="F103" t="str">
        <f>VLOOKUP(E103, 'POS Categories'!$A$1:$B$1999, 2, FALSE)</f>
        <v>Food</v>
      </c>
    </row>
    <row r="104" spans="1:6" x14ac:dyDescent="0.25">
      <c r="A104" s="19">
        <v>45355</v>
      </c>
      <c r="B104">
        <v>-118.09</v>
      </c>
      <c r="C104" t="s">
        <v>385</v>
      </c>
      <c r="D104" t="s">
        <v>388</v>
      </c>
      <c r="E104" t="s">
        <v>324</v>
      </c>
      <c r="F104" t="str">
        <f>VLOOKUP(E104, 'POS Categories'!$A$1:$B$1999, 2, FALSE)</f>
        <v>Food</v>
      </c>
    </row>
    <row r="105" spans="1:6" x14ac:dyDescent="0.25">
      <c r="A105" s="19">
        <v>45355</v>
      </c>
      <c r="B105">
        <v>-25.28</v>
      </c>
      <c r="C105" t="s">
        <v>385</v>
      </c>
      <c r="D105" t="s">
        <v>388</v>
      </c>
      <c r="E105" t="s">
        <v>149</v>
      </c>
      <c r="F105" t="str">
        <f>VLOOKUP(E105, 'POS Categories'!$A$1:$B$1999, 2, FALSE)</f>
        <v>Food</v>
      </c>
    </row>
    <row r="106" spans="1:6" x14ac:dyDescent="0.25">
      <c r="A106" s="19">
        <v>45355</v>
      </c>
      <c r="B106">
        <v>-2.76</v>
      </c>
      <c r="C106" t="s">
        <v>385</v>
      </c>
      <c r="D106" t="s">
        <v>388</v>
      </c>
      <c r="E106" t="s">
        <v>408</v>
      </c>
      <c r="F106" t="str">
        <f>VLOOKUP(E106, 'POS Categories'!$A$1:$B$1999, 2, FALSE)</f>
        <v>Food</v>
      </c>
    </row>
    <row r="107" spans="1:6" x14ac:dyDescent="0.25">
      <c r="A107" s="19">
        <v>45353</v>
      </c>
      <c r="B107">
        <v>-14.4</v>
      </c>
      <c r="C107" t="s">
        <v>385</v>
      </c>
      <c r="D107" t="s">
        <v>388</v>
      </c>
      <c r="E107" t="s">
        <v>1373</v>
      </c>
      <c r="F107" t="str">
        <f>VLOOKUP(E107, 'POS Categories'!$A$1:$B$1999, 2, FALSE)</f>
        <v>Food</v>
      </c>
    </row>
    <row r="108" spans="1:6" x14ac:dyDescent="0.25">
      <c r="A108" s="19">
        <v>45353</v>
      </c>
      <c r="B108">
        <v>-66.5</v>
      </c>
      <c r="C108" t="s">
        <v>385</v>
      </c>
      <c r="D108" t="s">
        <v>388</v>
      </c>
      <c r="E108" t="s">
        <v>330</v>
      </c>
      <c r="F108" t="str">
        <f>VLOOKUP(E108, 'POS Categories'!$A$1:$B$1999, 2, FALSE)</f>
        <v>Vehicle</v>
      </c>
    </row>
    <row r="109" spans="1:6" x14ac:dyDescent="0.25">
      <c r="A109" s="19">
        <v>45353</v>
      </c>
      <c r="B109">
        <v>-2.76</v>
      </c>
      <c r="C109" t="s">
        <v>385</v>
      </c>
      <c r="D109" t="s">
        <v>388</v>
      </c>
      <c r="E109" t="s">
        <v>179</v>
      </c>
      <c r="F109" t="str">
        <f>VLOOKUP(E109, 'POS Categories'!$A$1:$B$1999, 2, FALSE)</f>
        <v>Food</v>
      </c>
    </row>
    <row r="110" spans="1:6" x14ac:dyDescent="0.25">
      <c r="A110" s="19">
        <v>45352</v>
      </c>
      <c r="B110">
        <v>-1425</v>
      </c>
      <c r="C110" t="s">
        <v>385</v>
      </c>
      <c r="D110" t="s">
        <v>414</v>
      </c>
      <c r="E110" t="s">
        <v>1224</v>
      </c>
      <c r="F110" t="str">
        <f>VLOOKUP(E110, 'POS Categories'!$A$1:$B$1999, 2, FALSE)</f>
        <v>Rent</v>
      </c>
    </row>
    <row r="111" spans="1:6" x14ac:dyDescent="0.25">
      <c r="A111" s="19">
        <v>45352</v>
      </c>
      <c r="B111">
        <v>-23.3</v>
      </c>
      <c r="C111" t="s">
        <v>385</v>
      </c>
      <c r="D111" t="s">
        <v>388</v>
      </c>
      <c r="E111" t="s">
        <v>266</v>
      </c>
      <c r="F111" t="str">
        <f>VLOOKUP(E111, 'POS Categories'!$A$1:$B$1999, 2, FALSE)</f>
        <v>Food</v>
      </c>
    </row>
    <row r="112" spans="1:6" x14ac:dyDescent="0.25">
      <c r="A112" s="19">
        <v>45352</v>
      </c>
      <c r="B112">
        <v>-6.42</v>
      </c>
      <c r="C112" t="s">
        <v>385</v>
      </c>
      <c r="D112" t="s">
        <v>388</v>
      </c>
      <c r="E112" t="s">
        <v>408</v>
      </c>
      <c r="F112" t="str">
        <f>VLOOKUP(E112, 'POS Categories'!$A$1:$B$1999, 2, FALSE)</f>
        <v>Food</v>
      </c>
    </row>
    <row r="113" spans="1:6" x14ac:dyDescent="0.25">
      <c r="A113" s="19">
        <v>45352</v>
      </c>
      <c r="B113">
        <v>-30.09</v>
      </c>
      <c r="C113" t="s">
        <v>385</v>
      </c>
      <c r="D113" t="s">
        <v>388</v>
      </c>
      <c r="E113" t="s">
        <v>1244</v>
      </c>
      <c r="F113" t="str">
        <f>VLOOKUP(E113, 'POS Categories'!$A$1:$B$1999, 2, FALSE)</f>
        <v>Food</v>
      </c>
    </row>
    <row r="114" spans="1:6" x14ac:dyDescent="0.25">
      <c r="A114" s="19">
        <v>45352</v>
      </c>
      <c r="B114">
        <v>-150</v>
      </c>
      <c r="C114" t="s">
        <v>385</v>
      </c>
      <c r="D114" t="s">
        <v>400</v>
      </c>
      <c r="E114" t="s">
        <v>1335</v>
      </c>
      <c r="F114" t="str">
        <f>VLOOKUP(E114, 'POS Categories'!$A$1:$B$1999, 2, FALSE)</f>
        <v>Investment</v>
      </c>
    </row>
    <row r="115" spans="1:6" x14ac:dyDescent="0.25">
      <c r="A115" s="19">
        <v>45352</v>
      </c>
      <c r="B115">
        <v>-250</v>
      </c>
      <c r="C115" t="s">
        <v>385</v>
      </c>
      <c r="D115" t="s">
        <v>400</v>
      </c>
      <c r="E115" t="s">
        <v>1335</v>
      </c>
      <c r="F115" t="str">
        <f>VLOOKUP(E115, 'POS Categories'!$A$1:$B$1999, 2, FALSE)</f>
        <v>Investment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3"/>
  <sheetViews>
    <sheetView workbookViewId="0">
      <selection activeCell="A28" sqref="A28:XFD28"/>
    </sheetView>
  </sheetViews>
  <sheetFormatPr defaultRowHeight="15" x14ac:dyDescent="0.25"/>
  <cols>
    <col min="1" max="1" width="10.42578125" style="19" bestFit="1" customWidth="1"/>
    <col min="4" max="4" width="23.28515625" bestFit="1" customWidth="1"/>
    <col min="5" max="5" width="33.28515625" bestFit="1" customWidth="1"/>
  </cols>
  <sheetData>
    <row r="1" spans="1:6" x14ac:dyDescent="0.25">
      <c r="A1" s="19">
        <v>45351</v>
      </c>
      <c r="B1">
        <v>-8.6999999999999993</v>
      </c>
      <c r="C1" t="s">
        <v>385</v>
      </c>
      <c r="D1" t="s">
        <v>388</v>
      </c>
      <c r="E1" t="s">
        <v>183</v>
      </c>
      <c r="F1" t="str">
        <f>VLOOKUP(E1, 'POS Categories'!$A$1:$B$1999, 2, FALSE)</f>
        <v>Food</v>
      </c>
    </row>
    <row r="2" spans="1:6" x14ac:dyDescent="0.25">
      <c r="A2" s="19">
        <v>45351</v>
      </c>
      <c r="B2">
        <v>-26.17</v>
      </c>
      <c r="C2" t="s">
        <v>385</v>
      </c>
      <c r="D2" t="s">
        <v>388</v>
      </c>
      <c r="E2" t="s">
        <v>174</v>
      </c>
      <c r="F2" t="str">
        <f>VLOOKUP(E2, 'POS Categories'!$A$1:$B$1999, 2, FALSE)</f>
        <v>Food</v>
      </c>
    </row>
    <row r="3" spans="1:6" x14ac:dyDescent="0.25">
      <c r="A3" s="19">
        <v>45351</v>
      </c>
      <c r="B3">
        <v>-14.76</v>
      </c>
      <c r="C3" t="s">
        <v>385</v>
      </c>
      <c r="D3" t="s">
        <v>388</v>
      </c>
      <c r="E3" t="s">
        <v>1225</v>
      </c>
      <c r="F3" t="str">
        <f>VLOOKUP(E3, 'POS Categories'!$A$1:$B$1999, 2, FALSE)</f>
        <v>Food</v>
      </c>
    </row>
    <row r="4" spans="1:6" x14ac:dyDescent="0.25">
      <c r="A4" s="19">
        <v>45350</v>
      </c>
      <c r="B4">
        <v>-10.55</v>
      </c>
      <c r="C4" t="s">
        <v>385</v>
      </c>
      <c r="D4" t="s">
        <v>388</v>
      </c>
      <c r="E4" t="s">
        <v>148</v>
      </c>
      <c r="F4" t="str">
        <f>VLOOKUP(E4, 'POS Categories'!$A$1:$B$1999, 2, FALSE)</f>
        <v>Personal</v>
      </c>
    </row>
    <row r="5" spans="1:6" x14ac:dyDescent="0.25">
      <c r="A5" s="19">
        <v>45350</v>
      </c>
      <c r="B5">
        <v>-37.82</v>
      </c>
      <c r="C5" t="s">
        <v>385</v>
      </c>
      <c r="D5" t="s">
        <v>388</v>
      </c>
      <c r="E5" t="s">
        <v>1365</v>
      </c>
      <c r="F5" t="str">
        <f>VLOOKUP(E5, 'POS Categories'!$A$1:$B$1999, 2, FALSE)</f>
        <v>Food</v>
      </c>
    </row>
    <row r="6" spans="1:6" x14ac:dyDescent="0.25">
      <c r="A6" s="19">
        <v>45350</v>
      </c>
      <c r="B6">
        <v>-26.84</v>
      </c>
      <c r="C6" t="s">
        <v>385</v>
      </c>
      <c r="D6" t="s">
        <v>388</v>
      </c>
      <c r="E6" t="s">
        <v>171</v>
      </c>
      <c r="F6" t="str">
        <f>VLOOKUP(E6, 'POS Categories'!$A$1:$B$1999, 2, FALSE)</f>
        <v>Food</v>
      </c>
    </row>
    <row r="7" spans="1:6" x14ac:dyDescent="0.25">
      <c r="A7" s="19">
        <v>45349</v>
      </c>
      <c r="B7">
        <v>-7.41</v>
      </c>
      <c r="C7" t="s">
        <v>385</v>
      </c>
      <c r="D7" t="s">
        <v>388</v>
      </c>
      <c r="E7" t="s">
        <v>408</v>
      </c>
      <c r="F7" t="str">
        <f>VLOOKUP(E7, 'POS Categories'!$A$1:$B$1999, 2, FALSE)</f>
        <v>Food</v>
      </c>
    </row>
    <row r="8" spans="1:6" x14ac:dyDescent="0.25">
      <c r="A8" s="19">
        <v>45349</v>
      </c>
      <c r="B8">
        <v>-33.299999999999997</v>
      </c>
      <c r="C8" t="s">
        <v>385</v>
      </c>
      <c r="D8" t="s">
        <v>388</v>
      </c>
      <c r="E8" t="s">
        <v>1196</v>
      </c>
      <c r="F8" t="str">
        <f>VLOOKUP(E8, 'POS Categories'!$A$1:$B$1999, 2, FALSE)</f>
        <v>Food</v>
      </c>
    </row>
    <row r="9" spans="1:6" x14ac:dyDescent="0.25">
      <c r="A9" s="19">
        <v>45349</v>
      </c>
      <c r="B9">
        <v>-31.48</v>
      </c>
      <c r="C9" t="s">
        <v>385</v>
      </c>
      <c r="D9" t="s">
        <v>388</v>
      </c>
      <c r="E9" t="s">
        <v>149</v>
      </c>
      <c r="F9" t="str">
        <f>VLOOKUP(E9, 'POS Categories'!$A$1:$B$1999, 2, FALSE)</f>
        <v>Food</v>
      </c>
    </row>
    <row r="10" spans="1:6" x14ac:dyDescent="0.25">
      <c r="A10" s="19">
        <v>45349</v>
      </c>
      <c r="B10">
        <v>-7.76</v>
      </c>
      <c r="C10" t="s">
        <v>385</v>
      </c>
      <c r="D10" t="s">
        <v>388</v>
      </c>
      <c r="E10" t="s">
        <v>408</v>
      </c>
      <c r="F10" t="str">
        <f>VLOOKUP(E10, 'POS Categories'!$A$1:$B$1999, 2, FALSE)</f>
        <v>Food</v>
      </c>
    </row>
    <row r="11" spans="1:6" x14ac:dyDescent="0.25">
      <c r="A11" s="19">
        <v>45349</v>
      </c>
      <c r="B11">
        <v>-8.65</v>
      </c>
      <c r="C11" t="s">
        <v>385</v>
      </c>
      <c r="D11" t="s">
        <v>388</v>
      </c>
      <c r="E11" t="s">
        <v>184</v>
      </c>
      <c r="F11" t="str">
        <f>VLOOKUP(E11, 'POS Categories'!$A$1:$B$1999, 2, FALSE)</f>
        <v>Food</v>
      </c>
    </row>
    <row r="12" spans="1:6" x14ac:dyDescent="0.25">
      <c r="A12" s="19">
        <v>45348</v>
      </c>
      <c r="B12">
        <v>-7.14</v>
      </c>
      <c r="C12" t="s">
        <v>385</v>
      </c>
      <c r="D12" t="s">
        <v>388</v>
      </c>
      <c r="E12" t="s">
        <v>183</v>
      </c>
      <c r="F12" t="str">
        <f>VLOOKUP(E12, 'POS Categories'!$A$1:$B$1999, 2, FALSE)</f>
        <v>Food</v>
      </c>
    </row>
    <row r="13" spans="1:6" x14ac:dyDescent="0.25">
      <c r="A13" s="19">
        <v>45348</v>
      </c>
      <c r="B13">
        <v>-7.41</v>
      </c>
      <c r="C13" t="s">
        <v>385</v>
      </c>
      <c r="D13" t="s">
        <v>388</v>
      </c>
      <c r="E13" t="s">
        <v>408</v>
      </c>
      <c r="F13" t="str">
        <f>VLOOKUP(E13, 'POS Categories'!$A$1:$B$1999, 2, FALSE)</f>
        <v>Food</v>
      </c>
    </row>
    <row r="14" spans="1:6" x14ac:dyDescent="0.25">
      <c r="A14" s="19">
        <v>45348</v>
      </c>
      <c r="B14">
        <v>-42.1</v>
      </c>
      <c r="C14" t="s">
        <v>385</v>
      </c>
      <c r="D14" t="s">
        <v>388</v>
      </c>
      <c r="E14" t="s">
        <v>1336</v>
      </c>
      <c r="F14" t="str">
        <f>VLOOKUP(E14, 'POS Categories'!$A$1:$B$1999, 2, FALSE)</f>
        <v>Food</v>
      </c>
    </row>
    <row r="15" spans="1:6" x14ac:dyDescent="0.25">
      <c r="A15" s="19">
        <v>45348</v>
      </c>
      <c r="B15">
        <v>-37.25</v>
      </c>
      <c r="C15" t="s">
        <v>385</v>
      </c>
      <c r="D15" t="s">
        <v>388</v>
      </c>
      <c r="E15" t="s">
        <v>142</v>
      </c>
      <c r="F15" t="str">
        <f>VLOOKUP(E15, 'POS Categories'!$A$1:$B$1999, 2, FALSE)</f>
        <v>Food</v>
      </c>
    </row>
    <row r="16" spans="1:6" x14ac:dyDescent="0.25">
      <c r="A16" s="19">
        <v>45348</v>
      </c>
      <c r="B16">
        <v>-52.29</v>
      </c>
      <c r="C16" t="s">
        <v>385</v>
      </c>
      <c r="D16" t="s">
        <v>388</v>
      </c>
      <c r="E16" t="s">
        <v>395</v>
      </c>
      <c r="F16" t="str">
        <f>VLOOKUP(E16, 'POS Categories'!$A$1:$B$1999, 2, FALSE)</f>
        <v>Vehicle</v>
      </c>
    </row>
    <row r="17" spans="1:6" x14ac:dyDescent="0.25">
      <c r="A17" s="19">
        <v>45348</v>
      </c>
      <c r="B17">
        <v>-22.42</v>
      </c>
      <c r="C17" t="s">
        <v>385</v>
      </c>
      <c r="D17" t="s">
        <v>388</v>
      </c>
      <c r="E17" t="s">
        <v>1225</v>
      </c>
      <c r="F17" t="str">
        <f>VLOOKUP(E17, 'POS Categories'!$A$1:$B$1999, 2, FALSE)</f>
        <v>Food</v>
      </c>
    </row>
    <row r="18" spans="1:6" x14ac:dyDescent="0.25">
      <c r="A18" s="19">
        <v>45346</v>
      </c>
      <c r="B18">
        <v>-74.319999999999993</v>
      </c>
      <c r="C18" t="s">
        <v>385</v>
      </c>
      <c r="D18" t="s">
        <v>435</v>
      </c>
      <c r="E18" t="s">
        <v>1257</v>
      </c>
      <c r="F18" t="str">
        <f>VLOOKUP(E18, 'POS Categories'!$A$1:$B$1999, 2, FALSE)</f>
        <v>Power</v>
      </c>
    </row>
    <row r="19" spans="1:6" x14ac:dyDescent="0.25">
      <c r="A19" s="19">
        <v>45345</v>
      </c>
      <c r="B19">
        <v>-975.19</v>
      </c>
      <c r="C19" t="s">
        <v>385</v>
      </c>
      <c r="D19" t="s">
        <v>400</v>
      </c>
      <c r="E19" t="s">
        <v>401</v>
      </c>
      <c r="F19" t="str">
        <f>VLOOKUP(E19, 'POS Categories'!$A$1:$B$1999, 2, FALSE)</f>
        <v>Misc</v>
      </c>
    </row>
    <row r="20" spans="1:6" x14ac:dyDescent="0.25">
      <c r="A20" s="19">
        <v>45345</v>
      </c>
      <c r="B20">
        <v>2159.94</v>
      </c>
      <c r="C20" t="s">
        <v>385</v>
      </c>
      <c r="D20" t="s">
        <v>386</v>
      </c>
      <c r="E20" t="s">
        <v>1193</v>
      </c>
      <c r="F20" t="str">
        <f>VLOOKUP(E20, 'POS Categories'!$A$1:$B$1999, 2, FALSE)</f>
        <v>Job</v>
      </c>
    </row>
    <row r="21" spans="1:6" x14ac:dyDescent="0.25">
      <c r="A21" s="19">
        <v>45341</v>
      </c>
      <c r="B21">
        <v>-7.38</v>
      </c>
      <c r="C21" t="s">
        <v>385</v>
      </c>
      <c r="D21" t="s">
        <v>388</v>
      </c>
      <c r="E21" t="s">
        <v>1225</v>
      </c>
      <c r="F21" t="str">
        <f>VLOOKUP(E21, 'POS Categories'!$A$1:$B$1999, 2, FALSE)</f>
        <v>Food</v>
      </c>
    </row>
    <row r="22" spans="1:6" x14ac:dyDescent="0.25">
      <c r="A22" s="19">
        <v>45341</v>
      </c>
      <c r="B22">
        <v>-26.84</v>
      </c>
      <c r="C22" t="s">
        <v>385</v>
      </c>
      <c r="D22" t="s">
        <v>388</v>
      </c>
      <c r="E22" t="s">
        <v>171</v>
      </c>
      <c r="F22" t="str">
        <f>VLOOKUP(E22, 'POS Categories'!$A$1:$B$1999, 2, FALSE)</f>
        <v>Food</v>
      </c>
    </row>
    <row r="23" spans="1:6" x14ac:dyDescent="0.25">
      <c r="A23" s="19">
        <v>45339</v>
      </c>
      <c r="B23">
        <v>-30.5</v>
      </c>
      <c r="C23" t="s">
        <v>385</v>
      </c>
      <c r="D23" t="s">
        <v>388</v>
      </c>
      <c r="E23" t="s">
        <v>142</v>
      </c>
      <c r="F23" t="str">
        <f>VLOOKUP(E23, 'POS Categories'!$A$1:$B$1999, 2, FALSE)</f>
        <v>Food</v>
      </c>
    </row>
    <row r="24" spans="1:6" x14ac:dyDescent="0.25">
      <c r="A24" s="19">
        <v>45338</v>
      </c>
      <c r="B24">
        <v>-150</v>
      </c>
      <c r="C24" t="s">
        <v>385</v>
      </c>
      <c r="D24" t="s">
        <v>400</v>
      </c>
      <c r="E24" t="s">
        <v>1335</v>
      </c>
      <c r="F24" t="str">
        <f>VLOOKUP(E24, 'POS Categories'!$A$1:$B$1999, 2, FALSE)</f>
        <v>Investment</v>
      </c>
    </row>
    <row r="25" spans="1:6" x14ac:dyDescent="0.25">
      <c r="A25" s="19">
        <v>45338</v>
      </c>
      <c r="B25">
        <v>-250</v>
      </c>
      <c r="C25" t="s">
        <v>385</v>
      </c>
      <c r="D25" t="s">
        <v>400</v>
      </c>
      <c r="E25" t="s">
        <v>1335</v>
      </c>
      <c r="F25" t="str">
        <f>VLOOKUP(E25, 'POS Categories'!$A$1:$B$1999, 2, FALSE)</f>
        <v>Investment</v>
      </c>
    </row>
    <row r="26" spans="1:6" x14ac:dyDescent="0.25">
      <c r="A26" s="19">
        <v>45337</v>
      </c>
      <c r="B26">
        <v>-14.76</v>
      </c>
      <c r="C26" t="s">
        <v>385</v>
      </c>
      <c r="D26" t="s">
        <v>388</v>
      </c>
      <c r="E26" t="s">
        <v>1225</v>
      </c>
      <c r="F26" t="str">
        <f>VLOOKUP(E26, 'POS Categories'!$A$1:$B$1999, 2, FALSE)</f>
        <v>Food</v>
      </c>
    </row>
    <row r="27" spans="1:6" x14ac:dyDescent="0.25">
      <c r="A27" s="19">
        <v>45337</v>
      </c>
      <c r="B27">
        <v>-67.260000000000005</v>
      </c>
      <c r="C27" t="s">
        <v>385</v>
      </c>
      <c r="D27" t="s">
        <v>388</v>
      </c>
      <c r="E27" t="s">
        <v>175</v>
      </c>
      <c r="F27" t="str">
        <f>VLOOKUP(E27, 'POS Categories'!$A$1:$B$1999, 2, FALSE)</f>
        <v>Sasktel</v>
      </c>
    </row>
    <row r="28" spans="1:6" x14ac:dyDescent="0.25">
      <c r="A28" s="19">
        <v>45336</v>
      </c>
      <c r="B28">
        <v>-737.77</v>
      </c>
      <c r="C28" t="s">
        <v>385</v>
      </c>
      <c r="D28" t="s">
        <v>400</v>
      </c>
      <c r="E28" t="s">
        <v>401</v>
      </c>
      <c r="F28" t="str">
        <f>VLOOKUP(E28, 'POS Categories'!$A$1:$B$1999, 2, FALSE)</f>
        <v>Misc</v>
      </c>
    </row>
    <row r="29" spans="1:6" x14ac:dyDescent="0.25">
      <c r="A29" s="19">
        <v>45331</v>
      </c>
      <c r="B29">
        <v>2180.9</v>
      </c>
      <c r="C29" t="s">
        <v>385</v>
      </c>
      <c r="D29" t="s">
        <v>386</v>
      </c>
      <c r="E29" t="s">
        <v>1193</v>
      </c>
      <c r="F29" t="str">
        <f>VLOOKUP(E29, 'POS Categories'!$A$1:$B$1999, 2, FALSE)</f>
        <v>Job</v>
      </c>
    </row>
    <row r="30" spans="1:6" x14ac:dyDescent="0.25">
      <c r="A30" s="19">
        <v>45328</v>
      </c>
      <c r="B30">
        <v>-93</v>
      </c>
      <c r="C30" t="s">
        <v>385</v>
      </c>
      <c r="D30" t="s">
        <v>388</v>
      </c>
      <c r="E30" t="s">
        <v>411</v>
      </c>
      <c r="F30" t="str">
        <f>VLOOKUP(E30, 'POS Categories'!$A$1:$B$1999, 2, FALSE)</f>
        <v>Sasktel</v>
      </c>
    </row>
    <row r="31" spans="1:6" x14ac:dyDescent="0.25">
      <c r="A31" s="19">
        <v>45324</v>
      </c>
      <c r="B31">
        <v>-150</v>
      </c>
      <c r="C31" t="s">
        <v>385</v>
      </c>
      <c r="D31" t="s">
        <v>400</v>
      </c>
      <c r="E31" t="s">
        <v>1335</v>
      </c>
      <c r="F31" t="str">
        <f>VLOOKUP(E31, 'POS Categories'!$A$1:$B$1999, 2, FALSE)</f>
        <v>Investment</v>
      </c>
    </row>
    <row r="32" spans="1:6" x14ac:dyDescent="0.25">
      <c r="A32" s="19">
        <v>45324</v>
      </c>
      <c r="B32">
        <v>-250</v>
      </c>
      <c r="C32" t="s">
        <v>385</v>
      </c>
      <c r="D32" t="s">
        <v>400</v>
      </c>
      <c r="E32" t="s">
        <v>1335</v>
      </c>
      <c r="F32" t="str">
        <f>VLOOKUP(E32, 'POS Categories'!$A$1:$B$1999, 2, FALSE)</f>
        <v>Investment</v>
      </c>
    </row>
    <row r="33" spans="1:6" x14ac:dyDescent="0.25">
      <c r="A33" s="19">
        <v>45323</v>
      </c>
      <c r="B33">
        <v>-1425</v>
      </c>
      <c r="C33" t="s">
        <v>385</v>
      </c>
      <c r="D33" t="s">
        <v>414</v>
      </c>
      <c r="E33" t="s">
        <v>1224</v>
      </c>
      <c r="F33" t="str">
        <f>VLOOKUP(E33, 'POS Categories'!$A$1:$B$1999, 2, FALSE)</f>
        <v>Rent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7"/>
  <sheetViews>
    <sheetView workbookViewId="0">
      <selection sqref="A1:A1048576"/>
    </sheetView>
  </sheetViews>
  <sheetFormatPr defaultRowHeight="15" x14ac:dyDescent="0.25"/>
  <cols>
    <col min="1" max="1" width="10.42578125" style="19" bestFit="1" customWidth="1"/>
  </cols>
  <sheetData>
    <row r="1" spans="1:6" x14ac:dyDescent="0.25">
      <c r="A1" s="19">
        <v>45322</v>
      </c>
      <c r="B1">
        <v>-37.72</v>
      </c>
      <c r="C1" t="s">
        <v>385</v>
      </c>
      <c r="D1" t="s">
        <v>466</v>
      </c>
      <c r="E1" t="s">
        <v>200</v>
      </c>
      <c r="F1" t="str">
        <f>VLOOKUP(E1, 'POS Categories'!$A$1:$B$1999, 2, FALSE)</f>
        <v>Bills</v>
      </c>
    </row>
    <row r="2" spans="1:6" x14ac:dyDescent="0.25">
      <c r="A2" s="19">
        <v>45320</v>
      </c>
      <c r="B2">
        <v>-39.619999999999997</v>
      </c>
      <c r="C2" t="s">
        <v>385</v>
      </c>
      <c r="D2" t="s">
        <v>388</v>
      </c>
      <c r="E2" t="s">
        <v>1330</v>
      </c>
      <c r="F2" t="str">
        <f>VLOOKUP(E2, 'POS Categories'!$A$1:$B$1999, 2, FALSE)</f>
        <v>Vehicle</v>
      </c>
    </row>
    <row r="3" spans="1:6" x14ac:dyDescent="0.25">
      <c r="A3" s="19">
        <v>45320</v>
      </c>
      <c r="B3">
        <v>-16.8</v>
      </c>
      <c r="C3" t="s">
        <v>385</v>
      </c>
      <c r="D3" t="s">
        <v>388</v>
      </c>
      <c r="E3" t="s">
        <v>408</v>
      </c>
      <c r="F3" t="str">
        <f>VLOOKUP(E3, 'POS Categories'!$A$1:$B$1999, 2, FALSE)</f>
        <v>Food</v>
      </c>
    </row>
    <row r="4" spans="1:6" x14ac:dyDescent="0.25">
      <c r="A4" s="19">
        <v>45320</v>
      </c>
      <c r="B4">
        <v>-14.88</v>
      </c>
      <c r="C4" t="s">
        <v>385</v>
      </c>
      <c r="D4" t="s">
        <v>388</v>
      </c>
      <c r="E4" t="s">
        <v>183</v>
      </c>
      <c r="F4" t="str">
        <f>VLOOKUP(E4, 'POS Categories'!$A$1:$B$1999, 2, FALSE)</f>
        <v>Food</v>
      </c>
    </row>
    <row r="5" spans="1:6" x14ac:dyDescent="0.25">
      <c r="A5" s="19">
        <v>45320</v>
      </c>
      <c r="B5">
        <v>-33.19</v>
      </c>
      <c r="C5" t="s">
        <v>385</v>
      </c>
      <c r="D5" t="s">
        <v>388</v>
      </c>
      <c r="E5" t="s">
        <v>1196</v>
      </c>
      <c r="F5" t="str">
        <f>VLOOKUP(E5, 'POS Categories'!$A$1:$B$1999, 2, FALSE)</f>
        <v>Food</v>
      </c>
    </row>
    <row r="6" spans="1:6" x14ac:dyDescent="0.25">
      <c r="A6" s="19">
        <v>45320</v>
      </c>
      <c r="B6">
        <v>-30.16</v>
      </c>
      <c r="C6" t="s">
        <v>385</v>
      </c>
      <c r="D6" t="s">
        <v>388</v>
      </c>
      <c r="E6" t="s">
        <v>8</v>
      </c>
      <c r="F6" t="str">
        <f>VLOOKUP(E6, 'POS Categories'!$A$1:$B$1999, 2, FALSE)</f>
        <v>Food</v>
      </c>
    </row>
    <row r="7" spans="1:6" x14ac:dyDescent="0.25">
      <c r="A7" s="19">
        <v>45320</v>
      </c>
      <c r="B7">
        <v>-44.63</v>
      </c>
      <c r="C7" t="s">
        <v>385</v>
      </c>
      <c r="D7" t="s">
        <v>388</v>
      </c>
      <c r="E7" t="s">
        <v>1330</v>
      </c>
      <c r="F7" t="str">
        <f>VLOOKUP(E7, 'POS Categories'!$A$1:$B$1999, 2, FALSE)</f>
        <v>Vehicle</v>
      </c>
    </row>
    <row r="8" spans="1:6" x14ac:dyDescent="0.25">
      <c r="A8" s="19">
        <v>45320</v>
      </c>
      <c r="B8">
        <v>-14.76</v>
      </c>
      <c r="C8" t="s">
        <v>385</v>
      </c>
      <c r="D8" t="s">
        <v>388</v>
      </c>
      <c r="E8" t="s">
        <v>1225</v>
      </c>
      <c r="F8" t="str">
        <f>VLOOKUP(E8, 'POS Categories'!$A$1:$B$1999, 2, FALSE)</f>
        <v>Food</v>
      </c>
    </row>
    <row r="9" spans="1:6" x14ac:dyDescent="0.25">
      <c r="A9" s="19">
        <v>45318</v>
      </c>
      <c r="B9">
        <v>-6.58</v>
      </c>
      <c r="C9" t="s">
        <v>385</v>
      </c>
      <c r="D9" t="s">
        <v>388</v>
      </c>
      <c r="E9" t="s">
        <v>183</v>
      </c>
      <c r="F9" t="str">
        <f>VLOOKUP(E9, 'POS Categories'!$A$1:$B$1999, 2, FALSE)</f>
        <v>Food</v>
      </c>
    </row>
    <row r="10" spans="1:6" x14ac:dyDescent="0.25">
      <c r="A10" s="19">
        <v>45318</v>
      </c>
      <c r="B10">
        <v>-54.89</v>
      </c>
      <c r="C10" t="s">
        <v>385</v>
      </c>
      <c r="D10" t="s">
        <v>388</v>
      </c>
      <c r="E10" t="s">
        <v>1160</v>
      </c>
      <c r="F10" t="str">
        <f>VLOOKUP(E10, 'POS Categories'!$A$1:$B$1999, 2, FALSE)</f>
        <v>Food</v>
      </c>
    </row>
    <row r="11" spans="1:6" x14ac:dyDescent="0.25">
      <c r="A11" s="19">
        <v>45318</v>
      </c>
      <c r="B11">
        <v>-10.3</v>
      </c>
      <c r="C11" t="s">
        <v>385</v>
      </c>
      <c r="D11" t="s">
        <v>388</v>
      </c>
      <c r="E11" t="s">
        <v>202</v>
      </c>
      <c r="F11" t="str">
        <f>VLOOKUP(E11, 'POS Categories'!$A$1:$B$1999, 2, FALSE)</f>
        <v>Food</v>
      </c>
    </row>
    <row r="12" spans="1:6" x14ac:dyDescent="0.25">
      <c r="A12" s="19">
        <v>45318</v>
      </c>
      <c r="B12">
        <v>-14.76</v>
      </c>
      <c r="C12" t="s">
        <v>385</v>
      </c>
      <c r="D12" t="s">
        <v>388</v>
      </c>
      <c r="E12" t="s">
        <v>1225</v>
      </c>
      <c r="F12" t="str">
        <f>VLOOKUP(E12, 'POS Categories'!$A$1:$B$1999, 2, FALSE)</f>
        <v>Food</v>
      </c>
    </row>
    <row r="13" spans="1:6" x14ac:dyDescent="0.25">
      <c r="A13" s="19">
        <v>45318</v>
      </c>
      <c r="B13">
        <v>-60.09</v>
      </c>
      <c r="C13" t="s">
        <v>385</v>
      </c>
      <c r="D13" t="s">
        <v>388</v>
      </c>
      <c r="E13" t="s">
        <v>279</v>
      </c>
      <c r="F13" t="str">
        <f>VLOOKUP(E13, 'POS Categories'!$A$1:$B$1999, 2, FALSE)</f>
        <v>Personal</v>
      </c>
    </row>
    <row r="14" spans="1:6" x14ac:dyDescent="0.25">
      <c r="A14" s="19">
        <v>45317</v>
      </c>
      <c r="B14">
        <v>-35.380000000000003</v>
      </c>
      <c r="C14" t="s">
        <v>385</v>
      </c>
      <c r="D14" t="s">
        <v>388</v>
      </c>
      <c r="E14" t="s">
        <v>1336</v>
      </c>
      <c r="F14" t="str">
        <f>VLOOKUP(E14, 'POS Categories'!$A$1:$B$1999, 2, FALSE)</f>
        <v>Food</v>
      </c>
    </row>
    <row r="15" spans="1:6" x14ac:dyDescent="0.25">
      <c r="A15" s="19">
        <v>45317</v>
      </c>
      <c r="B15">
        <v>-5.49</v>
      </c>
      <c r="C15" t="s">
        <v>385</v>
      </c>
      <c r="D15" t="s">
        <v>388</v>
      </c>
      <c r="E15" t="s">
        <v>1225</v>
      </c>
      <c r="F15" t="str">
        <f>VLOOKUP(E15, 'POS Categories'!$A$1:$B$1999, 2, FALSE)</f>
        <v>Food</v>
      </c>
    </row>
    <row r="16" spans="1:6" x14ac:dyDescent="0.25">
      <c r="A16" s="19">
        <v>45317</v>
      </c>
      <c r="B16">
        <v>2143.59</v>
      </c>
      <c r="C16" t="s">
        <v>385</v>
      </c>
      <c r="D16" t="s">
        <v>386</v>
      </c>
      <c r="E16" t="s">
        <v>1193</v>
      </c>
      <c r="F16" t="str">
        <f>VLOOKUP(E16, 'POS Categories'!$A$1:$B$1999, 2, FALSE)</f>
        <v>Job</v>
      </c>
    </row>
    <row r="17" spans="1:6" x14ac:dyDescent="0.25">
      <c r="A17" s="19">
        <v>45316</v>
      </c>
      <c r="B17">
        <v>-24.41</v>
      </c>
      <c r="C17" t="s">
        <v>385</v>
      </c>
      <c r="D17" t="s">
        <v>388</v>
      </c>
      <c r="E17" t="s">
        <v>1246</v>
      </c>
      <c r="F17" t="str">
        <f>VLOOKUP(E17, 'POS Categories'!$A$1:$B$1999, 2, FALSE)</f>
        <v>Food</v>
      </c>
    </row>
    <row r="18" spans="1:6" x14ac:dyDescent="0.25">
      <c r="A18" s="19">
        <v>45316</v>
      </c>
      <c r="B18">
        <v>-185.72</v>
      </c>
      <c r="C18" t="s">
        <v>385</v>
      </c>
      <c r="D18" t="s">
        <v>388</v>
      </c>
      <c r="E18" t="s">
        <v>1207</v>
      </c>
      <c r="F18" t="str">
        <f>VLOOKUP(E18, 'POS Categories'!$A$1:$B$1999, 2, FALSE)</f>
        <v>Entertainment</v>
      </c>
    </row>
    <row r="19" spans="1:6" x14ac:dyDescent="0.25">
      <c r="A19" s="19">
        <v>45316</v>
      </c>
      <c r="B19">
        <v>3725.99</v>
      </c>
      <c r="C19" t="s">
        <v>385</v>
      </c>
      <c r="D19" t="s">
        <v>414</v>
      </c>
      <c r="E19" t="s">
        <v>1345</v>
      </c>
      <c r="F19" t="str">
        <f>VLOOKUP(E19, 'POS Categories'!$A$1:$B$1999, 2, FALSE)</f>
        <v>Unknown</v>
      </c>
    </row>
    <row r="20" spans="1:6" x14ac:dyDescent="0.25">
      <c r="A20" s="19">
        <v>45316</v>
      </c>
      <c r="B20">
        <v>-7.38</v>
      </c>
      <c r="C20" t="s">
        <v>385</v>
      </c>
      <c r="D20" t="s">
        <v>388</v>
      </c>
      <c r="E20" t="s">
        <v>1225</v>
      </c>
      <c r="F20" t="str">
        <f>VLOOKUP(E20, 'POS Categories'!$A$1:$B$1999, 2, FALSE)</f>
        <v>Food</v>
      </c>
    </row>
    <row r="21" spans="1:6" x14ac:dyDescent="0.25">
      <c r="A21" s="19">
        <v>45316</v>
      </c>
      <c r="B21">
        <v>-6.98</v>
      </c>
      <c r="C21" t="s">
        <v>385</v>
      </c>
      <c r="D21" t="s">
        <v>388</v>
      </c>
      <c r="E21" t="s">
        <v>1360</v>
      </c>
      <c r="F21" t="str">
        <f>VLOOKUP(E21, 'POS Categories'!$A$1:$B$1999, 2, FALSE)</f>
        <v>Food</v>
      </c>
    </row>
    <row r="22" spans="1:6" x14ac:dyDescent="0.25">
      <c r="A22" s="19">
        <v>45316</v>
      </c>
      <c r="B22">
        <v>-161.46</v>
      </c>
      <c r="C22" t="s">
        <v>385</v>
      </c>
      <c r="D22" t="s">
        <v>435</v>
      </c>
      <c r="E22" t="s">
        <v>1257</v>
      </c>
      <c r="F22" t="str">
        <f>VLOOKUP(E22, 'POS Categories'!$A$1:$B$1999, 2, FALSE)</f>
        <v>Power</v>
      </c>
    </row>
    <row r="23" spans="1:6" x14ac:dyDescent="0.25">
      <c r="A23" s="19">
        <v>45315</v>
      </c>
      <c r="B23">
        <v>-762.38</v>
      </c>
      <c r="C23" t="s">
        <v>385</v>
      </c>
      <c r="D23" t="s">
        <v>400</v>
      </c>
      <c r="E23" t="s">
        <v>401</v>
      </c>
      <c r="F23" t="str">
        <f>VLOOKUP(E23, 'POS Categories'!$A$1:$B$1999, 2, FALSE)</f>
        <v>Misc</v>
      </c>
    </row>
    <row r="24" spans="1:6" x14ac:dyDescent="0.25">
      <c r="A24" s="19">
        <v>45315</v>
      </c>
      <c r="B24">
        <v>-10.27</v>
      </c>
      <c r="C24" t="s">
        <v>385</v>
      </c>
      <c r="D24" t="s">
        <v>388</v>
      </c>
      <c r="E24" t="s">
        <v>408</v>
      </c>
      <c r="F24" t="str">
        <f>VLOOKUP(E24, 'POS Categories'!$A$1:$B$1999, 2, FALSE)</f>
        <v>Food</v>
      </c>
    </row>
    <row r="25" spans="1:6" x14ac:dyDescent="0.25">
      <c r="A25" s="19">
        <v>45314</v>
      </c>
      <c r="B25">
        <v>-17.53</v>
      </c>
      <c r="C25" t="s">
        <v>385</v>
      </c>
      <c r="D25" t="s">
        <v>388</v>
      </c>
      <c r="E25" t="s">
        <v>174</v>
      </c>
      <c r="F25" t="str">
        <f>VLOOKUP(E25, 'POS Categories'!$A$1:$B$1999, 2, FALSE)</f>
        <v>Food</v>
      </c>
    </row>
    <row r="26" spans="1:6" x14ac:dyDescent="0.25">
      <c r="A26" s="19">
        <v>45314</v>
      </c>
      <c r="B26">
        <v>-3.99</v>
      </c>
      <c r="C26" t="s">
        <v>385</v>
      </c>
      <c r="D26" t="s">
        <v>388</v>
      </c>
      <c r="E26" t="s">
        <v>408</v>
      </c>
      <c r="F26" t="str">
        <f>VLOOKUP(E26, 'POS Categories'!$A$1:$B$1999, 2, FALSE)</f>
        <v>Food</v>
      </c>
    </row>
    <row r="27" spans="1:6" x14ac:dyDescent="0.25">
      <c r="A27" s="19">
        <v>45313</v>
      </c>
      <c r="B27">
        <v>-26.39</v>
      </c>
      <c r="C27" t="s">
        <v>385</v>
      </c>
      <c r="D27" t="s">
        <v>388</v>
      </c>
      <c r="E27" t="s">
        <v>142</v>
      </c>
      <c r="F27" t="str">
        <f>VLOOKUP(E27, 'POS Categories'!$A$1:$B$1999, 2, FALSE)</f>
        <v>Food</v>
      </c>
    </row>
    <row r="28" spans="1:6" x14ac:dyDescent="0.25">
      <c r="A28" s="19">
        <v>45313</v>
      </c>
      <c r="B28">
        <v>-18.63</v>
      </c>
      <c r="C28" t="s">
        <v>385</v>
      </c>
      <c r="D28" t="s">
        <v>388</v>
      </c>
      <c r="E28" t="s">
        <v>8</v>
      </c>
      <c r="F28" t="str">
        <f>VLOOKUP(E28, 'POS Categories'!$A$1:$B$1999, 2, FALSE)</f>
        <v>Food</v>
      </c>
    </row>
    <row r="29" spans="1:6" x14ac:dyDescent="0.25">
      <c r="A29" s="19">
        <v>45313</v>
      </c>
      <c r="B29">
        <v>-7.38</v>
      </c>
      <c r="C29" t="s">
        <v>385</v>
      </c>
      <c r="D29" t="s">
        <v>388</v>
      </c>
      <c r="E29" t="s">
        <v>1225</v>
      </c>
      <c r="F29" t="str">
        <f>VLOOKUP(E29, 'POS Categories'!$A$1:$B$1999, 2, FALSE)</f>
        <v>Food</v>
      </c>
    </row>
    <row r="30" spans="1:6" x14ac:dyDescent="0.25">
      <c r="A30" s="19">
        <v>45313</v>
      </c>
      <c r="B30">
        <v>-6.98</v>
      </c>
      <c r="C30" t="s">
        <v>385</v>
      </c>
      <c r="D30" t="s">
        <v>388</v>
      </c>
      <c r="E30" t="s">
        <v>1360</v>
      </c>
      <c r="F30" t="str">
        <f>VLOOKUP(E30, 'POS Categories'!$A$1:$B$1999, 2, FALSE)</f>
        <v>Food</v>
      </c>
    </row>
    <row r="31" spans="1:6" x14ac:dyDescent="0.25">
      <c r="A31" s="19">
        <v>45311</v>
      </c>
      <c r="B31">
        <v>-24.13</v>
      </c>
      <c r="C31" t="s">
        <v>385</v>
      </c>
      <c r="D31" t="s">
        <v>388</v>
      </c>
      <c r="E31" t="s">
        <v>241</v>
      </c>
      <c r="F31" t="str">
        <f>VLOOKUP(E31, 'POS Categories'!$A$1:$B$1999, 2, FALSE)</f>
        <v>Food</v>
      </c>
    </row>
    <row r="32" spans="1:6" x14ac:dyDescent="0.25">
      <c r="A32" s="19">
        <v>45310</v>
      </c>
      <c r="B32">
        <v>-14.08</v>
      </c>
      <c r="C32" t="s">
        <v>385</v>
      </c>
      <c r="D32" t="s">
        <v>388</v>
      </c>
      <c r="E32" t="s">
        <v>1238</v>
      </c>
      <c r="F32" t="str">
        <f>VLOOKUP(E32, 'POS Categories'!$A$1:$B$1999, 2, FALSE)</f>
        <v>Food</v>
      </c>
    </row>
    <row r="33" spans="1:6" x14ac:dyDescent="0.25">
      <c r="A33" s="19">
        <v>45310</v>
      </c>
      <c r="B33">
        <v>-17.53</v>
      </c>
      <c r="C33" t="s">
        <v>385</v>
      </c>
      <c r="D33" t="s">
        <v>388</v>
      </c>
      <c r="E33" t="s">
        <v>174</v>
      </c>
      <c r="F33" t="str">
        <f>VLOOKUP(E33, 'POS Categories'!$A$1:$B$1999, 2, FALSE)</f>
        <v>Food</v>
      </c>
    </row>
    <row r="34" spans="1:6" x14ac:dyDescent="0.25">
      <c r="A34" s="19">
        <v>45310</v>
      </c>
      <c r="B34">
        <v>-250</v>
      </c>
      <c r="C34" t="s">
        <v>385</v>
      </c>
      <c r="D34" t="s">
        <v>400</v>
      </c>
      <c r="E34" t="s">
        <v>1335</v>
      </c>
      <c r="F34" t="str">
        <f>VLOOKUP(E34, 'POS Categories'!$A$1:$B$1999, 2, FALSE)</f>
        <v>Investment</v>
      </c>
    </row>
    <row r="35" spans="1:6" x14ac:dyDescent="0.25">
      <c r="A35" s="19">
        <v>45310</v>
      </c>
      <c r="B35">
        <v>-150</v>
      </c>
      <c r="C35" t="s">
        <v>385</v>
      </c>
      <c r="D35" t="s">
        <v>400</v>
      </c>
      <c r="E35" t="s">
        <v>1335</v>
      </c>
      <c r="F35" t="str">
        <f>VLOOKUP(E35, 'POS Categories'!$A$1:$B$1999, 2, FALSE)</f>
        <v>Investment</v>
      </c>
    </row>
    <row r="36" spans="1:6" x14ac:dyDescent="0.25">
      <c r="A36" s="19">
        <v>45309</v>
      </c>
      <c r="B36">
        <v>-37.700000000000003</v>
      </c>
      <c r="C36" t="s">
        <v>385</v>
      </c>
      <c r="D36" t="s">
        <v>388</v>
      </c>
      <c r="E36" t="s">
        <v>1281</v>
      </c>
      <c r="F36" t="str">
        <f>VLOOKUP(E36, 'POS Categories'!$A$1:$B$1999, 2, FALSE)</f>
        <v>Food</v>
      </c>
    </row>
    <row r="37" spans="1:6" x14ac:dyDescent="0.25">
      <c r="A37" s="19">
        <v>45307</v>
      </c>
      <c r="B37">
        <v>-17.93</v>
      </c>
      <c r="C37" t="s">
        <v>385</v>
      </c>
      <c r="D37" t="s">
        <v>388</v>
      </c>
      <c r="E37" t="s">
        <v>1245</v>
      </c>
      <c r="F37" t="str">
        <f>VLOOKUP(E37, 'POS Categories'!$A$1:$B$1999, 2, FALSE)</f>
        <v>Food</v>
      </c>
    </row>
    <row r="38" spans="1:6" x14ac:dyDescent="0.25">
      <c r="A38" s="19">
        <v>45306</v>
      </c>
      <c r="B38">
        <v>-20.12</v>
      </c>
      <c r="C38" t="s">
        <v>385</v>
      </c>
      <c r="D38" t="s">
        <v>388</v>
      </c>
      <c r="E38" t="s">
        <v>1336</v>
      </c>
      <c r="F38" t="str">
        <f>VLOOKUP(E38, 'POS Categories'!$A$1:$B$1999, 2, FALSE)</f>
        <v>Food</v>
      </c>
    </row>
    <row r="39" spans="1:6" x14ac:dyDescent="0.25">
      <c r="A39" s="19">
        <v>45306</v>
      </c>
      <c r="B39">
        <v>-94.3</v>
      </c>
      <c r="C39" t="s">
        <v>385</v>
      </c>
      <c r="D39" t="s">
        <v>388</v>
      </c>
      <c r="E39" t="s">
        <v>175</v>
      </c>
      <c r="F39" t="str">
        <f>VLOOKUP(E39, 'POS Categories'!$A$1:$B$1999, 2, FALSE)</f>
        <v>Sasktel</v>
      </c>
    </row>
    <row r="40" spans="1:6" x14ac:dyDescent="0.25">
      <c r="A40" s="19">
        <v>45306</v>
      </c>
      <c r="B40">
        <v>-9.52</v>
      </c>
      <c r="C40" t="s">
        <v>385</v>
      </c>
      <c r="D40" t="s">
        <v>388</v>
      </c>
      <c r="E40" t="s">
        <v>408</v>
      </c>
      <c r="F40" t="str">
        <f>VLOOKUP(E40, 'POS Categories'!$A$1:$B$1999, 2, FALSE)</f>
        <v>Food</v>
      </c>
    </row>
    <row r="41" spans="1:6" x14ac:dyDescent="0.25">
      <c r="A41" s="19">
        <v>45306</v>
      </c>
      <c r="B41">
        <v>-61.82</v>
      </c>
      <c r="C41" t="s">
        <v>385</v>
      </c>
      <c r="D41" t="s">
        <v>388</v>
      </c>
      <c r="E41" t="s">
        <v>395</v>
      </c>
      <c r="F41" t="str">
        <f>VLOOKUP(E41, 'POS Categories'!$A$1:$B$1999, 2, FALSE)</f>
        <v>Vehicle</v>
      </c>
    </row>
    <row r="42" spans="1:6" x14ac:dyDescent="0.25">
      <c r="A42" s="19">
        <v>45304</v>
      </c>
      <c r="B42">
        <v>41.71</v>
      </c>
      <c r="C42" t="s">
        <v>385</v>
      </c>
      <c r="D42" t="s">
        <v>430</v>
      </c>
      <c r="E42" t="s">
        <v>378</v>
      </c>
      <c r="F42" t="str">
        <f>VLOOKUP(E42, 'POS Categories'!$A$1:$B$1999, 2, FALSE)</f>
        <v>Food</v>
      </c>
    </row>
    <row r="43" spans="1:6" x14ac:dyDescent="0.25">
      <c r="A43" s="19">
        <v>45304</v>
      </c>
      <c r="B43">
        <v>-133.08000000000001</v>
      </c>
      <c r="C43" t="s">
        <v>385</v>
      </c>
      <c r="D43" t="s">
        <v>400</v>
      </c>
      <c r="E43" t="s">
        <v>401</v>
      </c>
      <c r="F43" t="str">
        <f>VLOOKUP(E43, 'POS Categories'!$A$1:$B$1999, 2, FALSE)</f>
        <v>Misc</v>
      </c>
    </row>
    <row r="44" spans="1:6" x14ac:dyDescent="0.25">
      <c r="A44" s="19">
        <v>45304</v>
      </c>
      <c r="B44">
        <v>-1759.53</v>
      </c>
      <c r="C44" t="s">
        <v>385</v>
      </c>
      <c r="D44" t="s">
        <v>400</v>
      </c>
      <c r="E44" t="s">
        <v>401</v>
      </c>
      <c r="F44" t="str">
        <f>VLOOKUP(E44, 'POS Categories'!$A$1:$B$1999, 2, FALSE)</f>
        <v>Misc</v>
      </c>
    </row>
    <row r="45" spans="1:6" x14ac:dyDescent="0.25">
      <c r="A45" s="19">
        <v>45304</v>
      </c>
      <c r="B45">
        <v>-34.049999999999997</v>
      </c>
      <c r="C45" t="s">
        <v>385</v>
      </c>
      <c r="D45" t="s">
        <v>388</v>
      </c>
      <c r="E45" t="s">
        <v>1362</v>
      </c>
      <c r="F45" t="str">
        <f>VLOOKUP(E45, 'POS Categories'!$A$1:$B$1999, 2, FALSE)</f>
        <v>Food</v>
      </c>
    </row>
    <row r="46" spans="1:6" x14ac:dyDescent="0.25">
      <c r="A46" s="19">
        <v>45304</v>
      </c>
      <c r="B46">
        <v>-41.71</v>
      </c>
      <c r="C46" t="s">
        <v>385</v>
      </c>
      <c r="D46" t="s">
        <v>388</v>
      </c>
      <c r="E46" t="s">
        <v>378</v>
      </c>
      <c r="F46" t="str">
        <f>VLOOKUP(E46, 'POS Categories'!$A$1:$B$1999, 2, FALSE)</f>
        <v>Food</v>
      </c>
    </row>
    <row r="47" spans="1:6" x14ac:dyDescent="0.25">
      <c r="A47" s="19">
        <v>45303</v>
      </c>
      <c r="B47">
        <v>-7.2</v>
      </c>
      <c r="C47" t="s">
        <v>385</v>
      </c>
      <c r="D47" t="s">
        <v>388</v>
      </c>
      <c r="E47" t="s">
        <v>408</v>
      </c>
      <c r="F47" t="str">
        <f>VLOOKUP(E47, 'POS Categories'!$A$1:$B$1999, 2, FALSE)</f>
        <v>Food</v>
      </c>
    </row>
    <row r="48" spans="1:6" x14ac:dyDescent="0.25">
      <c r="A48" s="19">
        <v>45303</v>
      </c>
      <c r="B48">
        <v>-5.87</v>
      </c>
      <c r="C48" t="s">
        <v>385</v>
      </c>
      <c r="D48" t="s">
        <v>388</v>
      </c>
      <c r="E48" t="s">
        <v>179</v>
      </c>
      <c r="F48" t="str">
        <f>VLOOKUP(E48, 'POS Categories'!$A$1:$B$1999, 2, FALSE)</f>
        <v>Food</v>
      </c>
    </row>
    <row r="49" spans="1:6" x14ac:dyDescent="0.25">
      <c r="A49" s="19">
        <v>45303</v>
      </c>
      <c r="B49">
        <v>-6000</v>
      </c>
      <c r="C49" t="s">
        <v>385</v>
      </c>
      <c r="D49" t="s">
        <v>400</v>
      </c>
      <c r="E49" t="s">
        <v>1335</v>
      </c>
      <c r="F49" t="str">
        <f>VLOOKUP(E49, 'POS Categories'!$A$1:$B$1999, 2, FALSE)</f>
        <v>Investment</v>
      </c>
    </row>
    <row r="50" spans="1:6" x14ac:dyDescent="0.25">
      <c r="A50" s="19">
        <v>45303</v>
      </c>
      <c r="B50">
        <v>-8000</v>
      </c>
      <c r="C50" t="s">
        <v>385</v>
      </c>
      <c r="D50" t="s">
        <v>400</v>
      </c>
      <c r="E50" t="s">
        <v>1335</v>
      </c>
      <c r="F50" t="str">
        <f>VLOOKUP(E50, 'POS Categories'!$A$1:$B$1999, 2, FALSE)</f>
        <v>Investment</v>
      </c>
    </row>
    <row r="51" spans="1:6" x14ac:dyDescent="0.25">
      <c r="A51" s="19">
        <v>45303</v>
      </c>
      <c r="B51">
        <v>2180.92</v>
      </c>
      <c r="C51" t="s">
        <v>385</v>
      </c>
      <c r="D51" t="s">
        <v>386</v>
      </c>
      <c r="E51" t="s">
        <v>1193</v>
      </c>
      <c r="F51" t="str">
        <f>VLOOKUP(E51, 'POS Categories'!$A$1:$B$1999, 2, FALSE)</f>
        <v>Job</v>
      </c>
    </row>
    <row r="52" spans="1:6" x14ac:dyDescent="0.25">
      <c r="A52" s="19">
        <v>45302</v>
      </c>
      <c r="B52">
        <v>-7.38</v>
      </c>
      <c r="C52" t="s">
        <v>385</v>
      </c>
      <c r="D52" t="s">
        <v>388</v>
      </c>
      <c r="E52" t="s">
        <v>1225</v>
      </c>
      <c r="F52" t="str">
        <f>VLOOKUP(E52, 'POS Categories'!$A$1:$B$1999, 2, FALSE)</f>
        <v>Food</v>
      </c>
    </row>
    <row r="53" spans="1:6" x14ac:dyDescent="0.25">
      <c r="A53" s="19">
        <v>45302</v>
      </c>
      <c r="B53">
        <v>-18.84</v>
      </c>
      <c r="C53" t="s">
        <v>385</v>
      </c>
      <c r="D53" t="s">
        <v>388</v>
      </c>
      <c r="E53" t="s">
        <v>1360</v>
      </c>
      <c r="F53" t="str">
        <f>VLOOKUP(E53, 'POS Categories'!$A$1:$B$1999, 2, FALSE)</f>
        <v>Food</v>
      </c>
    </row>
    <row r="54" spans="1:6" x14ac:dyDescent="0.25">
      <c r="A54" s="19">
        <v>45301</v>
      </c>
      <c r="B54">
        <v>-18.63</v>
      </c>
      <c r="C54" t="s">
        <v>385</v>
      </c>
      <c r="D54" t="s">
        <v>388</v>
      </c>
      <c r="E54" t="s">
        <v>142</v>
      </c>
      <c r="F54" t="str">
        <f>VLOOKUP(E54, 'POS Categories'!$A$1:$B$1999, 2, FALSE)</f>
        <v>Food</v>
      </c>
    </row>
    <row r="55" spans="1:6" x14ac:dyDescent="0.25">
      <c r="A55" s="19">
        <v>45300</v>
      </c>
      <c r="B55">
        <v>-11.74</v>
      </c>
      <c r="C55" t="s">
        <v>385</v>
      </c>
      <c r="D55" t="s">
        <v>388</v>
      </c>
      <c r="E55" t="s">
        <v>408</v>
      </c>
      <c r="F55" t="str">
        <f>VLOOKUP(E55, 'POS Categories'!$A$1:$B$1999, 2, FALSE)</f>
        <v>Food</v>
      </c>
    </row>
    <row r="56" spans="1:6" x14ac:dyDescent="0.25">
      <c r="A56" s="19">
        <v>45299</v>
      </c>
      <c r="B56">
        <v>-16.86</v>
      </c>
      <c r="C56" t="s">
        <v>385</v>
      </c>
      <c r="D56" t="s">
        <v>388</v>
      </c>
      <c r="E56" t="s">
        <v>1238</v>
      </c>
      <c r="F56" t="str">
        <f>VLOOKUP(E56, 'POS Categories'!$A$1:$B$1999, 2, FALSE)</f>
        <v>Food</v>
      </c>
    </row>
    <row r="57" spans="1:6" x14ac:dyDescent="0.25">
      <c r="A57" s="19">
        <v>45299</v>
      </c>
      <c r="B57">
        <v>-16.63</v>
      </c>
      <c r="C57" t="s">
        <v>385</v>
      </c>
      <c r="D57" t="s">
        <v>388</v>
      </c>
      <c r="E57" t="s">
        <v>185</v>
      </c>
      <c r="F57" t="str">
        <f>VLOOKUP(E57, 'POS Categories'!$A$1:$B$1999, 2, FALSE)</f>
        <v>Food</v>
      </c>
    </row>
    <row r="58" spans="1:6" x14ac:dyDescent="0.25">
      <c r="A58" s="19">
        <v>45299</v>
      </c>
      <c r="B58">
        <v>-13.42</v>
      </c>
      <c r="C58" t="s">
        <v>385</v>
      </c>
      <c r="D58" t="s">
        <v>388</v>
      </c>
      <c r="E58" t="s">
        <v>171</v>
      </c>
      <c r="F58" t="str">
        <f>VLOOKUP(E58, 'POS Categories'!$A$1:$B$1999, 2, FALSE)</f>
        <v>Food</v>
      </c>
    </row>
    <row r="59" spans="1:6" x14ac:dyDescent="0.25">
      <c r="A59" s="19">
        <v>45299</v>
      </c>
      <c r="B59">
        <v>-9.43</v>
      </c>
      <c r="C59" t="s">
        <v>385</v>
      </c>
      <c r="D59" t="s">
        <v>388</v>
      </c>
      <c r="E59" t="s">
        <v>1363</v>
      </c>
      <c r="F59" t="str">
        <f>VLOOKUP(E59, 'POS Categories'!$A$1:$B$1999, 2, FALSE)</f>
        <v>Food</v>
      </c>
    </row>
    <row r="60" spans="1:6" x14ac:dyDescent="0.25">
      <c r="A60" s="19">
        <v>45297</v>
      </c>
      <c r="B60">
        <v>-70.22</v>
      </c>
      <c r="C60" t="s">
        <v>385</v>
      </c>
      <c r="D60" t="s">
        <v>388</v>
      </c>
      <c r="E60" t="s">
        <v>411</v>
      </c>
      <c r="F60" t="str">
        <f>VLOOKUP(E60, 'POS Categories'!$A$1:$B$1999, 2, FALSE)</f>
        <v>Sasktel</v>
      </c>
    </row>
    <row r="61" spans="1:6" x14ac:dyDescent="0.25">
      <c r="A61" s="19">
        <v>45297</v>
      </c>
      <c r="B61">
        <v>-11.74</v>
      </c>
      <c r="C61" t="s">
        <v>385</v>
      </c>
      <c r="D61" t="s">
        <v>388</v>
      </c>
      <c r="E61" t="s">
        <v>408</v>
      </c>
      <c r="F61" t="str">
        <f>VLOOKUP(E61, 'POS Categories'!$A$1:$B$1999, 2, FALSE)</f>
        <v>Food</v>
      </c>
    </row>
    <row r="62" spans="1:6" x14ac:dyDescent="0.25">
      <c r="A62" s="19">
        <v>45296</v>
      </c>
      <c r="B62">
        <v>-35.06</v>
      </c>
      <c r="C62" t="s">
        <v>385</v>
      </c>
      <c r="D62" t="s">
        <v>388</v>
      </c>
      <c r="E62" t="s">
        <v>1364</v>
      </c>
      <c r="F62" t="str">
        <f>VLOOKUP(E62, 'POS Categories'!$A$1:$B$1999, 2, FALSE)</f>
        <v>Food</v>
      </c>
    </row>
    <row r="63" spans="1:6" x14ac:dyDescent="0.25">
      <c r="A63" s="19">
        <v>45296</v>
      </c>
      <c r="B63">
        <v>-18.63</v>
      </c>
      <c r="C63" t="s">
        <v>385</v>
      </c>
      <c r="D63" t="s">
        <v>388</v>
      </c>
      <c r="E63" t="s">
        <v>8</v>
      </c>
      <c r="F63" t="str">
        <f>VLOOKUP(E63, 'POS Categories'!$A$1:$B$1999, 2, FALSE)</f>
        <v>Food</v>
      </c>
    </row>
    <row r="64" spans="1:6" x14ac:dyDescent="0.25">
      <c r="A64" s="19">
        <v>45296</v>
      </c>
      <c r="B64">
        <v>-250</v>
      </c>
      <c r="C64" t="s">
        <v>385</v>
      </c>
      <c r="D64" t="s">
        <v>400</v>
      </c>
      <c r="E64" t="s">
        <v>1335</v>
      </c>
      <c r="F64" t="str">
        <f>VLOOKUP(E64, 'POS Categories'!$A$1:$B$1999, 2, FALSE)</f>
        <v>Investment</v>
      </c>
    </row>
    <row r="65" spans="1:6" x14ac:dyDescent="0.25">
      <c r="A65" s="19">
        <v>45295</v>
      </c>
      <c r="B65">
        <v>-18.3</v>
      </c>
      <c r="C65" t="s">
        <v>385</v>
      </c>
      <c r="D65" t="s">
        <v>388</v>
      </c>
      <c r="E65" t="s">
        <v>1336</v>
      </c>
      <c r="F65" t="str">
        <f>VLOOKUP(E65, 'POS Categories'!$A$1:$B$1999, 2, FALSE)</f>
        <v>Food</v>
      </c>
    </row>
    <row r="66" spans="1:6" x14ac:dyDescent="0.25">
      <c r="A66" s="19">
        <v>45294</v>
      </c>
      <c r="B66">
        <v>-10.96</v>
      </c>
      <c r="C66" t="s">
        <v>385</v>
      </c>
      <c r="D66" t="s">
        <v>388</v>
      </c>
      <c r="E66" t="s">
        <v>408</v>
      </c>
      <c r="F66" t="str">
        <f>VLOOKUP(E66, 'POS Categories'!$A$1:$B$1999, 2, FALSE)</f>
        <v>Food</v>
      </c>
    </row>
    <row r="67" spans="1:6" x14ac:dyDescent="0.25">
      <c r="A67" s="19">
        <v>45294</v>
      </c>
      <c r="B67">
        <v>-14.97</v>
      </c>
      <c r="C67" t="s">
        <v>385</v>
      </c>
      <c r="D67" t="s">
        <v>388</v>
      </c>
      <c r="E67" t="s">
        <v>142</v>
      </c>
      <c r="F67" t="str">
        <f>VLOOKUP(E67, 'POS Categories'!$A$1:$B$1999, 2, FALSE)</f>
        <v>Food</v>
      </c>
    </row>
    <row r="68" spans="1:6" x14ac:dyDescent="0.25">
      <c r="A68" s="19">
        <v>45293</v>
      </c>
      <c r="B68">
        <v>-1425</v>
      </c>
      <c r="C68" t="s">
        <v>385</v>
      </c>
      <c r="D68" t="s">
        <v>414</v>
      </c>
      <c r="E68" t="s">
        <v>1224</v>
      </c>
      <c r="F68" t="str">
        <f>VLOOKUP(E68, 'POS Categories'!$A$1:$B$1999, 2, FALSE)</f>
        <v>Rent</v>
      </c>
    </row>
    <row r="69" spans="1:6" x14ac:dyDescent="0.25">
      <c r="A69" s="19">
        <v>45293</v>
      </c>
      <c r="B69">
        <v>-3.99</v>
      </c>
      <c r="C69" t="s">
        <v>385</v>
      </c>
      <c r="D69" t="s">
        <v>388</v>
      </c>
      <c r="E69" t="s">
        <v>408</v>
      </c>
      <c r="F69" t="str">
        <f>VLOOKUP(E69, 'POS Categories'!$A$1:$B$1999, 2, FALSE)</f>
        <v>Food</v>
      </c>
    </row>
    <row r="70" spans="1:6" x14ac:dyDescent="0.25">
      <c r="A70" s="19">
        <v>45293</v>
      </c>
      <c r="B70">
        <v>-12.97</v>
      </c>
      <c r="C70" t="s">
        <v>385</v>
      </c>
      <c r="D70" t="s">
        <v>388</v>
      </c>
      <c r="E70" t="s">
        <v>174</v>
      </c>
      <c r="F70" t="str">
        <f>VLOOKUP(E70, 'POS Categories'!$A$1:$B$1999, 2, FALSE)</f>
        <v>Food</v>
      </c>
    </row>
    <row r="71" spans="1:6" x14ac:dyDescent="0.25">
      <c r="A71" s="19">
        <v>45293</v>
      </c>
      <c r="B71">
        <v>-16.86</v>
      </c>
      <c r="C71" t="s">
        <v>385</v>
      </c>
      <c r="D71" t="s">
        <v>388</v>
      </c>
      <c r="E71" t="s">
        <v>1238</v>
      </c>
      <c r="F71" t="str">
        <f>VLOOKUP(E71, 'POS Categories'!$A$1:$B$1999, 2, FALSE)</f>
        <v>Food</v>
      </c>
    </row>
    <row r="72" spans="1:6" x14ac:dyDescent="0.25">
      <c r="A72" s="19">
        <v>45293</v>
      </c>
      <c r="B72">
        <v>-37.840000000000003</v>
      </c>
      <c r="C72" t="s">
        <v>385</v>
      </c>
      <c r="D72" t="s">
        <v>388</v>
      </c>
      <c r="E72" t="s">
        <v>1271</v>
      </c>
      <c r="F72" t="str">
        <f>VLOOKUP(E72, 'POS Categories'!$A$1:$B$1999, 2, FALSE)</f>
        <v>Vehicle</v>
      </c>
    </row>
    <row r="73" spans="1:6" x14ac:dyDescent="0.25">
      <c r="A73" s="19">
        <v>45293</v>
      </c>
      <c r="B73">
        <v>-40.35</v>
      </c>
      <c r="C73" t="s">
        <v>385</v>
      </c>
      <c r="D73" t="s">
        <v>388</v>
      </c>
      <c r="E73" t="s">
        <v>281</v>
      </c>
      <c r="F73" t="str">
        <f>VLOOKUP(E73, 'POS Categories'!$A$1:$B$1999, 2, FALSE)</f>
        <v>Vehicle</v>
      </c>
    </row>
    <row r="74" spans="1:6" x14ac:dyDescent="0.25">
      <c r="A74" s="19">
        <v>45293</v>
      </c>
      <c r="B74">
        <v>-28.87</v>
      </c>
      <c r="C74" t="s">
        <v>385</v>
      </c>
      <c r="D74" t="s">
        <v>400</v>
      </c>
      <c r="E74" t="s">
        <v>401</v>
      </c>
      <c r="F74" t="str">
        <f>VLOOKUP(E74, 'POS Categories'!$A$1:$B$1999, 2, FALSE)</f>
        <v>Misc</v>
      </c>
    </row>
    <row r="75" spans="1:6" x14ac:dyDescent="0.25">
      <c r="A75" s="19">
        <v>45293</v>
      </c>
      <c r="B75">
        <v>-102.45</v>
      </c>
      <c r="C75" t="s">
        <v>385</v>
      </c>
      <c r="D75" t="s">
        <v>400</v>
      </c>
      <c r="E75" t="s">
        <v>401</v>
      </c>
      <c r="F75" t="str">
        <f>VLOOKUP(E75, 'POS Categories'!$A$1:$B$1999, 2, FALSE)</f>
        <v>Misc</v>
      </c>
    </row>
    <row r="76" spans="1:6" x14ac:dyDescent="0.25">
      <c r="A76" s="19">
        <v>45293</v>
      </c>
      <c r="B76">
        <v>-8.7899999999999991</v>
      </c>
      <c r="C76" t="s">
        <v>385</v>
      </c>
      <c r="D76" t="s">
        <v>388</v>
      </c>
      <c r="E76" t="s">
        <v>1268</v>
      </c>
      <c r="F76" t="str">
        <f>VLOOKUP(E76, 'POS Categories'!$A$1:$B$1999, 2, FALSE)</f>
        <v>Food</v>
      </c>
    </row>
    <row r="77" spans="1:6" x14ac:dyDescent="0.25">
      <c r="A77" s="19">
        <v>45293</v>
      </c>
      <c r="B77">
        <v>-2.31</v>
      </c>
      <c r="C77" t="s">
        <v>385</v>
      </c>
      <c r="D77" t="s">
        <v>388</v>
      </c>
      <c r="E77" t="s">
        <v>1268</v>
      </c>
      <c r="F77" t="str">
        <f>VLOOKUP(E77, 'POS Categories'!$A$1:$B$1999, 2, FALSE)</f>
        <v>Food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0"/>
  <sheetViews>
    <sheetView workbookViewId="0">
      <selection sqref="A1:A1048576"/>
    </sheetView>
  </sheetViews>
  <sheetFormatPr defaultRowHeight="15" x14ac:dyDescent="0.25"/>
  <cols>
    <col min="1" max="1" width="10.42578125" style="19" bestFit="1" customWidth="1"/>
  </cols>
  <sheetData>
    <row r="1" spans="1:6" x14ac:dyDescent="0.25">
      <c r="A1" s="19">
        <v>45289</v>
      </c>
      <c r="B1">
        <v>15.65</v>
      </c>
      <c r="C1" t="s">
        <v>385</v>
      </c>
      <c r="D1" t="s">
        <v>414</v>
      </c>
      <c r="E1" t="s">
        <v>1345</v>
      </c>
      <c r="F1" t="str">
        <f>VLOOKUP(E1, 'POS Categories'!$A$1:$B$1999, 2, FALSE)</f>
        <v>Unknown</v>
      </c>
    </row>
    <row r="2" spans="1:6" x14ac:dyDescent="0.25">
      <c r="A2" s="19">
        <v>45289</v>
      </c>
      <c r="B2">
        <v>-26.43</v>
      </c>
      <c r="C2" t="s">
        <v>385</v>
      </c>
      <c r="D2" t="s">
        <v>388</v>
      </c>
      <c r="E2" t="s">
        <v>1355</v>
      </c>
      <c r="F2" t="str">
        <f>VLOOKUP(E2, 'POS Categories'!$A$1:$B$1999, 2, FALSE)</f>
        <v>Vehicle</v>
      </c>
    </row>
    <row r="3" spans="1:6" x14ac:dyDescent="0.25">
      <c r="A3" s="19">
        <v>45289</v>
      </c>
      <c r="B3">
        <v>-3.14</v>
      </c>
      <c r="C3" t="s">
        <v>385</v>
      </c>
      <c r="D3" t="s">
        <v>388</v>
      </c>
      <c r="E3" t="s">
        <v>1356</v>
      </c>
      <c r="F3" t="str">
        <f>VLOOKUP(E3, 'POS Categories'!$A$1:$B$1999, 2, FALSE)</f>
        <v>Food</v>
      </c>
    </row>
    <row r="4" spans="1:6" x14ac:dyDescent="0.25">
      <c r="A4" s="19">
        <v>45289</v>
      </c>
      <c r="B4">
        <v>-42.09</v>
      </c>
      <c r="C4" t="s">
        <v>385</v>
      </c>
      <c r="D4" t="s">
        <v>388</v>
      </c>
      <c r="E4" t="s">
        <v>1357</v>
      </c>
      <c r="F4" t="str">
        <f>VLOOKUP(E4, 'POS Categories'!$A$1:$B$1999, 2, FALSE)</f>
        <v>Vehicle</v>
      </c>
    </row>
    <row r="5" spans="1:6" x14ac:dyDescent="0.25">
      <c r="A5" s="19">
        <v>45289</v>
      </c>
      <c r="B5">
        <v>2489.39</v>
      </c>
      <c r="C5" t="s">
        <v>385</v>
      </c>
      <c r="D5" t="s">
        <v>386</v>
      </c>
      <c r="E5" t="s">
        <v>1193</v>
      </c>
      <c r="F5" t="str">
        <f>VLOOKUP(E5, 'POS Categories'!$A$1:$B$1999, 2, FALSE)</f>
        <v>Job</v>
      </c>
    </row>
    <row r="6" spans="1:6" x14ac:dyDescent="0.25">
      <c r="A6" s="19">
        <v>45288</v>
      </c>
      <c r="B6">
        <v>-15.48</v>
      </c>
      <c r="C6" t="s">
        <v>385</v>
      </c>
      <c r="D6" t="s">
        <v>388</v>
      </c>
      <c r="E6" t="s">
        <v>457</v>
      </c>
      <c r="F6" t="str">
        <f>VLOOKUP(E6, 'POS Categories'!$A$1:$B$1999, 2, FALSE)</f>
        <v>Food</v>
      </c>
    </row>
    <row r="7" spans="1:6" x14ac:dyDescent="0.25">
      <c r="A7" s="19">
        <v>45287</v>
      </c>
      <c r="B7">
        <v>-7.97</v>
      </c>
      <c r="C7" t="s">
        <v>385</v>
      </c>
      <c r="D7" t="s">
        <v>388</v>
      </c>
      <c r="E7" t="s">
        <v>457</v>
      </c>
      <c r="F7" t="str">
        <f>VLOOKUP(E7, 'POS Categories'!$A$1:$B$1999, 2, FALSE)</f>
        <v>Food</v>
      </c>
    </row>
    <row r="8" spans="1:6" x14ac:dyDescent="0.25">
      <c r="A8" s="19">
        <v>45287</v>
      </c>
      <c r="B8">
        <v>-5.91</v>
      </c>
      <c r="C8" t="s">
        <v>385</v>
      </c>
      <c r="D8" t="s">
        <v>388</v>
      </c>
      <c r="E8" t="s">
        <v>282</v>
      </c>
      <c r="F8" t="str">
        <f>VLOOKUP(E8, 'POS Categories'!$A$1:$B$1999, 2, FALSE)</f>
        <v>Vehicle</v>
      </c>
    </row>
    <row r="9" spans="1:6" x14ac:dyDescent="0.25">
      <c r="A9" s="19">
        <v>45287</v>
      </c>
      <c r="B9">
        <v>-31.72</v>
      </c>
      <c r="C9" t="s">
        <v>385</v>
      </c>
      <c r="D9" t="s">
        <v>388</v>
      </c>
      <c r="E9" t="s">
        <v>1355</v>
      </c>
      <c r="F9" t="str">
        <f>VLOOKUP(E9, 'POS Categories'!$A$1:$B$1999, 2, FALSE)</f>
        <v>Vehicle</v>
      </c>
    </row>
    <row r="10" spans="1:6" x14ac:dyDescent="0.25">
      <c r="A10" s="19">
        <v>45287</v>
      </c>
      <c r="B10">
        <v>-11.27</v>
      </c>
      <c r="C10" t="s">
        <v>385</v>
      </c>
      <c r="D10" t="s">
        <v>388</v>
      </c>
      <c r="E10" t="s">
        <v>282</v>
      </c>
      <c r="F10" t="str">
        <f>VLOOKUP(E10, 'POS Categories'!$A$1:$B$1999, 2, FALSE)</f>
        <v>Vehicle</v>
      </c>
    </row>
    <row r="11" spans="1:6" x14ac:dyDescent="0.25">
      <c r="A11" s="19">
        <v>45287</v>
      </c>
      <c r="B11">
        <v>-31.83</v>
      </c>
      <c r="C11" t="s">
        <v>385</v>
      </c>
      <c r="D11" t="s">
        <v>388</v>
      </c>
      <c r="E11" t="s">
        <v>1355</v>
      </c>
      <c r="F11" t="str">
        <f>VLOOKUP(E11, 'POS Categories'!$A$1:$B$1999, 2, FALSE)</f>
        <v>Vehicle</v>
      </c>
    </row>
    <row r="12" spans="1:6" x14ac:dyDescent="0.25">
      <c r="A12" s="19">
        <v>45287</v>
      </c>
      <c r="B12">
        <v>-36.270000000000003</v>
      </c>
      <c r="C12" t="s">
        <v>385</v>
      </c>
      <c r="D12" t="s">
        <v>388</v>
      </c>
      <c r="E12" t="s">
        <v>1355</v>
      </c>
      <c r="F12" t="str">
        <f>VLOOKUP(E12, 'POS Categories'!$A$1:$B$1999, 2, FALSE)</f>
        <v>Vehicle</v>
      </c>
    </row>
    <row r="13" spans="1:6" x14ac:dyDescent="0.25">
      <c r="A13" s="19">
        <v>45287</v>
      </c>
      <c r="B13">
        <v>-20.2</v>
      </c>
      <c r="C13" t="s">
        <v>385</v>
      </c>
      <c r="D13" t="s">
        <v>388</v>
      </c>
      <c r="E13" t="s">
        <v>408</v>
      </c>
      <c r="F13" t="str">
        <f>VLOOKUP(E13, 'POS Categories'!$A$1:$B$1999, 2, FALSE)</f>
        <v>Food</v>
      </c>
    </row>
    <row r="14" spans="1:6" x14ac:dyDescent="0.25">
      <c r="A14" s="19">
        <v>45287</v>
      </c>
      <c r="B14">
        <v>-22.43</v>
      </c>
      <c r="C14" t="s">
        <v>385</v>
      </c>
      <c r="D14" t="s">
        <v>388</v>
      </c>
      <c r="E14" t="s">
        <v>395</v>
      </c>
      <c r="F14" t="str">
        <f>VLOOKUP(E14, 'POS Categories'!$A$1:$B$1999, 2, FALSE)</f>
        <v>Vehicle</v>
      </c>
    </row>
    <row r="15" spans="1:6" x14ac:dyDescent="0.25">
      <c r="A15" s="19">
        <v>45287</v>
      </c>
      <c r="B15">
        <v>-9.68</v>
      </c>
      <c r="C15" t="s">
        <v>385</v>
      </c>
      <c r="D15" t="s">
        <v>388</v>
      </c>
      <c r="E15" t="s">
        <v>395</v>
      </c>
      <c r="F15" t="str">
        <f>VLOOKUP(E15, 'POS Categories'!$A$1:$B$1999, 2, FALSE)</f>
        <v>Vehicle</v>
      </c>
    </row>
    <row r="16" spans="1:6" x14ac:dyDescent="0.25">
      <c r="A16" s="19">
        <v>45283</v>
      </c>
      <c r="B16">
        <v>-90</v>
      </c>
      <c r="C16" t="s">
        <v>385</v>
      </c>
      <c r="D16" t="s">
        <v>388</v>
      </c>
      <c r="E16" t="s">
        <v>259</v>
      </c>
      <c r="F16" t="str">
        <f>VLOOKUP(E16, 'POS Categories'!$A$1:$B$1999, 2, FALSE)</f>
        <v>Personal</v>
      </c>
    </row>
    <row r="17" spans="1:6" x14ac:dyDescent="0.25">
      <c r="A17" s="19">
        <v>45283</v>
      </c>
      <c r="B17">
        <v>-9.98</v>
      </c>
      <c r="C17" t="s">
        <v>385</v>
      </c>
      <c r="D17" t="s">
        <v>388</v>
      </c>
      <c r="E17" t="s">
        <v>184</v>
      </c>
      <c r="F17" t="str">
        <f>VLOOKUP(E17, 'POS Categories'!$A$1:$B$1999, 2, FALSE)</f>
        <v>Food</v>
      </c>
    </row>
    <row r="18" spans="1:6" x14ac:dyDescent="0.25">
      <c r="A18" s="19">
        <v>45283</v>
      </c>
      <c r="B18">
        <v>-10.27</v>
      </c>
      <c r="C18" t="s">
        <v>385</v>
      </c>
      <c r="D18" t="s">
        <v>388</v>
      </c>
      <c r="E18" t="s">
        <v>1244</v>
      </c>
      <c r="F18" t="str">
        <f>VLOOKUP(E18, 'POS Categories'!$A$1:$B$1999, 2, FALSE)</f>
        <v>Food</v>
      </c>
    </row>
    <row r="19" spans="1:6" x14ac:dyDescent="0.25">
      <c r="A19" s="19">
        <v>45283</v>
      </c>
      <c r="B19">
        <v>-24.41</v>
      </c>
      <c r="C19" t="s">
        <v>385</v>
      </c>
      <c r="D19" t="s">
        <v>388</v>
      </c>
      <c r="E19" t="s">
        <v>420</v>
      </c>
      <c r="F19" t="str">
        <f>VLOOKUP(E19, 'POS Categories'!$A$1:$B$1999, 2, FALSE)</f>
        <v>Home</v>
      </c>
    </row>
    <row r="20" spans="1:6" x14ac:dyDescent="0.25">
      <c r="A20" s="19">
        <v>45283</v>
      </c>
      <c r="B20">
        <v>-7.97</v>
      </c>
      <c r="C20" t="s">
        <v>385</v>
      </c>
      <c r="D20" t="s">
        <v>388</v>
      </c>
      <c r="E20" t="s">
        <v>408</v>
      </c>
      <c r="F20" t="str">
        <f>VLOOKUP(E20, 'POS Categories'!$A$1:$B$1999, 2, FALSE)</f>
        <v>Food</v>
      </c>
    </row>
    <row r="21" spans="1:6" x14ac:dyDescent="0.25">
      <c r="A21" s="19">
        <v>45283</v>
      </c>
      <c r="B21">
        <v>-55.56</v>
      </c>
      <c r="C21" t="s">
        <v>385</v>
      </c>
      <c r="D21" t="s">
        <v>435</v>
      </c>
      <c r="E21" t="s">
        <v>1257</v>
      </c>
      <c r="F21" t="str">
        <f>VLOOKUP(E21, 'POS Categories'!$A$1:$B$1999, 2, FALSE)</f>
        <v>Power</v>
      </c>
    </row>
    <row r="22" spans="1:6" x14ac:dyDescent="0.25">
      <c r="A22" s="19">
        <v>45282</v>
      </c>
      <c r="B22">
        <v>-13.42</v>
      </c>
      <c r="C22" t="s">
        <v>385</v>
      </c>
      <c r="D22" t="s">
        <v>388</v>
      </c>
      <c r="E22" t="s">
        <v>171</v>
      </c>
      <c r="F22" t="str">
        <f>VLOOKUP(E22, 'POS Categories'!$A$1:$B$1999, 2, FALSE)</f>
        <v>Food</v>
      </c>
    </row>
    <row r="23" spans="1:6" x14ac:dyDescent="0.25">
      <c r="A23" s="19">
        <v>45282</v>
      </c>
      <c r="B23">
        <v>-57.04</v>
      </c>
      <c r="C23" t="s">
        <v>385</v>
      </c>
      <c r="D23" t="s">
        <v>388</v>
      </c>
      <c r="E23" t="s">
        <v>1337</v>
      </c>
      <c r="F23" t="str">
        <f>VLOOKUP(E23, 'POS Categories'!$A$1:$B$1999, 2, FALSE)</f>
        <v>Vehicle</v>
      </c>
    </row>
    <row r="24" spans="1:6" x14ac:dyDescent="0.25">
      <c r="A24" s="19">
        <v>45282</v>
      </c>
      <c r="B24">
        <v>-2.76</v>
      </c>
      <c r="C24" t="s">
        <v>385</v>
      </c>
      <c r="D24" t="s">
        <v>388</v>
      </c>
      <c r="E24" t="s">
        <v>408</v>
      </c>
      <c r="F24" t="str">
        <f>VLOOKUP(E24, 'POS Categories'!$A$1:$B$1999, 2, FALSE)</f>
        <v>Food</v>
      </c>
    </row>
    <row r="25" spans="1:6" x14ac:dyDescent="0.25">
      <c r="A25" s="19">
        <v>45282</v>
      </c>
      <c r="B25">
        <v>-29.95</v>
      </c>
      <c r="C25" t="s">
        <v>385</v>
      </c>
      <c r="D25" t="s">
        <v>388</v>
      </c>
      <c r="E25" t="s">
        <v>142</v>
      </c>
      <c r="F25" t="str">
        <f>VLOOKUP(E25, 'POS Categories'!$A$1:$B$1999, 2, FALSE)</f>
        <v>Food</v>
      </c>
    </row>
    <row r="26" spans="1:6" x14ac:dyDescent="0.25">
      <c r="A26" s="19">
        <v>45282</v>
      </c>
      <c r="B26">
        <v>-9.9700000000000006</v>
      </c>
      <c r="C26" t="s">
        <v>385</v>
      </c>
      <c r="D26" t="s">
        <v>388</v>
      </c>
      <c r="E26" t="s">
        <v>408</v>
      </c>
      <c r="F26" t="str">
        <f>VLOOKUP(E26, 'POS Categories'!$A$1:$B$1999, 2, FALSE)</f>
        <v>Food</v>
      </c>
    </row>
    <row r="27" spans="1:6" x14ac:dyDescent="0.25">
      <c r="A27" s="19">
        <v>45281</v>
      </c>
      <c r="B27">
        <v>-10.119999999999999</v>
      </c>
      <c r="C27" t="s">
        <v>385</v>
      </c>
      <c r="D27" t="s">
        <v>388</v>
      </c>
      <c r="E27" t="s">
        <v>1225</v>
      </c>
      <c r="F27" t="str">
        <f>VLOOKUP(E27, 'POS Categories'!$A$1:$B$1999, 2, FALSE)</f>
        <v>Food</v>
      </c>
    </row>
    <row r="28" spans="1:6" x14ac:dyDescent="0.25">
      <c r="A28" s="19">
        <v>45281</v>
      </c>
      <c r="B28">
        <v>-33.83</v>
      </c>
      <c r="C28" t="s">
        <v>385</v>
      </c>
      <c r="D28" t="s">
        <v>388</v>
      </c>
      <c r="E28" t="s">
        <v>1336</v>
      </c>
      <c r="F28" t="str">
        <f>VLOOKUP(E28, 'POS Categories'!$A$1:$B$1999, 2, FALSE)</f>
        <v>Food</v>
      </c>
    </row>
    <row r="29" spans="1:6" x14ac:dyDescent="0.25">
      <c r="A29" s="19">
        <v>45280</v>
      </c>
      <c r="B29">
        <v>-23.3</v>
      </c>
      <c r="C29" t="s">
        <v>385</v>
      </c>
      <c r="D29" t="s">
        <v>388</v>
      </c>
      <c r="E29" t="s">
        <v>1246</v>
      </c>
      <c r="F29" t="str">
        <f>VLOOKUP(E29, 'POS Categories'!$A$1:$B$1999, 2, FALSE)</f>
        <v>Food</v>
      </c>
    </row>
    <row r="30" spans="1:6" x14ac:dyDescent="0.25">
      <c r="A30" s="19">
        <v>45280</v>
      </c>
      <c r="B30">
        <v>-9.4600000000000009</v>
      </c>
      <c r="C30" t="s">
        <v>385</v>
      </c>
      <c r="D30" t="s">
        <v>388</v>
      </c>
      <c r="E30" t="s">
        <v>183</v>
      </c>
      <c r="F30" t="str">
        <f>VLOOKUP(E30, 'POS Categories'!$A$1:$B$1999, 2, FALSE)</f>
        <v>Food</v>
      </c>
    </row>
    <row r="31" spans="1:6" x14ac:dyDescent="0.25">
      <c r="A31" s="19">
        <v>45280</v>
      </c>
      <c r="B31">
        <v>-26.52</v>
      </c>
      <c r="C31" t="s">
        <v>385</v>
      </c>
      <c r="D31" t="s">
        <v>388</v>
      </c>
      <c r="E31" t="s">
        <v>157</v>
      </c>
      <c r="F31" t="str">
        <f>VLOOKUP(E31, 'POS Categories'!$A$1:$B$1999, 2, FALSE)</f>
        <v>Personal</v>
      </c>
    </row>
    <row r="32" spans="1:6" x14ac:dyDescent="0.25">
      <c r="A32" s="19">
        <v>45280</v>
      </c>
      <c r="B32">
        <v>-7.97</v>
      </c>
      <c r="C32" t="s">
        <v>385</v>
      </c>
      <c r="D32" t="s">
        <v>388</v>
      </c>
      <c r="E32" t="s">
        <v>408</v>
      </c>
      <c r="F32" t="str">
        <f>VLOOKUP(E32, 'POS Categories'!$A$1:$B$1999, 2, FALSE)</f>
        <v>Food</v>
      </c>
    </row>
    <row r="33" spans="1:6" x14ac:dyDescent="0.25">
      <c r="A33" s="19">
        <v>45280</v>
      </c>
      <c r="B33">
        <v>-26.28</v>
      </c>
      <c r="C33" t="s">
        <v>385</v>
      </c>
      <c r="D33" t="s">
        <v>388</v>
      </c>
      <c r="E33" t="s">
        <v>174</v>
      </c>
      <c r="F33" t="str">
        <f>VLOOKUP(E33, 'POS Categories'!$A$1:$B$1999, 2, FALSE)</f>
        <v>Food</v>
      </c>
    </row>
    <row r="34" spans="1:6" x14ac:dyDescent="0.25">
      <c r="A34" s="19">
        <v>45279</v>
      </c>
      <c r="B34">
        <v>-28.86</v>
      </c>
      <c r="C34" t="s">
        <v>385</v>
      </c>
      <c r="D34" t="s">
        <v>388</v>
      </c>
      <c r="E34" t="s">
        <v>1196</v>
      </c>
      <c r="F34" t="str">
        <f>VLOOKUP(E34, 'POS Categories'!$A$1:$B$1999, 2, FALSE)</f>
        <v>Food</v>
      </c>
    </row>
    <row r="35" spans="1:6" x14ac:dyDescent="0.25">
      <c r="A35" s="19">
        <v>45279</v>
      </c>
      <c r="B35">
        <v>-13.44</v>
      </c>
      <c r="C35" t="s">
        <v>385</v>
      </c>
      <c r="D35" t="s">
        <v>388</v>
      </c>
      <c r="E35" t="s">
        <v>183</v>
      </c>
      <c r="F35" t="str">
        <f>VLOOKUP(E35, 'POS Categories'!$A$1:$B$1999, 2, FALSE)</f>
        <v>Food</v>
      </c>
    </row>
    <row r="36" spans="1:6" x14ac:dyDescent="0.25">
      <c r="A36" s="19">
        <v>45279</v>
      </c>
      <c r="B36">
        <v>-26.34</v>
      </c>
      <c r="C36" t="s">
        <v>385</v>
      </c>
      <c r="D36" t="s">
        <v>388</v>
      </c>
      <c r="E36" t="s">
        <v>408</v>
      </c>
      <c r="F36" t="str">
        <f>VLOOKUP(E36, 'POS Categories'!$A$1:$B$1999, 2, FALSE)</f>
        <v>Food</v>
      </c>
    </row>
    <row r="37" spans="1:6" x14ac:dyDescent="0.25">
      <c r="A37" s="19">
        <v>45278</v>
      </c>
      <c r="B37">
        <v>-183.56</v>
      </c>
      <c r="C37" t="s">
        <v>385</v>
      </c>
      <c r="D37" t="s">
        <v>388</v>
      </c>
      <c r="E37" t="s">
        <v>261</v>
      </c>
      <c r="F37" t="str">
        <f>VLOOKUP(E37, 'POS Categories'!$A$1:$B$1999, 2, FALSE)</f>
        <v>Home</v>
      </c>
    </row>
    <row r="38" spans="1:6" x14ac:dyDescent="0.25">
      <c r="A38" s="19">
        <v>45278</v>
      </c>
      <c r="B38">
        <v>-7.38</v>
      </c>
      <c r="C38" t="s">
        <v>385</v>
      </c>
      <c r="D38" t="s">
        <v>388</v>
      </c>
      <c r="E38" t="s">
        <v>1225</v>
      </c>
      <c r="F38" t="str">
        <f>VLOOKUP(E38, 'POS Categories'!$A$1:$B$1999, 2, FALSE)</f>
        <v>Food</v>
      </c>
    </row>
    <row r="39" spans="1:6" x14ac:dyDescent="0.25">
      <c r="A39" s="19">
        <v>45278</v>
      </c>
      <c r="B39">
        <v>-44.67</v>
      </c>
      <c r="C39" t="s">
        <v>385</v>
      </c>
      <c r="D39" t="s">
        <v>388</v>
      </c>
      <c r="E39" t="s">
        <v>35</v>
      </c>
      <c r="F39" t="str">
        <f>VLOOKUP(E39, 'POS Categories'!$A$1:$B$1999, 2, FALSE)</f>
        <v>Personal</v>
      </c>
    </row>
    <row r="40" spans="1:6" x14ac:dyDescent="0.25">
      <c r="A40" s="19">
        <v>45278</v>
      </c>
      <c r="B40">
        <v>-6.3</v>
      </c>
      <c r="C40" t="s">
        <v>385</v>
      </c>
      <c r="D40" t="s">
        <v>388</v>
      </c>
      <c r="E40" t="s">
        <v>408</v>
      </c>
      <c r="F40" t="str">
        <f>VLOOKUP(E40, 'POS Categories'!$A$1:$B$1999, 2, FALSE)</f>
        <v>Food</v>
      </c>
    </row>
    <row r="41" spans="1:6" x14ac:dyDescent="0.25">
      <c r="A41" s="19">
        <v>45278</v>
      </c>
      <c r="B41">
        <v>-52.91</v>
      </c>
      <c r="C41" t="s">
        <v>385</v>
      </c>
      <c r="D41" t="s">
        <v>388</v>
      </c>
      <c r="E41" t="s">
        <v>1312</v>
      </c>
      <c r="F41" t="str">
        <f>VLOOKUP(E41, 'POS Categories'!$A$1:$B$1999, 2, FALSE)</f>
        <v>Food</v>
      </c>
    </row>
    <row r="42" spans="1:6" x14ac:dyDescent="0.25">
      <c r="A42" s="19">
        <v>45276</v>
      </c>
      <c r="B42">
        <v>-10.01</v>
      </c>
      <c r="C42" t="s">
        <v>385</v>
      </c>
      <c r="D42" t="s">
        <v>388</v>
      </c>
      <c r="E42" t="s">
        <v>183</v>
      </c>
      <c r="F42" t="str">
        <f>VLOOKUP(E42, 'POS Categories'!$A$1:$B$1999, 2, FALSE)</f>
        <v>Food</v>
      </c>
    </row>
    <row r="43" spans="1:6" x14ac:dyDescent="0.25">
      <c r="A43" s="19">
        <v>45276</v>
      </c>
      <c r="B43">
        <v>-14.76</v>
      </c>
      <c r="C43" t="s">
        <v>385</v>
      </c>
      <c r="D43" t="s">
        <v>388</v>
      </c>
      <c r="E43" t="s">
        <v>1225</v>
      </c>
      <c r="F43" t="str">
        <f>VLOOKUP(E43, 'POS Categories'!$A$1:$B$1999, 2, FALSE)</f>
        <v>Food</v>
      </c>
    </row>
    <row r="44" spans="1:6" x14ac:dyDescent="0.25">
      <c r="A44" s="19">
        <v>45276</v>
      </c>
      <c r="B44">
        <v>-13.57</v>
      </c>
      <c r="C44" t="s">
        <v>385</v>
      </c>
      <c r="D44" t="s">
        <v>388</v>
      </c>
      <c r="E44" t="s">
        <v>324</v>
      </c>
      <c r="F44" t="str">
        <f>VLOOKUP(E44, 'POS Categories'!$A$1:$B$1999, 2, FALSE)</f>
        <v>Food</v>
      </c>
    </row>
    <row r="45" spans="1:6" x14ac:dyDescent="0.25">
      <c r="A45" s="19">
        <v>45275</v>
      </c>
      <c r="B45">
        <v>-30.5</v>
      </c>
      <c r="C45" t="s">
        <v>385</v>
      </c>
      <c r="D45" t="s">
        <v>388</v>
      </c>
      <c r="E45" t="s">
        <v>142</v>
      </c>
      <c r="F45" t="str">
        <f>VLOOKUP(E45, 'POS Categories'!$A$1:$B$1999, 2, FALSE)</f>
        <v>Food</v>
      </c>
    </row>
    <row r="46" spans="1:6" x14ac:dyDescent="0.25">
      <c r="A46" s="19">
        <v>45275</v>
      </c>
      <c r="B46">
        <v>-7.3</v>
      </c>
      <c r="C46" t="s">
        <v>385</v>
      </c>
      <c r="D46" t="s">
        <v>388</v>
      </c>
      <c r="E46" t="s">
        <v>408</v>
      </c>
      <c r="F46" t="str">
        <f>VLOOKUP(E46, 'POS Categories'!$A$1:$B$1999, 2, FALSE)</f>
        <v>Food</v>
      </c>
    </row>
    <row r="47" spans="1:6" x14ac:dyDescent="0.25">
      <c r="A47" s="19">
        <v>45275</v>
      </c>
      <c r="B47">
        <v>-94.3</v>
      </c>
      <c r="C47" t="s">
        <v>385</v>
      </c>
      <c r="D47" t="s">
        <v>388</v>
      </c>
      <c r="E47" t="s">
        <v>175</v>
      </c>
      <c r="F47" t="str">
        <f>VLOOKUP(E47, 'POS Categories'!$A$1:$B$1999, 2, FALSE)</f>
        <v>Sasktel</v>
      </c>
    </row>
    <row r="48" spans="1:6" x14ac:dyDescent="0.25">
      <c r="A48" s="19">
        <v>45275</v>
      </c>
      <c r="B48">
        <v>2448.12</v>
      </c>
      <c r="C48" t="s">
        <v>385</v>
      </c>
      <c r="D48" t="s">
        <v>386</v>
      </c>
      <c r="E48" t="s">
        <v>1193</v>
      </c>
      <c r="F48" t="str">
        <f>VLOOKUP(E48, 'POS Categories'!$A$1:$B$1999, 2, FALSE)</f>
        <v>Job</v>
      </c>
    </row>
    <row r="49" spans="1:6" x14ac:dyDescent="0.25">
      <c r="A49" s="19">
        <v>45274</v>
      </c>
      <c r="B49">
        <v>-27.77</v>
      </c>
      <c r="C49" t="s">
        <v>385</v>
      </c>
      <c r="D49" t="s">
        <v>388</v>
      </c>
      <c r="E49" t="s">
        <v>1281</v>
      </c>
      <c r="F49" t="str">
        <f>VLOOKUP(E49, 'POS Categories'!$A$1:$B$1999, 2, FALSE)</f>
        <v>Food</v>
      </c>
    </row>
    <row r="50" spans="1:6" x14ac:dyDescent="0.25">
      <c r="A50" s="19">
        <v>45274</v>
      </c>
      <c r="B50">
        <v>-17.690000000000001</v>
      </c>
      <c r="C50" t="s">
        <v>385</v>
      </c>
      <c r="D50" t="s">
        <v>388</v>
      </c>
      <c r="E50" t="s">
        <v>1336</v>
      </c>
      <c r="F50" t="str">
        <f>VLOOKUP(E50, 'POS Categories'!$A$1:$B$1999, 2, FALSE)</f>
        <v>Food</v>
      </c>
    </row>
    <row r="51" spans="1:6" x14ac:dyDescent="0.25">
      <c r="A51" s="19">
        <v>45274</v>
      </c>
      <c r="B51">
        <v>-6.42</v>
      </c>
      <c r="C51" t="s">
        <v>385</v>
      </c>
      <c r="D51" t="s">
        <v>388</v>
      </c>
      <c r="E51" t="s">
        <v>408</v>
      </c>
      <c r="F51" t="str">
        <f>VLOOKUP(E51, 'POS Categories'!$A$1:$B$1999, 2, FALSE)</f>
        <v>Food</v>
      </c>
    </row>
    <row r="52" spans="1:6" x14ac:dyDescent="0.25">
      <c r="A52" s="19">
        <v>45273</v>
      </c>
      <c r="B52">
        <v>-7.97</v>
      </c>
      <c r="C52" t="s">
        <v>385</v>
      </c>
      <c r="D52" t="s">
        <v>388</v>
      </c>
      <c r="E52" t="s">
        <v>202</v>
      </c>
      <c r="F52" t="str">
        <f>VLOOKUP(E52, 'POS Categories'!$A$1:$B$1999, 2, FALSE)</f>
        <v>Food</v>
      </c>
    </row>
    <row r="53" spans="1:6" x14ac:dyDescent="0.25">
      <c r="A53" s="19">
        <v>45273</v>
      </c>
      <c r="B53">
        <v>-59.75</v>
      </c>
      <c r="C53" t="s">
        <v>385</v>
      </c>
      <c r="D53" t="s">
        <v>388</v>
      </c>
      <c r="E53" t="s">
        <v>1337</v>
      </c>
      <c r="F53" t="str">
        <f>VLOOKUP(E53, 'POS Categories'!$A$1:$B$1999, 2, FALSE)</f>
        <v>Vehicle</v>
      </c>
    </row>
    <row r="54" spans="1:6" x14ac:dyDescent="0.25">
      <c r="A54" s="19">
        <v>45273</v>
      </c>
      <c r="B54">
        <v>-54.89</v>
      </c>
      <c r="C54" t="s">
        <v>385</v>
      </c>
      <c r="D54" t="s">
        <v>388</v>
      </c>
      <c r="E54" t="s">
        <v>1160</v>
      </c>
      <c r="F54" t="str">
        <f>VLOOKUP(E54, 'POS Categories'!$A$1:$B$1999, 2, FALSE)</f>
        <v>Food</v>
      </c>
    </row>
    <row r="55" spans="1:6" x14ac:dyDescent="0.25">
      <c r="A55" s="19">
        <v>45273</v>
      </c>
      <c r="B55">
        <v>-20.54</v>
      </c>
      <c r="C55" t="s">
        <v>385</v>
      </c>
      <c r="D55" t="s">
        <v>388</v>
      </c>
      <c r="E55" t="s">
        <v>1244</v>
      </c>
      <c r="F55" t="str">
        <f>VLOOKUP(E55, 'POS Categories'!$A$1:$B$1999, 2, FALSE)</f>
        <v>Food</v>
      </c>
    </row>
    <row r="56" spans="1:6" x14ac:dyDescent="0.25">
      <c r="A56" s="19">
        <v>45273</v>
      </c>
      <c r="B56">
        <v>-17.07</v>
      </c>
      <c r="C56" t="s">
        <v>385</v>
      </c>
      <c r="D56" t="s">
        <v>388</v>
      </c>
      <c r="E56" t="s">
        <v>1245</v>
      </c>
      <c r="F56" t="str">
        <f>VLOOKUP(E56, 'POS Categories'!$A$1:$B$1999, 2, FALSE)</f>
        <v>Food</v>
      </c>
    </row>
    <row r="57" spans="1:6" x14ac:dyDescent="0.25">
      <c r="A57" s="19">
        <v>45272</v>
      </c>
      <c r="B57">
        <v>-9.52</v>
      </c>
      <c r="C57" t="s">
        <v>385</v>
      </c>
      <c r="D57" t="s">
        <v>388</v>
      </c>
      <c r="E57" t="s">
        <v>408</v>
      </c>
      <c r="F57" t="str">
        <f>VLOOKUP(E57, 'POS Categories'!$A$1:$B$1999, 2, FALSE)</f>
        <v>Food</v>
      </c>
    </row>
    <row r="58" spans="1:6" x14ac:dyDescent="0.25">
      <c r="A58" s="19">
        <v>45272</v>
      </c>
      <c r="B58">
        <v>-27.39</v>
      </c>
      <c r="C58" t="s">
        <v>385</v>
      </c>
      <c r="D58" t="s">
        <v>388</v>
      </c>
      <c r="E58" t="s">
        <v>142</v>
      </c>
      <c r="F58" t="str">
        <f>VLOOKUP(E58, 'POS Categories'!$A$1:$B$1999, 2, FALSE)</f>
        <v>Food</v>
      </c>
    </row>
    <row r="59" spans="1:6" x14ac:dyDescent="0.25">
      <c r="A59" s="19">
        <v>45271</v>
      </c>
      <c r="B59">
        <v>-39.99</v>
      </c>
      <c r="C59" t="s">
        <v>385</v>
      </c>
      <c r="D59" t="s">
        <v>388</v>
      </c>
      <c r="E59" t="s">
        <v>1358</v>
      </c>
      <c r="F59" t="str">
        <f>VLOOKUP(E59, 'POS Categories'!$A$1:$B$1999, 2, FALSE)</f>
        <v>Food</v>
      </c>
    </row>
    <row r="60" spans="1:6" x14ac:dyDescent="0.25">
      <c r="A60" s="19">
        <v>45271</v>
      </c>
      <c r="B60">
        <v>-8.82</v>
      </c>
      <c r="C60" t="s">
        <v>385</v>
      </c>
      <c r="D60" t="s">
        <v>388</v>
      </c>
      <c r="E60" t="s">
        <v>183</v>
      </c>
      <c r="F60" t="str">
        <f>VLOOKUP(E60, 'POS Categories'!$A$1:$B$1999, 2, FALSE)</f>
        <v>Food</v>
      </c>
    </row>
    <row r="61" spans="1:6" x14ac:dyDescent="0.25">
      <c r="A61" s="19">
        <v>45271</v>
      </c>
      <c r="B61">
        <v>-8.74</v>
      </c>
      <c r="C61" t="s">
        <v>385</v>
      </c>
      <c r="D61" t="s">
        <v>388</v>
      </c>
      <c r="E61" t="s">
        <v>408</v>
      </c>
      <c r="F61" t="str">
        <f>VLOOKUP(E61, 'POS Categories'!$A$1:$B$1999, 2, FALSE)</f>
        <v>Food</v>
      </c>
    </row>
    <row r="62" spans="1:6" x14ac:dyDescent="0.25">
      <c r="A62" s="19">
        <v>45271</v>
      </c>
      <c r="B62">
        <v>-24.95</v>
      </c>
      <c r="C62" t="s">
        <v>385</v>
      </c>
      <c r="D62" t="s">
        <v>388</v>
      </c>
      <c r="E62" t="s">
        <v>174</v>
      </c>
      <c r="F62" t="str">
        <f>VLOOKUP(E62, 'POS Categories'!$A$1:$B$1999, 2, FALSE)</f>
        <v>Food</v>
      </c>
    </row>
    <row r="63" spans="1:6" x14ac:dyDescent="0.25">
      <c r="A63" s="19">
        <v>45271</v>
      </c>
      <c r="B63">
        <v>-11.3</v>
      </c>
      <c r="C63" t="s">
        <v>385</v>
      </c>
      <c r="D63" t="s">
        <v>388</v>
      </c>
      <c r="E63" t="s">
        <v>317</v>
      </c>
      <c r="F63" t="str">
        <f>VLOOKUP(E63, 'POS Categories'!$A$1:$B$1999, 2, FALSE)</f>
        <v>Food</v>
      </c>
    </row>
    <row r="64" spans="1:6" x14ac:dyDescent="0.25">
      <c r="A64" s="19">
        <v>45271</v>
      </c>
      <c r="B64">
        <v>-8.7100000000000009</v>
      </c>
      <c r="C64" t="s">
        <v>385</v>
      </c>
      <c r="D64" t="s">
        <v>388</v>
      </c>
      <c r="E64" t="s">
        <v>183</v>
      </c>
      <c r="F64" t="str">
        <f>VLOOKUP(E64, 'POS Categories'!$A$1:$B$1999, 2, FALSE)</f>
        <v>Food</v>
      </c>
    </row>
    <row r="65" spans="1:6" x14ac:dyDescent="0.25">
      <c r="A65" s="19">
        <v>45271</v>
      </c>
      <c r="B65">
        <v>-4.97</v>
      </c>
      <c r="C65" t="s">
        <v>385</v>
      </c>
      <c r="D65" t="s">
        <v>388</v>
      </c>
      <c r="E65" t="s">
        <v>408</v>
      </c>
      <c r="F65" t="str">
        <f>VLOOKUP(E65, 'POS Categories'!$A$1:$B$1999, 2, FALSE)</f>
        <v>Food</v>
      </c>
    </row>
    <row r="66" spans="1:6" x14ac:dyDescent="0.25">
      <c r="A66" s="19">
        <v>45271</v>
      </c>
      <c r="B66">
        <v>-16.41</v>
      </c>
      <c r="C66" t="s">
        <v>385</v>
      </c>
      <c r="D66" t="s">
        <v>388</v>
      </c>
      <c r="E66" t="s">
        <v>149</v>
      </c>
      <c r="F66" t="str">
        <f>VLOOKUP(E66, 'POS Categories'!$A$1:$B$1999, 2, FALSE)</f>
        <v>Food</v>
      </c>
    </row>
    <row r="67" spans="1:6" x14ac:dyDescent="0.25">
      <c r="A67" s="19">
        <v>45271</v>
      </c>
      <c r="B67">
        <v>-2.76</v>
      </c>
      <c r="C67" t="s">
        <v>385</v>
      </c>
      <c r="D67" t="s">
        <v>388</v>
      </c>
      <c r="E67" t="s">
        <v>408</v>
      </c>
      <c r="F67" t="str">
        <f>VLOOKUP(E67, 'POS Categories'!$A$1:$B$1999, 2, FALSE)</f>
        <v>Food</v>
      </c>
    </row>
    <row r="68" spans="1:6" x14ac:dyDescent="0.25">
      <c r="A68" s="19">
        <v>45269</v>
      </c>
      <c r="B68">
        <v>-21.08</v>
      </c>
      <c r="C68" t="s">
        <v>385</v>
      </c>
      <c r="D68" t="s">
        <v>388</v>
      </c>
      <c r="E68" t="s">
        <v>1359</v>
      </c>
      <c r="F68" t="str">
        <f>VLOOKUP(E68, 'POS Categories'!$A$1:$B$1999, 2, FALSE)</f>
        <v>Food</v>
      </c>
    </row>
    <row r="69" spans="1:6" x14ac:dyDescent="0.25">
      <c r="A69" s="19">
        <v>45269</v>
      </c>
      <c r="B69">
        <v>-20.62</v>
      </c>
      <c r="C69" t="s">
        <v>385</v>
      </c>
      <c r="D69" t="s">
        <v>388</v>
      </c>
      <c r="E69" t="s">
        <v>284</v>
      </c>
      <c r="F69" t="str">
        <f>VLOOKUP(E69, 'POS Categories'!$A$1:$B$1999, 2, FALSE)</f>
        <v>Food</v>
      </c>
    </row>
    <row r="70" spans="1:6" x14ac:dyDescent="0.25">
      <c r="A70" s="19">
        <v>45269</v>
      </c>
      <c r="B70">
        <v>-14.76</v>
      </c>
      <c r="C70" t="s">
        <v>385</v>
      </c>
      <c r="D70" t="s">
        <v>388</v>
      </c>
      <c r="E70" t="s">
        <v>1225</v>
      </c>
      <c r="F70" t="str">
        <f>VLOOKUP(E70, 'POS Categories'!$A$1:$B$1999, 2, FALSE)</f>
        <v>Food</v>
      </c>
    </row>
    <row r="71" spans="1:6" x14ac:dyDescent="0.25">
      <c r="A71" s="19">
        <v>45269</v>
      </c>
      <c r="B71">
        <v>-12.97</v>
      </c>
      <c r="C71" t="s">
        <v>385</v>
      </c>
      <c r="D71" t="s">
        <v>388</v>
      </c>
      <c r="E71" t="s">
        <v>184</v>
      </c>
      <c r="F71" t="str">
        <f>VLOOKUP(E71, 'POS Categories'!$A$1:$B$1999, 2, FALSE)</f>
        <v>Food</v>
      </c>
    </row>
    <row r="72" spans="1:6" x14ac:dyDescent="0.25">
      <c r="A72" s="19">
        <v>45268</v>
      </c>
      <c r="B72">
        <v>-21.45</v>
      </c>
      <c r="C72" t="s">
        <v>385</v>
      </c>
      <c r="D72" t="s">
        <v>388</v>
      </c>
      <c r="E72" t="s">
        <v>241</v>
      </c>
      <c r="F72" t="str">
        <f>VLOOKUP(E72, 'POS Categories'!$A$1:$B$1999, 2, FALSE)</f>
        <v>Food</v>
      </c>
    </row>
    <row r="73" spans="1:6" x14ac:dyDescent="0.25">
      <c r="A73" s="19">
        <v>45268</v>
      </c>
      <c r="B73">
        <v>-17.02</v>
      </c>
      <c r="C73" t="s">
        <v>385</v>
      </c>
      <c r="D73" t="s">
        <v>388</v>
      </c>
      <c r="E73" t="s">
        <v>408</v>
      </c>
      <c r="F73" t="str">
        <f>VLOOKUP(E73, 'POS Categories'!$A$1:$B$1999, 2, FALSE)</f>
        <v>Food</v>
      </c>
    </row>
    <row r="74" spans="1:6" x14ac:dyDescent="0.25">
      <c r="A74" s="19">
        <v>45267</v>
      </c>
      <c r="B74">
        <v>-34.159999999999997</v>
      </c>
      <c r="C74" t="s">
        <v>385</v>
      </c>
      <c r="D74" t="s">
        <v>388</v>
      </c>
      <c r="E74" t="s">
        <v>1336</v>
      </c>
      <c r="F74" t="str">
        <f>VLOOKUP(E74, 'POS Categories'!$A$1:$B$1999, 2, FALSE)</f>
        <v>Food</v>
      </c>
    </row>
    <row r="75" spans="1:6" x14ac:dyDescent="0.25">
      <c r="A75" s="19">
        <v>45267</v>
      </c>
      <c r="B75">
        <v>-2.76</v>
      </c>
      <c r="C75" t="s">
        <v>385</v>
      </c>
      <c r="D75" t="s">
        <v>388</v>
      </c>
      <c r="E75" t="s">
        <v>408</v>
      </c>
      <c r="F75" t="str">
        <f>VLOOKUP(E75, 'POS Categories'!$A$1:$B$1999, 2, FALSE)</f>
        <v>Food</v>
      </c>
    </row>
    <row r="76" spans="1:6" x14ac:dyDescent="0.25">
      <c r="A76" s="19">
        <v>45267</v>
      </c>
      <c r="B76">
        <v>-379.25</v>
      </c>
      <c r="C76" t="s">
        <v>385</v>
      </c>
      <c r="D76" t="s">
        <v>400</v>
      </c>
      <c r="E76" t="s">
        <v>401</v>
      </c>
      <c r="F76" t="str">
        <f>VLOOKUP(E76, 'POS Categories'!$A$1:$B$1999, 2, FALSE)</f>
        <v>Misc</v>
      </c>
    </row>
    <row r="77" spans="1:6" x14ac:dyDescent="0.25">
      <c r="A77" s="19">
        <v>45267</v>
      </c>
      <c r="B77">
        <v>-88.41</v>
      </c>
      <c r="C77" t="s">
        <v>385</v>
      </c>
      <c r="D77" t="s">
        <v>388</v>
      </c>
      <c r="E77" t="s">
        <v>411</v>
      </c>
      <c r="F77" t="str">
        <f>VLOOKUP(E77, 'POS Categories'!$A$1:$B$1999, 2, FALSE)</f>
        <v>Sasktel</v>
      </c>
    </row>
    <row r="78" spans="1:6" x14ac:dyDescent="0.25">
      <c r="A78" s="19">
        <v>45267</v>
      </c>
      <c r="B78">
        <v>-9.3000000000000007</v>
      </c>
      <c r="C78" t="s">
        <v>385</v>
      </c>
      <c r="D78" t="s">
        <v>388</v>
      </c>
      <c r="E78" t="s">
        <v>317</v>
      </c>
      <c r="F78" t="str">
        <f>VLOOKUP(E78, 'POS Categories'!$A$1:$B$1999, 2, FALSE)</f>
        <v>Food</v>
      </c>
    </row>
    <row r="79" spans="1:6" x14ac:dyDescent="0.25">
      <c r="A79" s="19">
        <v>45267</v>
      </c>
      <c r="B79">
        <v>-12.75</v>
      </c>
      <c r="C79" t="s">
        <v>385</v>
      </c>
      <c r="D79" t="s">
        <v>388</v>
      </c>
      <c r="E79" t="s">
        <v>1344</v>
      </c>
      <c r="F79" t="str">
        <f>VLOOKUP(E79, 'POS Categories'!$A$1:$B$1999, 2, FALSE)</f>
        <v>Food</v>
      </c>
    </row>
    <row r="80" spans="1:6" x14ac:dyDescent="0.25">
      <c r="A80" s="19">
        <v>45267</v>
      </c>
      <c r="B80">
        <v>-7.97</v>
      </c>
      <c r="C80" t="s">
        <v>385</v>
      </c>
      <c r="D80" t="s">
        <v>388</v>
      </c>
      <c r="E80" t="s">
        <v>408</v>
      </c>
      <c r="F80" t="str">
        <f>VLOOKUP(E80, 'POS Categories'!$A$1:$B$1999, 2, FALSE)</f>
        <v>Food</v>
      </c>
    </row>
    <row r="81" spans="1:6" x14ac:dyDescent="0.25">
      <c r="A81" s="19">
        <v>45266</v>
      </c>
      <c r="B81">
        <v>-58.17</v>
      </c>
      <c r="C81" t="s">
        <v>385</v>
      </c>
      <c r="D81" t="s">
        <v>388</v>
      </c>
      <c r="E81" t="s">
        <v>395</v>
      </c>
      <c r="F81" t="str">
        <f>VLOOKUP(E81, 'POS Categories'!$A$1:$B$1999, 2, FALSE)</f>
        <v>Vehicle</v>
      </c>
    </row>
    <row r="82" spans="1:6" x14ac:dyDescent="0.25">
      <c r="A82" s="19">
        <v>45266</v>
      </c>
      <c r="B82">
        <v>-31.81</v>
      </c>
      <c r="C82" t="s">
        <v>385</v>
      </c>
      <c r="D82" t="s">
        <v>388</v>
      </c>
      <c r="E82" t="s">
        <v>171</v>
      </c>
      <c r="F82" t="str">
        <f>VLOOKUP(E82, 'POS Categories'!$A$1:$B$1999, 2, FALSE)</f>
        <v>Food</v>
      </c>
    </row>
    <row r="83" spans="1:6" x14ac:dyDescent="0.25">
      <c r="A83" s="19">
        <v>45266</v>
      </c>
      <c r="B83">
        <v>-4.8600000000000003</v>
      </c>
      <c r="C83" t="s">
        <v>385</v>
      </c>
      <c r="D83" t="s">
        <v>388</v>
      </c>
      <c r="E83" t="s">
        <v>408</v>
      </c>
      <c r="F83" t="str">
        <f>VLOOKUP(E83, 'POS Categories'!$A$1:$B$1999, 2, FALSE)</f>
        <v>Food</v>
      </c>
    </row>
    <row r="84" spans="1:6" x14ac:dyDescent="0.25">
      <c r="A84" s="19">
        <v>45266</v>
      </c>
      <c r="B84">
        <v>-16.16</v>
      </c>
      <c r="C84" t="s">
        <v>385</v>
      </c>
      <c r="D84" t="s">
        <v>388</v>
      </c>
      <c r="E84" t="s">
        <v>8</v>
      </c>
      <c r="F84" t="str">
        <f>VLOOKUP(E84, 'POS Categories'!$A$1:$B$1999, 2, FALSE)</f>
        <v>Food</v>
      </c>
    </row>
    <row r="85" spans="1:6" x14ac:dyDescent="0.25">
      <c r="A85" s="19">
        <v>45265</v>
      </c>
      <c r="B85">
        <v>-13.85</v>
      </c>
      <c r="C85" t="s">
        <v>385</v>
      </c>
      <c r="D85" t="s">
        <v>388</v>
      </c>
      <c r="E85" t="s">
        <v>1360</v>
      </c>
      <c r="F85" t="str">
        <f>VLOOKUP(E85, 'POS Categories'!$A$1:$B$1999, 2, FALSE)</f>
        <v>Food</v>
      </c>
    </row>
    <row r="86" spans="1:6" x14ac:dyDescent="0.25">
      <c r="A86" s="19">
        <v>45265</v>
      </c>
      <c r="B86">
        <v>-14.76</v>
      </c>
      <c r="C86" t="s">
        <v>385</v>
      </c>
      <c r="D86" t="s">
        <v>388</v>
      </c>
      <c r="E86" t="s">
        <v>1225</v>
      </c>
      <c r="F86" t="str">
        <f>VLOOKUP(E86, 'POS Categories'!$A$1:$B$1999, 2, FALSE)</f>
        <v>Food</v>
      </c>
    </row>
    <row r="87" spans="1:6" x14ac:dyDescent="0.25">
      <c r="A87" s="19">
        <v>45264</v>
      </c>
      <c r="B87">
        <v>-41.11</v>
      </c>
      <c r="C87" t="s">
        <v>385</v>
      </c>
      <c r="D87" t="s">
        <v>388</v>
      </c>
      <c r="E87" t="s">
        <v>1361</v>
      </c>
      <c r="F87" t="str">
        <f>VLOOKUP(E87, 'POS Categories'!$A$1:$B$1999, 2, FALSE)</f>
        <v>Food</v>
      </c>
    </row>
    <row r="88" spans="1:6" x14ac:dyDescent="0.25">
      <c r="A88" s="19">
        <v>45264</v>
      </c>
      <c r="B88">
        <v>-29.95</v>
      </c>
      <c r="C88" t="s">
        <v>385</v>
      </c>
      <c r="D88" t="s">
        <v>388</v>
      </c>
      <c r="E88" t="s">
        <v>142</v>
      </c>
      <c r="F88" t="str">
        <f>VLOOKUP(E88, 'POS Categories'!$A$1:$B$1999, 2, FALSE)</f>
        <v>Food</v>
      </c>
    </row>
    <row r="89" spans="1:6" x14ac:dyDescent="0.25">
      <c r="A89" s="19">
        <v>45264</v>
      </c>
      <c r="B89">
        <v>-5.95</v>
      </c>
      <c r="C89" t="s">
        <v>385</v>
      </c>
      <c r="D89" t="s">
        <v>388</v>
      </c>
      <c r="E89" t="s">
        <v>183</v>
      </c>
      <c r="F89" t="str">
        <f>VLOOKUP(E89, 'POS Categories'!$A$1:$B$1999, 2, FALSE)</f>
        <v>Food</v>
      </c>
    </row>
    <row r="90" spans="1:6" x14ac:dyDescent="0.25">
      <c r="A90" s="19">
        <v>45264</v>
      </c>
      <c r="B90">
        <v>-16.649999999999999</v>
      </c>
      <c r="C90" t="s">
        <v>385</v>
      </c>
      <c r="D90" t="s">
        <v>388</v>
      </c>
      <c r="E90" t="s">
        <v>1196</v>
      </c>
      <c r="F90" t="str">
        <f>VLOOKUP(E90, 'POS Categories'!$A$1:$B$1999, 2, FALSE)</f>
        <v>Food</v>
      </c>
    </row>
    <row r="91" spans="1:6" x14ac:dyDescent="0.25">
      <c r="A91" s="19">
        <v>45264</v>
      </c>
      <c r="B91">
        <v>-7.54</v>
      </c>
      <c r="C91" t="s">
        <v>385</v>
      </c>
      <c r="D91" t="s">
        <v>388</v>
      </c>
      <c r="E91" t="s">
        <v>408</v>
      </c>
      <c r="F91" t="str">
        <f>VLOOKUP(E91, 'POS Categories'!$A$1:$B$1999, 2, FALSE)</f>
        <v>Food</v>
      </c>
    </row>
    <row r="92" spans="1:6" x14ac:dyDescent="0.25">
      <c r="A92" s="19">
        <v>45264</v>
      </c>
      <c r="B92">
        <v>-8.74</v>
      </c>
      <c r="C92" t="s">
        <v>385</v>
      </c>
      <c r="D92" t="s">
        <v>388</v>
      </c>
      <c r="E92" t="s">
        <v>179</v>
      </c>
      <c r="F92" t="str">
        <f>VLOOKUP(E92, 'POS Categories'!$A$1:$B$1999, 2, FALSE)</f>
        <v>Food</v>
      </c>
    </row>
    <row r="93" spans="1:6" x14ac:dyDescent="0.25">
      <c r="A93" s="19">
        <v>45264</v>
      </c>
      <c r="B93">
        <v>-9.15</v>
      </c>
      <c r="C93" t="s">
        <v>385</v>
      </c>
      <c r="D93" t="s">
        <v>388</v>
      </c>
      <c r="E93" t="s">
        <v>1198</v>
      </c>
      <c r="F93" t="str">
        <f>VLOOKUP(E93, 'POS Categories'!$A$1:$B$1999, 2, FALSE)</f>
        <v>Entertainment</v>
      </c>
    </row>
    <row r="94" spans="1:6" x14ac:dyDescent="0.25">
      <c r="A94" s="19">
        <v>45262</v>
      </c>
      <c r="B94">
        <v>-41.69</v>
      </c>
      <c r="C94" t="s">
        <v>385</v>
      </c>
      <c r="D94" t="s">
        <v>388</v>
      </c>
      <c r="E94" t="s">
        <v>8</v>
      </c>
      <c r="F94" t="str">
        <f>VLOOKUP(E94, 'POS Categories'!$A$1:$B$1999, 2, FALSE)</f>
        <v>Food</v>
      </c>
    </row>
    <row r="95" spans="1:6" x14ac:dyDescent="0.25">
      <c r="A95" s="19">
        <v>45261</v>
      </c>
      <c r="B95">
        <v>-1425</v>
      </c>
      <c r="C95" t="s">
        <v>385</v>
      </c>
      <c r="D95" t="s">
        <v>414</v>
      </c>
      <c r="E95" t="s">
        <v>1224</v>
      </c>
      <c r="F95" t="str">
        <f>VLOOKUP(E95, 'POS Categories'!$A$1:$B$1999, 2, FALSE)</f>
        <v>Rent</v>
      </c>
    </row>
    <row r="96" spans="1:6" x14ac:dyDescent="0.25">
      <c r="A96" s="19">
        <v>45261</v>
      </c>
      <c r="B96">
        <v>-13.51</v>
      </c>
      <c r="C96" t="s">
        <v>385</v>
      </c>
      <c r="D96" t="s">
        <v>388</v>
      </c>
      <c r="E96" t="s">
        <v>183</v>
      </c>
      <c r="F96" t="str">
        <f>VLOOKUP(E96, 'POS Categories'!$A$1:$B$1999, 2, FALSE)</f>
        <v>Food</v>
      </c>
    </row>
    <row r="97" spans="1:6" x14ac:dyDescent="0.25">
      <c r="A97" s="19">
        <v>45261</v>
      </c>
      <c r="B97">
        <v>-9.52</v>
      </c>
      <c r="C97" t="s">
        <v>385</v>
      </c>
      <c r="D97" t="s">
        <v>388</v>
      </c>
      <c r="E97" t="s">
        <v>408</v>
      </c>
      <c r="F97" t="str">
        <f>VLOOKUP(E97, 'POS Categories'!$A$1:$B$1999, 2, FALSE)</f>
        <v>Food</v>
      </c>
    </row>
    <row r="98" spans="1:6" x14ac:dyDescent="0.25">
      <c r="A98" s="19">
        <v>45261</v>
      </c>
      <c r="B98">
        <v>-49.42</v>
      </c>
      <c r="C98" t="s">
        <v>385</v>
      </c>
      <c r="D98" t="s">
        <v>388</v>
      </c>
      <c r="E98" t="s">
        <v>1336</v>
      </c>
      <c r="F98" t="str">
        <f>VLOOKUP(E98, 'POS Categories'!$A$1:$B$1999, 2, FALSE)</f>
        <v>Food</v>
      </c>
    </row>
    <row r="99" spans="1:6" x14ac:dyDescent="0.25">
      <c r="A99" s="19">
        <v>45261</v>
      </c>
      <c r="B99">
        <v>2317.21</v>
      </c>
      <c r="C99" t="s">
        <v>385</v>
      </c>
      <c r="D99" t="s">
        <v>386</v>
      </c>
      <c r="E99" t="s">
        <v>1193</v>
      </c>
      <c r="F99" t="str">
        <f>VLOOKUP(E99, 'POS Categories'!$A$1:$B$1999, 2, FALSE)</f>
        <v>Job</v>
      </c>
    </row>
    <row r="100" spans="1:6" x14ac:dyDescent="0.25">
      <c r="A100" s="19">
        <v>45261</v>
      </c>
      <c r="B100">
        <v>-22.95</v>
      </c>
      <c r="C100" t="s">
        <v>385</v>
      </c>
      <c r="D100" t="s">
        <v>388</v>
      </c>
      <c r="E100" t="s">
        <v>184</v>
      </c>
      <c r="F100" t="str">
        <f>VLOOKUP(E100, 'POS Categories'!$A$1:$B$1999, 2, FALSE)</f>
        <v>Food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9"/>
  <sheetViews>
    <sheetView workbookViewId="0">
      <selection sqref="A1:A1048576"/>
    </sheetView>
  </sheetViews>
  <sheetFormatPr defaultRowHeight="15" x14ac:dyDescent="0.25"/>
  <cols>
    <col min="1" max="1" width="10.42578125" style="19" bestFit="1" customWidth="1"/>
  </cols>
  <sheetData>
    <row r="1" spans="1:6" x14ac:dyDescent="0.25">
      <c r="A1" s="19">
        <v>45260</v>
      </c>
      <c r="B1">
        <v>-19.93</v>
      </c>
      <c r="C1" t="s">
        <v>385</v>
      </c>
      <c r="D1" t="s">
        <v>388</v>
      </c>
      <c r="E1" t="s">
        <v>157</v>
      </c>
      <c r="F1" t="str">
        <f>VLOOKUP(E1, 'POS Categories'!$A$1:$B$1999, 2, FALSE)</f>
        <v>Personal</v>
      </c>
    </row>
    <row r="2" spans="1:6" x14ac:dyDescent="0.25">
      <c r="A2" s="19">
        <v>45260</v>
      </c>
      <c r="B2">
        <v>-29.95</v>
      </c>
      <c r="C2" t="s">
        <v>385</v>
      </c>
      <c r="D2" t="s">
        <v>388</v>
      </c>
      <c r="E2" t="s">
        <v>142</v>
      </c>
      <c r="F2" t="str">
        <f>VLOOKUP(E2, 'POS Categories'!$A$1:$B$1999, 2, FALSE)</f>
        <v>Food</v>
      </c>
    </row>
    <row r="3" spans="1:6" x14ac:dyDescent="0.25">
      <c r="A3" s="19">
        <v>45260</v>
      </c>
      <c r="B3">
        <v>-14.77</v>
      </c>
      <c r="C3" t="s">
        <v>385</v>
      </c>
      <c r="D3" t="s">
        <v>388</v>
      </c>
      <c r="E3" t="s">
        <v>1225</v>
      </c>
      <c r="F3" t="str">
        <f>VLOOKUP(E3, 'POS Categories'!$A$1:$B$1999, 2, FALSE)</f>
        <v>Food</v>
      </c>
    </row>
    <row r="4" spans="1:6" x14ac:dyDescent="0.25">
      <c r="A4" s="19">
        <v>45259</v>
      </c>
      <c r="B4">
        <v>-9.3000000000000007</v>
      </c>
      <c r="C4" t="s">
        <v>385</v>
      </c>
      <c r="D4" t="s">
        <v>388</v>
      </c>
      <c r="E4" t="s">
        <v>317</v>
      </c>
      <c r="F4" t="str">
        <f>VLOOKUP(E4, 'POS Categories'!$A$1:$B$1999, 2, FALSE)</f>
        <v>Food</v>
      </c>
    </row>
    <row r="5" spans="1:6" x14ac:dyDescent="0.25">
      <c r="A5" s="19">
        <v>45259</v>
      </c>
      <c r="B5">
        <v>-6.98</v>
      </c>
      <c r="C5" t="s">
        <v>385</v>
      </c>
      <c r="D5" t="s">
        <v>388</v>
      </c>
      <c r="E5" t="s">
        <v>408</v>
      </c>
      <c r="F5" t="str">
        <f>VLOOKUP(E5, 'POS Categories'!$A$1:$B$1999, 2, FALSE)</f>
        <v>Food</v>
      </c>
    </row>
    <row r="6" spans="1:6" x14ac:dyDescent="0.25">
      <c r="A6" s="19">
        <v>45259</v>
      </c>
      <c r="B6">
        <v>-63.46</v>
      </c>
      <c r="C6" t="s">
        <v>385</v>
      </c>
      <c r="D6" t="s">
        <v>388</v>
      </c>
      <c r="E6" t="s">
        <v>395</v>
      </c>
      <c r="F6" t="str">
        <f>VLOOKUP(E6, 'POS Categories'!$A$1:$B$1999, 2, FALSE)</f>
        <v>Vehicle</v>
      </c>
    </row>
    <row r="7" spans="1:6" x14ac:dyDescent="0.25">
      <c r="A7" s="19">
        <v>45259</v>
      </c>
      <c r="B7">
        <v>-26.39</v>
      </c>
      <c r="C7" t="s">
        <v>385</v>
      </c>
      <c r="D7" t="s">
        <v>388</v>
      </c>
      <c r="E7" t="s">
        <v>171</v>
      </c>
      <c r="F7" t="str">
        <f>VLOOKUP(E7, 'POS Categories'!$A$1:$B$1999, 2, FALSE)</f>
        <v>Food</v>
      </c>
    </row>
    <row r="8" spans="1:6" x14ac:dyDescent="0.25">
      <c r="A8" s="19">
        <v>45258</v>
      </c>
      <c r="B8">
        <v>-25.53</v>
      </c>
      <c r="C8" t="s">
        <v>385</v>
      </c>
      <c r="D8" t="s">
        <v>388</v>
      </c>
      <c r="E8" t="s">
        <v>1244</v>
      </c>
      <c r="F8" t="str">
        <f>VLOOKUP(E8, 'POS Categories'!$A$1:$B$1999, 2, FALSE)</f>
        <v>Food</v>
      </c>
    </row>
    <row r="9" spans="1:6" x14ac:dyDescent="0.25">
      <c r="A9" s="19">
        <v>45258</v>
      </c>
      <c r="B9">
        <v>-6.42</v>
      </c>
      <c r="C9" t="s">
        <v>385</v>
      </c>
      <c r="D9" t="s">
        <v>388</v>
      </c>
      <c r="E9" t="s">
        <v>408</v>
      </c>
      <c r="F9" t="str">
        <f>VLOOKUP(E9, 'POS Categories'!$A$1:$B$1999, 2, FALSE)</f>
        <v>Food</v>
      </c>
    </row>
    <row r="10" spans="1:6" x14ac:dyDescent="0.25">
      <c r="A10" s="19">
        <v>45258</v>
      </c>
      <c r="B10">
        <v>-32.61</v>
      </c>
      <c r="C10" t="s">
        <v>385</v>
      </c>
      <c r="D10" t="s">
        <v>388</v>
      </c>
      <c r="E10" t="s">
        <v>1245</v>
      </c>
      <c r="F10" t="str">
        <f>VLOOKUP(E10, 'POS Categories'!$A$1:$B$1999, 2, FALSE)</f>
        <v>Food</v>
      </c>
    </row>
    <row r="11" spans="1:6" x14ac:dyDescent="0.25">
      <c r="A11" s="19">
        <v>45257</v>
      </c>
      <c r="B11">
        <v>-59.71</v>
      </c>
      <c r="C11" t="s">
        <v>385</v>
      </c>
      <c r="D11" t="s">
        <v>388</v>
      </c>
      <c r="E11" t="s">
        <v>288</v>
      </c>
      <c r="F11" t="str">
        <f>VLOOKUP(E11, 'POS Categories'!$A$1:$B$1999, 2, FALSE)</f>
        <v>Food</v>
      </c>
    </row>
    <row r="12" spans="1:6" x14ac:dyDescent="0.25">
      <c r="A12" s="19">
        <v>45257</v>
      </c>
      <c r="B12">
        <v>-33.6</v>
      </c>
      <c r="C12" t="s">
        <v>385</v>
      </c>
      <c r="D12" t="s">
        <v>388</v>
      </c>
      <c r="E12" t="s">
        <v>8</v>
      </c>
      <c r="F12" t="str">
        <f>VLOOKUP(E12, 'POS Categories'!$A$1:$B$1999, 2, FALSE)</f>
        <v>Food</v>
      </c>
    </row>
    <row r="13" spans="1:6" x14ac:dyDescent="0.25">
      <c r="A13" s="19">
        <v>45257</v>
      </c>
      <c r="B13">
        <v>-9.64</v>
      </c>
      <c r="C13" t="s">
        <v>385</v>
      </c>
      <c r="D13" t="s">
        <v>388</v>
      </c>
      <c r="E13" t="s">
        <v>317</v>
      </c>
      <c r="F13" t="str">
        <f>VLOOKUP(E13, 'POS Categories'!$A$1:$B$1999, 2, FALSE)</f>
        <v>Food</v>
      </c>
    </row>
    <row r="14" spans="1:6" x14ac:dyDescent="0.25">
      <c r="A14" s="19">
        <v>45257</v>
      </c>
      <c r="B14">
        <v>-30.71</v>
      </c>
      <c r="C14" t="s">
        <v>385</v>
      </c>
      <c r="D14" t="s">
        <v>388</v>
      </c>
      <c r="E14" t="s">
        <v>37</v>
      </c>
      <c r="F14" t="str">
        <f>VLOOKUP(E14, 'POS Categories'!$A$1:$B$1999, 2, FALSE)</f>
        <v>Food</v>
      </c>
    </row>
    <row r="15" spans="1:6" x14ac:dyDescent="0.25">
      <c r="A15" s="19">
        <v>45255</v>
      </c>
      <c r="B15">
        <v>-6.05</v>
      </c>
      <c r="C15" t="s">
        <v>385</v>
      </c>
      <c r="D15" t="s">
        <v>388</v>
      </c>
      <c r="E15" t="s">
        <v>241</v>
      </c>
      <c r="F15" t="str">
        <f>VLOOKUP(E15, 'POS Categories'!$A$1:$B$1999, 2, FALSE)</f>
        <v>Food</v>
      </c>
    </row>
    <row r="16" spans="1:6" x14ac:dyDescent="0.25">
      <c r="A16" s="19">
        <v>45255</v>
      </c>
      <c r="B16">
        <v>-42.1</v>
      </c>
      <c r="C16" t="s">
        <v>385</v>
      </c>
      <c r="D16" t="s">
        <v>388</v>
      </c>
      <c r="E16" t="s">
        <v>1336</v>
      </c>
      <c r="F16" t="str">
        <f>VLOOKUP(E16, 'POS Categories'!$A$1:$B$1999, 2, FALSE)</f>
        <v>Food</v>
      </c>
    </row>
    <row r="17" spans="1:6" x14ac:dyDescent="0.25">
      <c r="A17" s="19">
        <v>45255</v>
      </c>
      <c r="B17">
        <v>-89.12</v>
      </c>
      <c r="C17" t="s">
        <v>385</v>
      </c>
      <c r="D17" t="s">
        <v>400</v>
      </c>
      <c r="E17" t="s">
        <v>401</v>
      </c>
      <c r="F17" t="str">
        <f>VLOOKUP(E17, 'POS Categories'!$A$1:$B$1999, 2, FALSE)</f>
        <v>Misc</v>
      </c>
    </row>
    <row r="18" spans="1:6" x14ac:dyDescent="0.25">
      <c r="A18" s="19">
        <v>45255</v>
      </c>
      <c r="B18">
        <v>-15.23</v>
      </c>
      <c r="C18" t="s">
        <v>385</v>
      </c>
      <c r="D18" t="s">
        <v>400</v>
      </c>
      <c r="E18" t="s">
        <v>401</v>
      </c>
      <c r="F18" t="str">
        <f>VLOOKUP(E18, 'POS Categories'!$A$1:$B$1999, 2, FALSE)</f>
        <v>Misc</v>
      </c>
    </row>
    <row r="19" spans="1:6" x14ac:dyDescent="0.25">
      <c r="A19" s="19">
        <v>45255</v>
      </c>
      <c r="B19">
        <v>-69.17</v>
      </c>
      <c r="C19" t="s">
        <v>385</v>
      </c>
      <c r="D19" t="s">
        <v>435</v>
      </c>
      <c r="E19" t="s">
        <v>1257</v>
      </c>
      <c r="F19" t="str">
        <f>VLOOKUP(E19, 'POS Categories'!$A$1:$B$1999, 2, FALSE)</f>
        <v>Power</v>
      </c>
    </row>
    <row r="20" spans="1:6" x14ac:dyDescent="0.25">
      <c r="A20" s="19">
        <v>45254</v>
      </c>
      <c r="B20">
        <v>-27.38</v>
      </c>
      <c r="C20" t="s">
        <v>385</v>
      </c>
      <c r="D20" t="s">
        <v>388</v>
      </c>
      <c r="E20" t="s">
        <v>149</v>
      </c>
      <c r="F20" t="str">
        <f>VLOOKUP(E20, 'POS Categories'!$A$1:$B$1999, 2, FALSE)</f>
        <v>Food</v>
      </c>
    </row>
    <row r="21" spans="1:6" x14ac:dyDescent="0.25">
      <c r="A21" s="19">
        <v>45254</v>
      </c>
      <c r="B21">
        <v>-11.07</v>
      </c>
      <c r="C21" t="s">
        <v>385</v>
      </c>
      <c r="D21" t="s">
        <v>388</v>
      </c>
      <c r="E21" t="s">
        <v>1225</v>
      </c>
      <c r="F21" t="str">
        <f>VLOOKUP(E21, 'POS Categories'!$A$1:$B$1999, 2, FALSE)</f>
        <v>Food</v>
      </c>
    </row>
    <row r="22" spans="1:6" x14ac:dyDescent="0.25">
      <c r="A22" s="19">
        <v>45253</v>
      </c>
      <c r="B22">
        <v>-25</v>
      </c>
      <c r="C22" t="s">
        <v>385</v>
      </c>
      <c r="D22" t="s">
        <v>1351</v>
      </c>
      <c r="E22" t="s">
        <v>1352</v>
      </c>
      <c r="F22" t="str">
        <f>VLOOKUP(E22, 'POS Categories'!$A$1:$B$1999, 2, FALSE)</f>
        <v>Unknown</v>
      </c>
    </row>
    <row r="23" spans="1:6" x14ac:dyDescent="0.25">
      <c r="A23" s="19">
        <v>45252</v>
      </c>
      <c r="B23">
        <v>-4.97</v>
      </c>
      <c r="C23" t="s">
        <v>385</v>
      </c>
      <c r="D23" t="s">
        <v>388</v>
      </c>
      <c r="E23" t="s">
        <v>408</v>
      </c>
      <c r="F23" t="str">
        <f>VLOOKUP(E23, 'POS Categories'!$A$1:$B$1999, 2, FALSE)</f>
        <v>Food</v>
      </c>
    </row>
    <row r="24" spans="1:6" x14ac:dyDescent="0.25">
      <c r="A24" s="19">
        <v>45252</v>
      </c>
      <c r="B24">
        <v>-43.96</v>
      </c>
      <c r="C24" t="s">
        <v>385</v>
      </c>
      <c r="D24" t="s">
        <v>388</v>
      </c>
      <c r="E24" t="s">
        <v>376</v>
      </c>
      <c r="F24" t="str">
        <f>VLOOKUP(E24, 'POS Categories'!$A$1:$B$1999, 2, FALSE)</f>
        <v>Food</v>
      </c>
    </row>
    <row r="25" spans="1:6" x14ac:dyDescent="0.25">
      <c r="A25" s="19">
        <v>45252</v>
      </c>
      <c r="B25">
        <v>-7.97</v>
      </c>
      <c r="C25" t="s">
        <v>385</v>
      </c>
      <c r="D25" t="s">
        <v>388</v>
      </c>
      <c r="E25" t="s">
        <v>408</v>
      </c>
      <c r="F25" t="str">
        <f>VLOOKUP(E25, 'POS Categories'!$A$1:$B$1999, 2, FALSE)</f>
        <v>Food</v>
      </c>
    </row>
    <row r="26" spans="1:6" x14ac:dyDescent="0.25">
      <c r="A26" s="19">
        <v>45252</v>
      </c>
      <c r="B26">
        <v>-29.95</v>
      </c>
      <c r="C26" t="s">
        <v>385</v>
      </c>
      <c r="D26" t="s">
        <v>388</v>
      </c>
      <c r="E26" t="s">
        <v>142</v>
      </c>
      <c r="F26" t="str">
        <f>VLOOKUP(E26, 'POS Categories'!$A$1:$B$1999, 2, FALSE)</f>
        <v>Food</v>
      </c>
    </row>
    <row r="27" spans="1:6" x14ac:dyDescent="0.25">
      <c r="A27" s="19">
        <v>45251</v>
      </c>
      <c r="B27">
        <v>-15.53</v>
      </c>
      <c r="C27" t="s">
        <v>385</v>
      </c>
      <c r="D27" t="s">
        <v>388</v>
      </c>
      <c r="E27" t="s">
        <v>171</v>
      </c>
      <c r="F27" t="str">
        <f>VLOOKUP(E27, 'POS Categories'!$A$1:$B$1999, 2, FALSE)</f>
        <v>Food</v>
      </c>
    </row>
    <row r="28" spans="1:6" x14ac:dyDescent="0.25">
      <c r="A28" s="19">
        <v>45250</v>
      </c>
      <c r="B28">
        <v>-31.08</v>
      </c>
      <c r="C28" t="s">
        <v>385</v>
      </c>
      <c r="D28" t="s">
        <v>388</v>
      </c>
      <c r="E28" t="s">
        <v>1196</v>
      </c>
      <c r="F28" t="str">
        <f>VLOOKUP(E28, 'POS Categories'!$A$1:$B$1999, 2, FALSE)</f>
        <v>Food</v>
      </c>
    </row>
    <row r="29" spans="1:6" x14ac:dyDescent="0.25">
      <c r="A29" s="19">
        <v>45250</v>
      </c>
      <c r="B29">
        <v>-4.97</v>
      </c>
      <c r="C29" t="s">
        <v>385</v>
      </c>
      <c r="D29" t="s">
        <v>388</v>
      </c>
      <c r="E29" t="s">
        <v>408</v>
      </c>
      <c r="F29" t="str">
        <f>VLOOKUP(E29, 'POS Categories'!$A$1:$B$1999, 2, FALSE)</f>
        <v>Food</v>
      </c>
    </row>
    <row r="30" spans="1:6" x14ac:dyDescent="0.25">
      <c r="A30" s="19">
        <v>45250</v>
      </c>
      <c r="B30">
        <v>-14.76</v>
      </c>
      <c r="C30" t="s">
        <v>385</v>
      </c>
      <c r="D30" t="s">
        <v>388</v>
      </c>
      <c r="E30" t="s">
        <v>1225</v>
      </c>
      <c r="F30" t="str">
        <f>VLOOKUP(E30, 'POS Categories'!$A$1:$B$1999, 2, FALSE)</f>
        <v>Food</v>
      </c>
    </row>
    <row r="31" spans="1:6" x14ac:dyDescent="0.25">
      <c r="A31" s="19">
        <v>45248</v>
      </c>
      <c r="B31">
        <v>-8.74</v>
      </c>
      <c r="C31" t="s">
        <v>385</v>
      </c>
      <c r="D31" t="s">
        <v>388</v>
      </c>
      <c r="E31" t="s">
        <v>408</v>
      </c>
      <c r="F31" t="str">
        <f>VLOOKUP(E31, 'POS Categories'!$A$1:$B$1999, 2, FALSE)</f>
        <v>Food</v>
      </c>
    </row>
    <row r="32" spans="1:6" x14ac:dyDescent="0.25">
      <c r="A32" s="19">
        <v>45247</v>
      </c>
      <c r="B32">
        <v>-6.42</v>
      </c>
      <c r="C32" t="s">
        <v>385</v>
      </c>
      <c r="D32" t="s">
        <v>388</v>
      </c>
      <c r="E32" t="s">
        <v>408</v>
      </c>
      <c r="F32" t="str">
        <f>VLOOKUP(E32, 'POS Categories'!$A$1:$B$1999, 2, FALSE)</f>
        <v>Food</v>
      </c>
    </row>
    <row r="33" spans="1:6" x14ac:dyDescent="0.25">
      <c r="A33" s="19">
        <v>45247</v>
      </c>
      <c r="B33">
        <v>-35.380000000000003</v>
      </c>
      <c r="C33" t="s">
        <v>385</v>
      </c>
      <c r="D33" t="s">
        <v>388</v>
      </c>
      <c r="E33" t="s">
        <v>1336</v>
      </c>
      <c r="F33" t="str">
        <f>VLOOKUP(E33, 'POS Categories'!$A$1:$B$1999, 2, FALSE)</f>
        <v>Food</v>
      </c>
    </row>
    <row r="34" spans="1:6" x14ac:dyDescent="0.25">
      <c r="A34" s="19">
        <v>45247</v>
      </c>
      <c r="B34">
        <v>2295.7199999999998</v>
      </c>
      <c r="C34" t="s">
        <v>385</v>
      </c>
      <c r="D34" t="s">
        <v>386</v>
      </c>
      <c r="E34" t="s">
        <v>1193</v>
      </c>
      <c r="F34" t="str">
        <f>VLOOKUP(E34, 'POS Categories'!$A$1:$B$1999, 2, FALSE)</f>
        <v>Job</v>
      </c>
    </row>
    <row r="35" spans="1:6" x14ac:dyDescent="0.25">
      <c r="A35" s="19">
        <v>45246</v>
      </c>
      <c r="B35">
        <v>-29.5</v>
      </c>
      <c r="C35" t="s">
        <v>385</v>
      </c>
      <c r="D35" t="s">
        <v>388</v>
      </c>
      <c r="E35" t="s">
        <v>184</v>
      </c>
      <c r="F35" t="str">
        <f>VLOOKUP(E35, 'POS Categories'!$A$1:$B$1999, 2, FALSE)</f>
        <v>Food</v>
      </c>
    </row>
    <row r="36" spans="1:6" x14ac:dyDescent="0.25">
      <c r="A36" s="19">
        <v>45246</v>
      </c>
      <c r="B36">
        <v>-38.36</v>
      </c>
      <c r="C36" t="s">
        <v>385</v>
      </c>
      <c r="D36" t="s">
        <v>388</v>
      </c>
      <c r="E36" t="s">
        <v>8</v>
      </c>
      <c r="F36" t="str">
        <f>VLOOKUP(E36, 'POS Categories'!$A$1:$B$1999, 2, FALSE)</f>
        <v>Food</v>
      </c>
    </row>
    <row r="37" spans="1:6" x14ac:dyDescent="0.25">
      <c r="A37" s="19">
        <v>45246</v>
      </c>
      <c r="B37">
        <v>-14.76</v>
      </c>
      <c r="C37" t="s">
        <v>385</v>
      </c>
      <c r="D37" t="s">
        <v>388</v>
      </c>
      <c r="E37" t="s">
        <v>1225</v>
      </c>
      <c r="F37" t="str">
        <f>VLOOKUP(E37, 'POS Categories'!$A$1:$B$1999, 2, FALSE)</f>
        <v>Food</v>
      </c>
    </row>
    <row r="38" spans="1:6" x14ac:dyDescent="0.25">
      <c r="A38" s="19">
        <v>45245</v>
      </c>
      <c r="B38">
        <v>-9.3000000000000007</v>
      </c>
      <c r="C38" t="s">
        <v>385</v>
      </c>
      <c r="D38" t="s">
        <v>388</v>
      </c>
      <c r="E38" t="s">
        <v>317</v>
      </c>
      <c r="F38" t="str">
        <f>VLOOKUP(E38, 'POS Categories'!$A$1:$B$1999, 2, FALSE)</f>
        <v>Food</v>
      </c>
    </row>
    <row r="39" spans="1:6" x14ac:dyDescent="0.25">
      <c r="A39" s="19">
        <v>45245</v>
      </c>
      <c r="B39">
        <v>-9.41</v>
      </c>
      <c r="C39" t="s">
        <v>385</v>
      </c>
      <c r="D39" t="s">
        <v>388</v>
      </c>
      <c r="E39" t="s">
        <v>408</v>
      </c>
      <c r="F39" t="str">
        <f>VLOOKUP(E39, 'POS Categories'!$A$1:$B$1999, 2, FALSE)</f>
        <v>Food</v>
      </c>
    </row>
    <row r="40" spans="1:6" x14ac:dyDescent="0.25">
      <c r="A40" s="19">
        <v>45245</v>
      </c>
      <c r="B40">
        <v>-69.459999999999994</v>
      </c>
      <c r="C40" t="s">
        <v>385</v>
      </c>
      <c r="D40" t="s">
        <v>400</v>
      </c>
      <c r="E40" t="s">
        <v>401</v>
      </c>
      <c r="F40" t="str">
        <f>VLOOKUP(E40, 'POS Categories'!$A$1:$B$1999, 2, FALSE)</f>
        <v>Misc</v>
      </c>
    </row>
    <row r="41" spans="1:6" x14ac:dyDescent="0.25">
      <c r="A41" s="19">
        <v>45245</v>
      </c>
      <c r="B41">
        <v>-144.44</v>
      </c>
      <c r="C41" t="s">
        <v>385</v>
      </c>
      <c r="D41" t="s">
        <v>400</v>
      </c>
      <c r="E41" t="s">
        <v>401</v>
      </c>
      <c r="F41" t="str">
        <f>VLOOKUP(E41, 'POS Categories'!$A$1:$B$1999, 2, FALSE)</f>
        <v>Misc</v>
      </c>
    </row>
    <row r="42" spans="1:6" x14ac:dyDescent="0.25">
      <c r="A42" s="19">
        <v>45245</v>
      </c>
      <c r="B42">
        <v>-94.3</v>
      </c>
      <c r="C42" t="s">
        <v>385</v>
      </c>
      <c r="D42" t="s">
        <v>388</v>
      </c>
      <c r="E42" t="s">
        <v>175</v>
      </c>
      <c r="F42" t="str">
        <f>VLOOKUP(E42, 'POS Categories'!$A$1:$B$1999, 2, FALSE)</f>
        <v>Sasktel</v>
      </c>
    </row>
    <row r="43" spans="1:6" x14ac:dyDescent="0.25">
      <c r="A43" s="19">
        <v>45245</v>
      </c>
      <c r="B43">
        <v>-11.06</v>
      </c>
      <c r="C43" t="s">
        <v>385</v>
      </c>
      <c r="D43" t="s">
        <v>388</v>
      </c>
      <c r="E43" t="s">
        <v>408</v>
      </c>
      <c r="F43" t="str">
        <f>VLOOKUP(E43, 'POS Categories'!$A$1:$B$1999, 2, FALSE)</f>
        <v>Food</v>
      </c>
    </row>
    <row r="44" spans="1:6" x14ac:dyDescent="0.25">
      <c r="A44" s="19">
        <v>45244</v>
      </c>
      <c r="B44">
        <v>-66.56</v>
      </c>
      <c r="C44" t="s">
        <v>385</v>
      </c>
      <c r="D44" t="s">
        <v>388</v>
      </c>
      <c r="E44" t="s">
        <v>395</v>
      </c>
      <c r="F44" t="str">
        <f>VLOOKUP(E44, 'POS Categories'!$A$1:$B$1999, 2, FALSE)</f>
        <v>Vehicle</v>
      </c>
    </row>
    <row r="45" spans="1:6" x14ac:dyDescent="0.25">
      <c r="A45" s="19">
        <v>45244</v>
      </c>
      <c r="B45">
        <v>-27.39</v>
      </c>
      <c r="C45" t="s">
        <v>385</v>
      </c>
      <c r="D45" t="s">
        <v>388</v>
      </c>
      <c r="E45" t="s">
        <v>142</v>
      </c>
      <c r="F45" t="str">
        <f>VLOOKUP(E45, 'POS Categories'!$A$1:$B$1999, 2, FALSE)</f>
        <v>Food</v>
      </c>
    </row>
    <row r="46" spans="1:6" x14ac:dyDescent="0.25">
      <c r="A46" s="19">
        <v>45244</v>
      </c>
      <c r="B46">
        <v>-7.97</v>
      </c>
      <c r="C46" t="s">
        <v>385</v>
      </c>
      <c r="D46" t="s">
        <v>388</v>
      </c>
      <c r="E46" t="s">
        <v>179</v>
      </c>
      <c r="F46" t="str">
        <f>VLOOKUP(E46, 'POS Categories'!$A$1:$B$1999, 2, FALSE)</f>
        <v>Food</v>
      </c>
    </row>
    <row r="47" spans="1:6" x14ac:dyDescent="0.25">
      <c r="A47" s="19">
        <v>45244</v>
      </c>
      <c r="B47">
        <v>-30.47</v>
      </c>
      <c r="C47" t="s">
        <v>385</v>
      </c>
      <c r="D47" t="s">
        <v>388</v>
      </c>
      <c r="E47" t="s">
        <v>37</v>
      </c>
      <c r="F47" t="str">
        <f>VLOOKUP(E47, 'POS Categories'!$A$1:$B$1999, 2, FALSE)</f>
        <v>Food</v>
      </c>
    </row>
    <row r="48" spans="1:6" x14ac:dyDescent="0.25">
      <c r="A48" s="19">
        <v>45244</v>
      </c>
      <c r="B48">
        <v>-40.020000000000003</v>
      </c>
      <c r="C48" t="s">
        <v>385</v>
      </c>
      <c r="D48" t="s">
        <v>388</v>
      </c>
      <c r="E48" t="s">
        <v>1353</v>
      </c>
      <c r="F48" t="str">
        <f>VLOOKUP(E48, 'POS Categories'!$A$1:$B$1999, 2, FALSE)</f>
        <v>Food</v>
      </c>
    </row>
    <row r="49" spans="1:6" x14ac:dyDescent="0.25">
      <c r="A49" s="19">
        <v>45244</v>
      </c>
      <c r="B49">
        <v>-9.6300000000000008</v>
      </c>
      <c r="C49" t="s">
        <v>385</v>
      </c>
      <c r="D49" t="s">
        <v>388</v>
      </c>
      <c r="E49" t="s">
        <v>171</v>
      </c>
      <c r="F49" t="str">
        <f>VLOOKUP(E49, 'POS Categories'!$A$1:$B$1999, 2, FALSE)</f>
        <v>Food</v>
      </c>
    </row>
    <row r="50" spans="1:6" x14ac:dyDescent="0.25">
      <c r="A50" s="19">
        <v>45244</v>
      </c>
      <c r="B50">
        <v>-14.77</v>
      </c>
      <c r="C50" t="s">
        <v>385</v>
      </c>
      <c r="D50" t="s">
        <v>388</v>
      </c>
      <c r="E50" t="s">
        <v>1225</v>
      </c>
      <c r="F50" t="str">
        <f>VLOOKUP(E50, 'POS Categories'!$A$1:$B$1999, 2, FALSE)</f>
        <v>Food</v>
      </c>
    </row>
    <row r="51" spans="1:6" x14ac:dyDescent="0.25">
      <c r="A51" s="19">
        <v>45244</v>
      </c>
      <c r="B51">
        <v>-34.159999999999997</v>
      </c>
      <c r="C51" t="s">
        <v>385</v>
      </c>
      <c r="D51" t="s">
        <v>388</v>
      </c>
      <c r="E51" t="s">
        <v>1336</v>
      </c>
      <c r="F51" t="str">
        <f>VLOOKUP(E51, 'POS Categories'!$A$1:$B$1999, 2, FALSE)</f>
        <v>Food</v>
      </c>
    </row>
    <row r="52" spans="1:6" x14ac:dyDescent="0.25">
      <c r="A52" s="19">
        <v>45244</v>
      </c>
      <c r="B52">
        <v>-7.97</v>
      </c>
      <c r="C52" t="s">
        <v>385</v>
      </c>
      <c r="D52" t="s">
        <v>388</v>
      </c>
      <c r="E52" t="s">
        <v>408</v>
      </c>
      <c r="F52" t="str">
        <f>VLOOKUP(E52, 'POS Categories'!$A$1:$B$1999, 2, FALSE)</f>
        <v>Food</v>
      </c>
    </row>
    <row r="53" spans="1:6" x14ac:dyDescent="0.25">
      <c r="A53" s="19">
        <v>45240</v>
      </c>
      <c r="B53">
        <v>-55.3</v>
      </c>
      <c r="C53" t="s">
        <v>385</v>
      </c>
      <c r="D53" t="s">
        <v>388</v>
      </c>
      <c r="E53" t="s">
        <v>395</v>
      </c>
      <c r="F53" t="str">
        <f>VLOOKUP(E53, 'POS Categories'!$A$1:$B$1999, 2, FALSE)</f>
        <v>Vehicle</v>
      </c>
    </row>
    <row r="54" spans="1:6" x14ac:dyDescent="0.25">
      <c r="A54" s="19">
        <v>45240</v>
      </c>
      <c r="B54">
        <v>-16.64</v>
      </c>
      <c r="C54" t="s">
        <v>385</v>
      </c>
      <c r="D54" t="s">
        <v>388</v>
      </c>
      <c r="E54" t="s">
        <v>184</v>
      </c>
      <c r="F54" t="str">
        <f>VLOOKUP(E54, 'POS Categories'!$A$1:$B$1999, 2, FALSE)</f>
        <v>Food</v>
      </c>
    </row>
    <row r="55" spans="1:6" x14ac:dyDescent="0.25">
      <c r="A55" s="19">
        <v>45239</v>
      </c>
      <c r="B55">
        <v>-32.61</v>
      </c>
      <c r="C55" t="s">
        <v>385</v>
      </c>
      <c r="D55" t="s">
        <v>388</v>
      </c>
      <c r="E55" t="s">
        <v>1245</v>
      </c>
      <c r="F55" t="str">
        <f>VLOOKUP(E55, 'POS Categories'!$A$1:$B$1999, 2, FALSE)</f>
        <v>Food</v>
      </c>
    </row>
    <row r="56" spans="1:6" x14ac:dyDescent="0.25">
      <c r="A56" s="19">
        <v>45238</v>
      </c>
      <c r="B56">
        <v>-9.6300000000000008</v>
      </c>
      <c r="C56" t="s">
        <v>385</v>
      </c>
      <c r="D56" t="s">
        <v>388</v>
      </c>
      <c r="E56" t="s">
        <v>171</v>
      </c>
      <c r="F56" t="str">
        <f>VLOOKUP(E56, 'POS Categories'!$A$1:$B$1999, 2, FALSE)</f>
        <v>Food</v>
      </c>
    </row>
    <row r="57" spans="1:6" x14ac:dyDescent="0.25">
      <c r="A57" s="19">
        <v>45238</v>
      </c>
      <c r="B57">
        <v>-15.53</v>
      </c>
      <c r="C57" t="s">
        <v>385</v>
      </c>
      <c r="D57" t="s">
        <v>388</v>
      </c>
      <c r="E57" t="s">
        <v>171</v>
      </c>
      <c r="F57" t="str">
        <f>VLOOKUP(E57, 'POS Categories'!$A$1:$B$1999, 2, FALSE)</f>
        <v>Food</v>
      </c>
    </row>
    <row r="58" spans="1:6" x14ac:dyDescent="0.25">
      <c r="A58" s="19">
        <v>45237</v>
      </c>
      <c r="B58">
        <v>-7.54</v>
      </c>
      <c r="C58" t="s">
        <v>385</v>
      </c>
      <c r="D58" t="s">
        <v>388</v>
      </c>
      <c r="E58" t="s">
        <v>408</v>
      </c>
      <c r="F58" t="str">
        <f>VLOOKUP(E58, 'POS Categories'!$A$1:$B$1999, 2, FALSE)</f>
        <v>Food</v>
      </c>
    </row>
    <row r="59" spans="1:6" x14ac:dyDescent="0.25">
      <c r="A59" s="19">
        <v>45237</v>
      </c>
      <c r="B59">
        <v>-8.19</v>
      </c>
      <c r="C59" t="s">
        <v>385</v>
      </c>
      <c r="D59" t="s">
        <v>388</v>
      </c>
      <c r="E59" t="s">
        <v>317</v>
      </c>
      <c r="F59" t="str">
        <f>VLOOKUP(E59, 'POS Categories'!$A$1:$B$1999, 2, FALSE)</f>
        <v>Food</v>
      </c>
    </row>
    <row r="60" spans="1:6" x14ac:dyDescent="0.25">
      <c r="A60" s="19">
        <v>45237</v>
      </c>
      <c r="B60">
        <v>-25.3</v>
      </c>
      <c r="C60" t="s">
        <v>385</v>
      </c>
      <c r="D60" t="s">
        <v>388</v>
      </c>
      <c r="E60" t="s">
        <v>1215</v>
      </c>
      <c r="F60" t="str">
        <f>VLOOKUP(E60, 'POS Categories'!$A$1:$B$1999, 2, FALSE)</f>
        <v>Entertainment</v>
      </c>
    </row>
    <row r="61" spans="1:6" x14ac:dyDescent="0.25">
      <c r="A61" s="19">
        <v>45237</v>
      </c>
      <c r="B61">
        <v>-85</v>
      </c>
      <c r="C61" t="s">
        <v>385</v>
      </c>
      <c r="D61" t="s">
        <v>388</v>
      </c>
      <c r="E61" t="s">
        <v>1354</v>
      </c>
      <c r="F61" t="str">
        <f>VLOOKUP(E61, 'POS Categories'!$A$1:$B$1999, 2, FALSE)</f>
        <v>Food</v>
      </c>
    </row>
    <row r="62" spans="1:6" x14ac:dyDescent="0.25">
      <c r="A62" s="19">
        <v>45236</v>
      </c>
      <c r="B62">
        <v>-33.479999999999997</v>
      </c>
      <c r="C62" t="s">
        <v>385</v>
      </c>
      <c r="D62" t="s">
        <v>388</v>
      </c>
      <c r="E62" t="s">
        <v>8</v>
      </c>
      <c r="F62" t="str">
        <f>VLOOKUP(E62, 'POS Categories'!$A$1:$B$1999, 2, FALSE)</f>
        <v>Food</v>
      </c>
    </row>
    <row r="63" spans="1:6" x14ac:dyDescent="0.25">
      <c r="A63" s="19">
        <v>45236</v>
      </c>
      <c r="B63">
        <v>-14.76</v>
      </c>
      <c r="C63" t="s">
        <v>385</v>
      </c>
      <c r="D63" t="s">
        <v>388</v>
      </c>
      <c r="E63" t="s">
        <v>1225</v>
      </c>
      <c r="F63" t="str">
        <f>VLOOKUP(E63, 'POS Categories'!$A$1:$B$1999, 2, FALSE)</f>
        <v>Food</v>
      </c>
    </row>
    <row r="64" spans="1:6" x14ac:dyDescent="0.25">
      <c r="A64" s="19">
        <v>45236</v>
      </c>
      <c r="B64">
        <v>-66.209999999999994</v>
      </c>
      <c r="C64" t="s">
        <v>385</v>
      </c>
      <c r="D64" t="s">
        <v>388</v>
      </c>
      <c r="E64" t="s">
        <v>411</v>
      </c>
      <c r="F64" t="str">
        <f>VLOOKUP(E64, 'POS Categories'!$A$1:$B$1999, 2, FALSE)</f>
        <v>Sasktel</v>
      </c>
    </row>
    <row r="65" spans="1:6" x14ac:dyDescent="0.25">
      <c r="A65" s="19">
        <v>45236</v>
      </c>
      <c r="B65">
        <v>-14.53</v>
      </c>
      <c r="C65" t="s">
        <v>385</v>
      </c>
      <c r="D65" t="s">
        <v>388</v>
      </c>
      <c r="E65" t="s">
        <v>183</v>
      </c>
      <c r="F65" t="str">
        <f>VLOOKUP(E65, 'POS Categories'!$A$1:$B$1999, 2, FALSE)</f>
        <v>Food</v>
      </c>
    </row>
    <row r="66" spans="1:6" x14ac:dyDescent="0.25">
      <c r="A66" s="19">
        <v>45236</v>
      </c>
      <c r="B66">
        <v>-29.5</v>
      </c>
      <c r="C66" t="s">
        <v>385</v>
      </c>
      <c r="D66" t="s">
        <v>388</v>
      </c>
      <c r="E66" t="s">
        <v>149</v>
      </c>
      <c r="F66" t="str">
        <f>VLOOKUP(E66, 'POS Categories'!$A$1:$B$1999, 2, FALSE)</f>
        <v>Food</v>
      </c>
    </row>
    <row r="67" spans="1:6" x14ac:dyDescent="0.25">
      <c r="A67" s="19">
        <v>45236</v>
      </c>
      <c r="B67">
        <v>-105.47</v>
      </c>
      <c r="C67" t="s">
        <v>385</v>
      </c>
      <c r="D67" t="s">
        <v>388</v>
      </c>
      <c r="E67" t="s">
        <v>157</v>
      </c>
      <c r="F67" t="str">
        <f>VLOOKUP(E67, 'POS Categories'!$A$1:$B$1999, 2, FALSE)</f>
        <v>Personal</v>
      </c>
    </row>
    <row r="68" spans="1:6" x14ac:dyDescent="0.25">
      <c r="A68" s="19">
        <v>45236</v>
      </c>
      <c r="B68">
        <v>-7.97</v>
      </c>
      <c r="C68" t="s">
        <v>385</v>
      </c>
      <c r="D68" t="s">
        <v>388</v>
      </c>
      <c r="E68" t="s">
        <v>408</v>
      </c>
      <c r="F68" t="str">
        <f>VLOOKUP(E68, 'POS Categories'!$A$1:$B$1999, 2, FALSE)</f>
        <v>Food</v>
      </c>
    </row>
    <row r="69" spans="1:6" x14ac:dyDescent="0.25">
      <c r="A69" s="19">
        <v>45234</v>
      </c>
      <c r="B69">
        <v>-8.52</v>
      </c>
      <c r="C69" t="s">
        <v>385</v>
      </c>
      <c r="D69" t="s">
        <v>388</v>
      </c>
      <c r="E69" t="s">
        <v>317</v>
      </c>
      <c r="F69" t="str">
        <f>VLOOKUP(E69, 'POS Categories'!$A$1:$B$1999, 2, FALSE)</f>
        <v>Food</v>
      </c>
    </row>
    <row r="70" spans="1:6" x14ac:dyDescent="0.25">
      <c r="A70" s="19">
        <v>45234</v>
      </c>
      <c r="B70">
        <v>-18.239999999999998</v>
      </c>
      <c r="C70" t="s">
        <v>385</v>
      </c>
      <c r="D70" t="s">
        <v>400</v>
      </c>
      <c r="E70" t="s">
        <v>401</v>
      </c>
      <c r="F70" t="str">
        <f>VLOOKUP(E70, 'POS Categories'!$A$1:$B$1999, 2, FALSE)</f>
        <v>Misc</v>
      </c>
    </row>
    <row r="71" spans="1:6" x14ac:dyDescent="0.25">
      <c r="A71" s="19">
        <v>45234</v>
      </c>
      <c r="B71">
        <v>-133.28</v>
      </c>
      <c r="C71" t="s">
        <v>385</v>
      </c>
      <c r="D71" t="s">
        <v>400</v>
      </c>
      <c r="E71" t="s">
        <v>401</v>
      </c>
      <c r="F71" t="str">
        <f>VLOOKUP(E71, 'POS Categories'!$A$1:$B$1999, 2, FALSE)</f>
        <v>Misc</v>
      </c>
    </row>
    <row r="72" spans="1:6" x14ac:dyDescent="0.25">
      <c r="A72" s="19">
        <v>45234</v>
      </c>
      <c r="B72">
        <v>-64.62</v>
      </c>
      <c r="C72" t="s">
        <v>385</v>
      </c>
      <c r="D72" t="s">
        <v>388</v>
      </c>
      <c r="E72" t="s">
        <v>395</v>
      </c>
      <c r="F72" t="str">
        <f>VLOOKUP(E72, 'POS Categories'!$A$1:$B$1999, 2, FALSE)</f>
        <v>Vehicle</v>
      </c>
    </row>
    <row r="73" spans="1:6" x14ac:dyDescent="0.25">
      <c r="A73" s="19">
        <v>45234</v>
      </c>
      <c r="B73">
        <v>-7.15</v>
      </c>
      <c r="C73" t="s">
        <v>385</v>
      </c>
      <c r="D73" t="s">
        <v>388</v>
      </c>
      <c r="E73" t="s">
        <v>241</v>
      </c>
      <c r="F73" t="str">
        <f>VLOOKUP(E73, 'POS Categories'!$A$1:$B$1999, 2, FALSE)</f>
        <v>Food</v>
      </c>
    </row>
    <row r="74" spans="1:6" x14ac:dyDescent="0.25">
      <c r="A74" s="19">
        <v>45233</v>
      </c>
      <c r="B74">
        <v>-14.76</v>
      </c>
      <c r="C74" t="s">
        <v>385</v>
      </c>
      <c r="D74" t="s">
        <v>388</v>
      </c>
      <c r="E74" t="s">
        <v>1225</v>
      </c>
      <c r="F74" t="str">
        <f>VLOOKUP(E74, 'POS Categories'!$A$1:$B$1999, 2, FALSE)</f>
        <v>Food</v>
      </c>
    </row>
    <row r="75" spans="1:6" x14ac:dyDescent="0.25">
      <c r="A75" s="19">
        <v>45233</v>
      </c>
      <c r="B75">
        <v>2317.2199999999998</v>
      </c>
      <c r="C75" t="s">
        <v>385</v>
      </c>
      <c r="D75" t="s">
        <v>386</v>
      </c>
      <c r="E75" t="s">
        <v>1193</v>
      </c>
      <c r="F75" t="str">
        <f>VLOOKUP(E75, 'POS Categories'!$A$1:$B$1999, 2, FALSE)</f>
        <v>Job</v>
      </c>
    </row>
    <row r="76" spans="1:6" x14ac:dyDescent="0.25">
      <c r="A76" s="19">
        <v>45232</v>
      </c>
      <c r="B76">
        <v>-15.72</v>
      </c>
      <c r="C76" t="s">
        <v>385</v>
      </c>
      <c r="D76" t="s">
        <v>388</v>
      </c>
      <c r="E76" t="s">
        <v>1198</v>
      </c>
      <c r="F76" t="str">
        <f>VLOOKUP(E76, 'POS Categories'!$A$1:$B$1999, 2, FALSE)</f>
        <v>Entertainment</v>
      </c>
    </row>
    <row r="77" spans="1:6" x14ac:dyDescent="0.25">
      <c r="A77" s="19">
        <v>45231</v>
      </c>
      <c r="B77">
        <v>-1425</v>
      </c>
      <c r="C77" t="s">
        <v>385</v>
      </c>
      <c r="D77" t="s">
        <v>414</v>
      </c>
      <c r="E77" t="s">
        <v>1224</v>
      </c>
      <c r="F77" t="str">
        <f>VLOOKUP(E77, 'POS Categories'!$A$1:$B$1999, 2, FALSE)</f>
        <v>Rent</v>
      </c>
    </row>
    <row r="78" spans="1:6" x14ac:dyDescent="0.25">
      <c r="A78" s="19">
        <v>45231</v>
      </c>
      <c r="B78">
        <v>-8.19</v>
      </c>
      <c r="C78" t="s">
        <v>385</v>
      </c>
      <c r="D78" t="s">
        <v>388</v>
      </c>
      <c r="E78" t="s">
        <v>317</v>
      </c>
      <c r="F78" t="str">
        <f>VLOOKUP(E78, 'POS Categories'!$A$1:$B$1999, 2, FALSE)</f>
        <v>Food</v>
      </c>
    </row>
    <row r="79" spans="1:6" x14ac:dyDescent="0.25">
      <c r="A79" s="19">
        <v>45231</v>
      </c>
      <c r="B79">
        <v>-14.76</v>
      </c>
      <c r="C79" t="s">
        <v>385</v>
      </c>
      <c r="D79" t="s">
        <v>388</v>
      </c>
      <c r="E79" t="s">
        <v>1225</v>
      </c>
      <c r="F79" t="str">
        <f>VLOOKUP(E79, 'POS Categories'!$A$1:$B$1999, 2, FALSE)</f>
        <v>Food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89"/>
  <sheetViews>
    <sheetView topLeftCell="A65" workbookViewId="0">
      <selection activeCell="G83" sqref="G83"/>
    </sheetView>
  </sheetViews>
  <sheetFormatPr defaultRowHeight="15" x14ac:dyDescent="0.25"/>
  <cols>
    <col min="4" max="4" width="23.28515625" bestFit="1" customWidth="1"/>
    <col min="5" max="5" width="35.28515625" bestFit="1" customWidth="1"/>
  </cols>
  <sheetData>
    <row r="1" spans="1:6" x14ac:dyDescent="0.25">
      <c r="A1">
        <v>45229</v>
      </c>
      <c r="B1">
        <v>-14.77</v>
      </c>
      <c r="C1" t="s">
        <v>385</v>
      </c>
      <c r="D1" t="s">
        <v>388</v>
      </c>
      <c r="E1" t="s">
        <v>1225</v>
      </c>
      <c r="F1" t="str">
        <f>VLOOKUP(E1, 'POS Categories'!$A$1:$B$1999, 2, FALSE)</f>
        <v>Food</v>
      </c>
    </row>
    <row r="2" spans="1:6" x14ac:dyDescent="0.25">
      <c r="A2">
        <v>45229</v>
      </c>
      <c r="B2">
        <v>-176.5</v>
      </c>
      <c r="C2" t="s">
        <v>385</v>
      </c>
      <c r="D2" t="s">
        <v>388</v>
      </c>
      <c r="E2" t="s">
        <v>36</v>
      </c>
      <c r="F2" t="str">
        <f>VLOOKUP(E2, 'POS Categories'!$A$1:$B$1999, 2, FALSE)</f>
        <v>Food</v>
      </c>
    </row>
    <row r="3" spans="1:6" x14ac:dyDescent="0.25">
      <c r="A3">
        <v>45229</v>
      </c>
      <c r="B3">
        <v>-70</v>
      </c>
      <c r="C3" t="s">
        <v>385</v>
      </c>
      <c r="D3" t="s">
        <v>400</v>
      </c>
      <c r="E3" t="s">
        <v>401</v>
      </c>
      <c r="F3" t="str">
        <f>VLOOKUP(E3, 'POS Categories'!$A$1:$B$1999, 2, FALSE)</f>
        <v>Misc</v>
      </c>
    </row>
    <row r="4" spans="1:6" x14ac:dyDescent="0.25">
      <c r="A4">
        <v>45227</v>
      </c>
      <c r="B4">
        <v>-7.15</v>
      </c>
      <c r="C4" t="s">
        <v>385</v>
      </c>
      <c r="D4" t="s">
        <v>388</v>
      </c>
      <c r="E4" t="s">
        <v>241</v>
      </c>
      <c r="F4" t="str">
        <f>VLOOKUP(E4, 'POS Categories'!$A$1:$B$1999, 2, FALSE)</f>
        <v>Food</v>
      </c>
    </row>
    <row r="5" spans="1:6" x14ac:dyDescent="0.25">
      <c r="A5">
        <v>45227</v>
      </c>
      <c r="B5">
        <v>-43.18</v>
      </c>
      <c r="C5" t="s">
        <v>385</v>
      </c>
      <c r="D5" t="s">
        <v>388</v>
      </c>
      <c r="E5" t="s">
        <v>247</v>
      </c>
      <c r="F5" t="str">
        <f>VLOOKUP(E5, 'POS Categories'!$A$1:$B$1999, 2, FALSE)</f>
        <v>Food</v>
      </c>
    </row>
    <row r="6" spans="1:6" x14ac:dyDescent="0.25">
      <c r="A6">
        <v>45227</v>
      </c>
      <c r="B6">
        <v>-15.32</v>
      </c>
      <c r="C6" t="s">
        <v>385</v>
      </c>
      <c r="D6" t="s">
        <v>388</v>
      </c>
      <c r="E6" t="s">
        <v>1225</v>
      </c>
      <c r="F6" t="str">
        <f>VLOOKUP(E6, 'POS Categories'!$A$1:$B$1999, 2, FALSE)</f>
        <v>Food</v>
      </c>
    </row>
    <row r="7" spans="1:6" x14ac:dyDescent="0.25">
      <c r="A7">
        <v>45226</v>
      </c>
      <c r="B7">
        <v>-23.83</v>
      </c>
      <c r="C7" t="s">
        <v>385</v>
      </c>
      <c r="D7" t="s">
        <v>388</v>
      </c>
      <c r="E7" t="s">
        <v>183</v>
      </c>
      <c r="F7" t="str">
        <f>VLOOKUP(E7, 'POS Categories'!$A$1:$B$1999, 2, FALSE)</f>
        <v>Food</v>
      </c>
    </row>
    <row r="8" spans="1:6" x14ac:dyDescent="0.25">
      <c r="A8">
        <v>45226</v>
      </c>
      <c r="B8">
        <v>-18.63</v>
      </c>
      <c r="C8" t="s">
        <v>385</v>
      </c>
      <c r="D8" t="s">
        <v>388</v>
      </c>
      <c r="E8" t="s">
        <v>8</v>
      </c>
      <c r="F8" t="str">
        <f>VLOOKUP(E8, 'POS Categories'!$A$1:$B$1999, 2, FALSE)</f>
        <v>Food</v>
      </c>
    </row>
    <row r="9" spans="1:6" x14ac:dyDescent="0.25">
      <c r="A9">
        <v>45226</v>
      </c>
      <c r="B9">
        <v>-7.3</v>
      </c>
      <c r="C9" t="s">
        <v>385</v>
      </c>
      <c r="D9" t="s">
        <v>388</v>
      </c>
      <c r="E9" t="s">
        <v>408</v>
      </c>
      <c r="F9" t="str">
        <f>VLOOKUP(E9, 'POS Categories'!$A$1:$B$1999, 2, FALSE)</f>
        <v>Food</v>
      </c>
    </row>
    <row r="10" spans="1:6" x14ac:dyDescent="0.25">
      <c r="A10">
        <v>45225</v>
      </c>
      <c r="B10">
        <v>-14.16</v>
      </c>
      <c r="C10" t="s">
        <v>385</v>
      </c>
      <c r="D10" t="s">
        <v>388</v>
      </c>
      <c r="E10" t="s">
        <v>1304</v>
      </c>
      <c r="F10" t="str">
        <f>VLOOKUP(E10, 'POS Categories'!$A$1:$B$1999, 2, FALSE)</f>
        <v>Food</v>
      </c>
    </row>
    <row r="11" spans="1:6" x14ac:dyDescent="0.25">
      <c r="A11">
        <v>45225</v>
      </c>
      <c r="B11">
        <v>-4.97</v>
      </c>
      <c r="C11" t="s">
        <v>385</v>
      </c>
      <c r="D11" t="s">
        <v>388</v>
      </c>
      <c r="E11" t="s">
        <v>408</v>
      </c>
      <c r="F11" t="str">
        <f>VLOOKUP(E11, 'POS Categories'!$A$1:$B$1999, 2, FALSE)</f>
        <v>Food</v>
      </c>
    </row>
    <row r="12" spans="1:6" x14ac:dyDescent="0.25">
      <c r="A12">
        <v>45225</v>
      </c>
      <c r="B12">
        <v>-33.92</v>
      </c>
      <c r="C12" t="s">
        <v>385</v>
      </c>
      <c r="D12" t="s">
        <v>388</v>
      </c>
      <c r="E12" t="s">
        <v>171</v>
      </c>
      <c r="F12" t="str">
        <f>VLOOKUP(E12, 'POS Categories'!$A$1:$B$1999, 2, FALSE)</f>
        <v>Food</v>
      </c>
    </row>
    <row r="13" spans="1:6" x14ac:dyDescent="0.25">
      <c r="A13">
        <v>45224</v>
      </c>
      <c r="B13">
        <v>-7.75</v>
      </c>
      <c r="C13" t="s">
        <v>385</v>
      </c>
      <c r="D13" t="s">
        <v>388</v>
      </c>
      <c r="E13" t="s">
        <v>202</v>
      </c>
      <c r="F13" t="str">
        <f>VLOOKUP(E13, 'POS Categories'!$A$1:$B$1999, 2, FALSE)</f>
        <v>Food</v>
      </c>
    </row>
    <row r="14" spans="1:6" x14ac:dyDescent="0.25">
      <c r="A14">
        <v>45224</v>
      </c>
      <c r="B14">
        <v>-70</v>
      </c>
      <c r="C14" t="s">
        <v>385</v>
      </c>
      <c r="D14" t="s">
        <v>388</v>
      </c>
      <c r="E14" t="s">
        <v>395</v>
      </c>
      <c r="F14" t="str">
        <f>VLOOKUP(E14, 'POS Categories'!$A$1:$B$1999, 2, FALSE)</f>
        <v>Vehicle</v>
      </c>
    </row>
    <row r="15" spans="1:6" x14ac:dyDescent="0.25">
      <c r="A15">
        <v>45224</v>
      </c>
      <c r="B15">
        <v>-29.95</v>
      </c>
      <c r="C15" t="s">
        <v>385</v>
      </c>
      <c r="D15" t="s">
        <v>388</v>
      </c>
      <c r="E15" t="s">
        <v>142</v>
      </c>
      <c r="F15" t="str">
        <f>VLOOKUP(E15, 'POS Categories'!$A$1:$B$1999, 2, FALSE)</f>
        <v>Food</v>
      </c>
    </row>
    <row r="16" spans="1:6" x14ac:dyDescent="0.25">
      <c r="A16">
        <v>45224</v>
      </c>
      <c r="B16">
        <v>-4.97</v>
      </c>
      <c r="C16" t="s">
        <v>385</v>
      </c>
      <c r="D16" t="s">
        <v>388</v>
      </c>
      <c r="E16" t="s">
        <v>408</v>
      </c>
      <c r="F16" t="str">
        <f>VLOOKUP(E16, 'POS Categories'!$A$1:$B$1999, 2, FALSE)</f>
        <v>Food</v>
      </c>
    </row>
    <row r="17" spans="1:6" x14ac:dyDescent="0.25">
      <c r="A17">
        <v>45223</v>
      </c>
      <c r="B17">
        <v>-6.65</v>
      </c>
      <c r="C17" t="s">
        <v>385</v>
      </c>
      <c r="D17" t="s">
        <v>388</v>
      </c>
      <c r="E17" t="s">
        <v>160</v>
      </c>
      <c r="F17" t="str">
        <f>VLOOKUP(E17, 'POS Categories'!$A$1:$B$1999, 2, FALSE)</f>
        <v>Personal</v>
      </c>
    </row>
    <row r="18" spans="1:6" x14ac:dyDescent="0.25">
      <c r="A18">
        <v>45223</v>
      </c>
      <c r="B18">
        <v>-99.46</v>
      </c>
      <c r="C18" t="s">
        <v>385</v>
      </c>
      <c r="D18" t="s">
        <v>388</v>
      </c>
      <c r="E18" t="s">
        <v>1207</v>
      </c>
      <c r="F18" t="str">
        <f>VLOOKUP(E18, 'POS Categories'!$A$1:$B$1999, 2, FALSE)</f>
        <v>Entertainment</v>
      </c>
    </row>
    <row r="19" spans="1:6" x14ac:dyDescent="0.25">
      <c r="A19">
        <v>45223</v>
      </c>
      <c r="B19">
        <v>-104.32</v>
      </c>
      <c r="C19" t="s">
        <v>385</v>
      </c>
      <c r="D19" t="s">
        <v>388</v>
      </c>
      <c r="E19" t="s">
        <v>1207</v>
      </c>
      <c r="F19" t="str">
        <f>VLOOKUP(E19, 'POS Categories'!$A$1:$B$1999, 2, FALSE)</f>
        <v>Entertainment</v>
      </c>
    </row>
    <row r="20" spans="1:6" x14ac:dyDescent="0.25">
      <c r="A20">
        <v>45223</v>
      </c>
      <c r="B20">
        <v>-29.2</v>
      </c>
      <c r="C20" t="s">
        <v>385</v>
      </c>
      <c r="D20" t="s">
        <v>388</v>
      </c>
      <c r="E20" t="s">
        <v>1244</v>
      </c>
      <c r="F20" t="str">
        <f>VLOOKUP(E20, 'POS Categories'!$A$1:$B$1999, 2, FALSE)</f>
        <v>Food</v>
      </c>
    </row>
    <row r="21" spans="1:6" x14ac:dyDescent="0.25">
      <c r="A21">
        <v>45223</v>
      </c>
      <c r="B21">
        <v>-12.88</v>
      </c>
      <c r="C21" t="s">
        <v>385</v>
      </c>
      <c r="D21" t="s">
        <v>388</v>
      </c>
      <c r="E21" t="s">
        <v>1225</v>
      </c>
      <c r="F21" t="str">
        <f>VLOOKUP(E21, 'POS Categories'!$A$1:$B$1999, 2, FALSE)</f>
        <v>Food</v>
      </c>
    </row>
    <row r="22" spans="1:6" x14ac:dyDescent="0.25">
      <c r="A22">
        <v>45222</v>
      </c>
      <c r="B22">
        <v>-32.83</v>
      </c>
      <c r="C22" t="s">
        <v>385</v>
      </c>
      <c r="D22" t="s">
        <v>388</v>
      </c>
      <c r="E22" t="s">
        <v>1347</v>
      </c>
      <c r="F22" t="str">
        <f>VLOOKUP(E22, 'POS Categories'!$A$1:$B$1999, 2, FALSE)</f>
        <v>Food</v>
      </c>
    </row>
    <row r="23" spans="1:6" x14ac:dyDescent="0.25">
      <c r="A23">
        <v>45222</v>
      </c>
      <c r="B23">
        <v>-16.63</v>
      </c>
      <c r="C23" t="s">
        <v>385</v>
      </c>
      <c r="D23" t="s">
        <v>388</v>
      </c>
      <c r="E23" t="s">
        <v>1344</v>
      </c>
      <c r="F23" t="str">
        <f>VLOOKUP(E23, 'POS Categories'!$A$1:$B$1999, 2, FALSE)</f>
        <v>Food</v>
      </c>
    </row>
    <row r="24" spans="1:6" x14ac:dyDescent="0.25">
      <c r="A24">
        <v>45222</v>
      </c>
      <c r="B24">
        <v>-7.54</v>
      </c>
      <c r="C24" t="s">
        <v>385</v>
      </c>
      <c r="D24" t="s">
        <v>388</v>
      </c>
      <c r="E24" t="s">
        <v>408</v>
      </c>
      <c r="F24" t="str">
        <f>VLOOKUP(E24, 'POS Categories'!$A$1:$B$1999, 2, FALSE)</f>
        <v>Food</v>
      </c>
    </row>
    <row r="25" spans="1:6" x14ac:dyDescent="0.25">
      <c r="A25">
        <v>45222</v>
      </c>
      <c r="B25">
        <v>-139.91</v>
      </c>
      <c r="C25" t="s">
        <v>385</v>
      </c>
      <c r="D25" t="s">
        <v>435</v>
      </c>
      <c r="E25" t="s">
        <v>1257</v>
      </c>
      <c r="F25" t="str">
        <f>VLOOKUP(E25, 'POS Categories'!$A$1:$B$1999, 2, FALSE)</f>
        <v>Power</v>
      </c>
    </row>
    <row r="26" spans="1:6" x14ac:dyDescent="0.25">
      <c r="A26">
        <v>45220</v>
      </c>
      <c r="B26">
        <v>-44.53</v>
      </c>
      <c r="C26" t="s">
        <v>385</v>
      </c>
      <c r="D26" t="s">
        <v>388</v>
      </c>
      <c r="E26" t="s">
        <v>1279</v>
      </c>
      <c r="F26" t="str">
        <f>VLOOKUP(E26, 'POS Categories'!$A$1:$B$1999, 2, FALSE)</f>
        <v>Food</v>
      </c>
    </row>
    <row r="27" spans="1:6" x14ac:dyDescent="0.25">
      <c r="A27">
        <v>45220</v>
      </c>
      <c r="B27">
        <v>-19.760000000000002</v>
      </c>
      <c r="C27" t="s">
        <v>385</v>
      </c>
      <c r="D27" t="s">
        <v>388</v>
      </c>
      <c r="E27" t="s">
        <v>158</v>
      </c>
      <c r="F27" t="str">
        <f>VLOOKUP(E27, 'POS Categories'!$A$1:$B$1999, 2, FALSE)</f>
        <v>Personal</v>
      </c>
    </row>
    <row r="28" spans="1:6" x14ac:dyDescent="0.25">
      <c r="A28">
        <v>45220</v>
      </c>
      <c r="B28">
        <v>-11.52</v>
      </c>
      <c r="C28" t="s">
        <v>385</v>
      </c>
      <c r="D28" t="s">
        <v>388</v>
      </c>
      <c r="E28" t="s">
        <v>408</v>
      </c>
      <c r="F28" t="str">
        <f>VLOOKUP(E28, 'POS Categories'!$A$1:$B$1999, 2, FALSE)</f>
        <v>Food</v>
      </c>
    </row>
    <row r="29" spans="1:6" x14ac:dyDescent="0.25">
      <c r="A29">
        <v>45219</v>
      </c>
      <c r="B29">
        <v>-15.52</v>
      </c>
      <c r="C29" t="s">
        <v>385</v>
      </c>
      <c r="D29" t="s">
        <v>388</v>
      </c>
      <c r="E29" t="s">
        <v>171</v>
      </c>
      <c r="F29" t="str">
        <f>VLOOKUP(E29, 'POS Categories'!$A$1:$B$1999, 2, FALSE)</f>
        <v>Food</v>
      </c>
    </row>
    <row r="30" spans="1:6" x14ac:dyDescent="0.25">
      <c r="A30">
        <v>45219</v>
      </c>
      <c r="B30">
        <v>-13.85</v>
      </c>
      <c r="C30" t="s">
        <v>385</v>
      </c>
      <c r="D30" t="s">
        <v>388</v>
      </c>
      <c r="E30" t="s">
        <v>240</v>
      </c>
      <c r="F30" t="str">
        <f>VLOOKUP(E30, 'POS Categories'!$A$1:$B$1999, 2, FALSE)</f>
        <v>Food</v>
      </c>
    </row>
    <row r="31" spans="1:6" x14ac:dyDescent="0.25">
      <c r="A31">
        <v>45219</v>
      </c>
      <c r="B31">
        <v>-68.8</v>
      </c>
      <c r="C31" t="s">
        <v>385</v>
      </c>
      <c r="D31" t="s">
        <v>388</v>
      </c>
      <c r="E31" t="s">
        <v>1348</v>
      </c>
      <c r="F31" t="str">
        <f>VLOOKUP(E31, 'POS Categories'!$A$1:$B$1999, 2, FALSE)</f>
        <v>Entertainment</v>
      </c>
    </row>
    <row r="32" spans="1:6" x14ac:dyDescent="0.25">
      <c r="A32">
        <v>45219</v>
      </c>
      <c r="B32">
        <v>2061.75</v>
      </c>
      <c r="C32" t="s">
        <v>385</v>
      </c>
      <c r="D32" t="s">
        <v>386</v>
      </c>
      <c r="E32" t="s">
        <v>1193</v>
      </c>
      <c r="F32" t="str">
        <f>VLOOKUP(E32, 'POS Categories'!$A$1:$B$1999, 2, FALSE)</f>
        <v>Job</v>
      </c>
    </row>
    <row r="33" spans="1:6" x14ac:dyDescent="0.25">
      <c r="A33">
        <v>45219</v>
      </c>
      <c r="B33">
        <v>-242.71</v>
      </c>
      <c r="C33" t="s">
        <v>385</v>
      </c>
      <c r="D33" t="s">
        <v>400</v>
      </c>
      <c r="E33" t="s">
        <v>401</v>
      </c>
      <c r="F33" t="str">
        <f>VLOOKUP(E33, 'POS Categories'!$A$1:$B$1999, 2, FALSE)</f>
        <v>Misc</v>
      </c>
    </row>
    <row r="34" spans="1:6" x14ac:dyDescent="0.25">
      <c r="A34">
        <v>45219</v>
      </c>
      <c r="B34">
        <v>-261.08</v>
      </c>
      <c r="C34" t="s">
        <v>385</v>
      </c>
      <c r="D34" t="s">
        <v>400</v>
      </c>
      <c r="E34" t="s">
        <v>401</v>
      </c>
      <c r="F34" t="str">
        <f>VLOOKUP(E34, 'POS Categories'!$A$1:$B$1999, 2, FALSE)</f>
        <v>Misc</v>
      </c>
    </row>
    <row r="35" spans="1:6" x14ac:dyDescent="0.25">
      <c r="A35">
        <v>45218</v>
      </c>
      <c r="B35">
        <v>-7.54</v>
      </c>
      <c r="C35" t="s">
        <v>385</v>
      </c>
      <c r="D35" t="s">
        <v>388</v>
      </c>
      <c r="E35" t="s">
        <v>179</v>
      </c>
      <c r="F35" t="str">
        <f>VLOOKUP(E35, 'POS Categories'!$A$1:$B$1999, 2, FALSE)</f>
        <v>Food</v>
      </c>
    </row>
    <row r="36" spans="1:6" x14ac:dyDescent="0.25">
      <c r="A36">
        <v>45218</v>
      </c>
      <c r="B36">
        <v>-13.31</v>
      </c>
      <c r="C36" t="s">
        <v>385</v>
      </c>
      <c r="D36" t="s">
        <v>388</v>
      </c>
      <c r="E36" t="s">
        <v>8</v>
      </c>
      <c r="F36" t="str">
        <f>VLOOKUP(E36, 'POS Categories'!$A$1:$B$1999, 2, FALSE)</f>
        <v>Food</v>
      </c>
    </row>
    <row r="37" spans="1:6" x14ac:dyDescent="0.25">
      <c r="A37">
        <v>45217</v>
      </c>
      <c r="B37">
        <v>-17.41</v>
      </c>
      <c r="C37" t="s">
        <v>385</v>
      </c>
      <c r="D37" t="s">
        <v>388</v>
      </c>
      <c r="E37" t="s">
        <v>174</v>
      </c>
      <c r="F37" t="str">
        <f>VLOOKUP(E37, 'POS Categories'!$A$1:$B$1999, 2, FALSE)</f>
        <v>Food</v>
      </c>
    </row>
    <row r="38" spans="1:6" x14ac:dyDescent="0.25">
      <c r="A38">
        <v>45216</v>
      </c>
      <c r="B38">
        <v>-16.3</v>
      </c>
      <c r="C38" t="s">
        <v>385</v>
      </c>
      <c r="D38" t="s">
        <v>388</v>
      </c>
      <c r="E38" t="s">
        <v>205</v>
      </c>
      <c r="F38" t="str">
        <f>VLOOKUP(E38, 'POS Categories'!$A$1:$B$1999, 2, FALSE)</f>
        <v>Food</v>
      </c>
    </row>
    <row r="39" spans="1:6" x14ac:dyDescent="0.25">
      <c r="A39">
        <v>45216</v>
      </c>
      <c r="B39">
        <v>-9.52</v>
      </c>
      <c r="C39" t="s">
        <v>385</v>
      </c>
      <c r="D39" t="s">
        <v>388</v>
      </c>
      <c r="E39" t="s">
        <v>408</v>
      </c>
      <c r="F39" t="str">
        <f>VLOOKUP(E39, 'POS Categories'!$A$1:$B$1999, 2, FALSE)</f>
        <v>Food</v>
      </c>
    </row>
    <row r="40" spans="1:6" x14ac:dyDescent="0.25">
      <c r="A40">
        <v>45216</v>
      </c>
      <c r="B40">
        <v>-3.73</v>
      </c>
      <c r="C40" t="s">
        <v>385</v>
      </c>
      <c r="D40" t="s">
        <v>1349</v>
      </c>
      <c r="F40" t="s">
        <v>6</v>
      </c>
    </row>
    <row r="41" spans="1:6" x14ac:dyDescent="0.25">
      <c r="A41">
        <v>45215</v>
      </c>
      <c r="B41">
        <v>-14.97</v>
      </c>
      <c r="C41" t="s">
        <v>385</v>
      </c>
      <c r="D41" t="s">
        <v>388</v>
      </c>
      <c r="E41" t="s">
        <v>142</v>
      </c>
      <c r="F41" t="str">
        <f>VLOOKUP(E41, 'POS Categories'!$A$1:$B$1999, 2, FALSE)</f>
        <v>Food</v>
      </c>
    </row>
    <row r="42" spans="1:6" x14ac:dyDescent="0.25">
      <c r="A42">
        <v>45215</v>
      </c>
      <c r="B42">
        <v>-3.99</v>
      </c>
      <c r="C42" t="s">
        <v>385</v>
      </c>
      <c r="D42" t="s">
        <v>388</v>
      </c>
      <c r="E42" t="s">
        <v>408</v>
      </c>
      <c r="F42" t="str">
        <f>VLOOKUP(E42, 'POS Categories'!$A$1:$B$1999, 2, FALSE)</f>
        <v>Food</v>
      </c>
    </row>
    <row r="43" spans="1:6" x14ac:dyDescent="0.25">
      <c r="A43">
        <v>45215</v>
      </c>
      <c r="B43">
        <v>-19.399999999999999</v>
      </c>
      <c r="C43" t="s">
        <v>385</v>
      </c>
      <c r="D43" t="s">
        <v>388</v>
      </c>
      <c r="E43" t="s">
        <v>171</v>
      </c>
      <c r="F43" t="str">
        <f>VLOOKUP(E43, 'POS Categories'!$A$1:$B$1999, 2, FALSE)</f>
        <v>Food</v>
      </c>
    </row>
    <row r="44" spans="1:6" x14ac:dyDescent="0.25">
      <c r="A44">
        <v>45215</v>
      </c>
      <c r="B44">
        <v>-12.79</v>
      </c>
      <c r="C44" t="s">
        <v>385</v>
      </c>
      <c r="D44" t="s">
        <v>388</v>
      </c>
      <c r="E44" t="s">
        <v>319</v>
      </c>
      <c r="F44" t="str">
        <f>VLOOKUP(E44, 'POS Categories'!$A$1:$B$1999, 2, FALSE)</f>
        <v>Food</v>
      </c>
    </row>
    <row r="45" spans="1:6" x14ac:dyDescent="0.25">
      <c r="A45">
        <v>45215</v>
      </c>
      <c r="B45">
        <v>-45.95</v>
      </c>
      <c r="C45" t="s">
        <v>385</v>
      </c>
      <c r="D45" t="s">
        <v>388</v>
      </c>
      <c r="E45" t="s">
        <v>347</v>
      </c>
      <c r="F45" t="str">
        <f>VLOOKUP(E45, 'POS Categories'!$A$1:$B$1999, 2, FALSE)</f>
        <v>Food</v>
      </c>
    </row>
    <row r="46" spans="1:6" x14ac:dyDescent="0.25">
      <c r="A46">
        <v>45215</v>
      </c>
      <c r="B46">
        <v>-8.4</v>
      </c>
      <c r="C46" t="s">
        <v>385</v>
      </c>
      <c r="D46" t="s">
        <v>388</v>
      </c>
      <c r="E46" t="s">
        <v>163</v>
      </c>
      <c r="F46" t="str">
        <f>VLOOKUP(E46, 'POS Categories'!$A$1:$B$1999, 2, FALSE)</f>
        <v>Vehicle</v>
      </c>
    </row>
    <row r="47" spans="1:6" x14ac:dyDescent="0.25">
      <c r="A47">
        <v>45215</v>
      </c>
      <c r="B47">
        <v>-56.08</v>
      </c>
      <c r="C47" t="s">
        <v>385</v>
      </c>
      <c r="D47" t="s">
        <v>388</v>
      </c>
      <c r="E47" t="s">
        <v>118</v>
      </c>
      <c r="F47" t="str">
        <f>VLOOKUP(E47, 'POS Categories'!$A$1:$B$1999, 2, FALSE)</f>
        <v>Food</v>
      </c>
    </row>
    <row r="48" spans="1:6" x14ac:dyDescent="0.25">
      <c r="A48">
        <v>45215</v>
      </c>
      <c r="B48">
        <v>-91.61</v>
      </c>
      <c r="C48" t="s">
        <v>385</v>
      </c>
      <c r="D48" t="s">
        <v>388</v>
      </c>
      <c r="E48" t="s">
        <v>175</v>
      </c>
      <c r="F48" t="str">
        <f>VLOOKUP(E48, 'POS Categories'!$A$1:$B$1999, 2, FALSE)</f>
        <v>Sasktel</v>
      </c>
    </row>
    <row r="49" spans="1:6" x14ac:dyDescent="0.25">
      <c r="A49">
        <v>45213</v>
      </c>
      <c r="B49">
        <v>-32.04</v>
      </c>
      <c r="C49" t="s">
        <v>385</v>
      </c>
      <c r="D49" t="s">
        <v>388</v>
      </c>
      <c r="E49" t="s">
        <v>284</v>
      </c>
      <c r="F49" t="str">
        <f>VLOOKUP(E49, 'POS Categories'!$A$1:$B$1999, 2, FALSE)</f>
        <v>Food</v>
      </c>
    </row>
    <row r="50" spans="1:6" x14ac:dyDescent="0.25">
      <c r="A50">
        <v>45213</v>
      </c>
      <c r="B50">
        <v>-15.32</v>
      </c>
      <c r="C50" t="s">
        <v>385</v>
      </c>
      <c r="D50" t="s">
        <v>388</v>
      </c>
      <c r="E50" t="s">
        <v>1225</v>
      </c>
      <c r="F50" t="str">
        <f>VLOOKUP(E50, 'POS Categories'!$A$1:$B$1999, 2, FALSE)</f>
        <v>Food</v>
      </c>
    </row>
    <row r="51" spans="1:6" x14ac:dyDescent="0.25">
      <c r="A51">
        <v>45212</v>
      </c>
      <c r="B51">
        <v>-7.15</v>
      </c>
      <c r="C51" t="s">
        <v>385</v>
      </c>
      <c r="D51" t="s">
        <v>388</v>
      </c>
      <c r="E51" t="s">
        <v>241</v>
      </c>
      <c r="F51" t="str">
        <f>VLOOKUP(E51, 'POS Categories'!$A$1:$B$1999, 2, FALSE)</f>
        <v>Food</v>
      </c>
    </row>
    <row r="52" spans="1:6" x14ac:dyDescent="0.25">
      <c r="A52">
        <v>45212</v>
      </c>
      <c r="B52">
        <v>-9.9700000000000006</v>
      </c>
      <c r="C52" t="s">
        <v>385</v>
      </c>
      <c r="D52" t="s">
        <v>388</v>
      </c>
      <c r="E52" t="s">
        <v>408</v>
      </c>
      <c r="F52" t="str">
        <f>VLOOKUP(E52, 'POS Categories'!$A$1:$B$1999, 2, FALSE)</f>
        <v>Food</v>
      </c>
    </row>
    <row r="53" spans="1:6" x14ac:dyDescent="0.25">
      <c r="A53">
        <v>45212</v>
      </c>
      <c r="B53">
        <v>-14.38</v>
      </c>
      <c r="C53" t="s">
        <v>385</v>
      </c>
      <c r="D53" t="s">
        <v>388</v>
      </c>
      <c r="E53" t="s">
        <v>1244</v>
      </c>
      <c r="F53" t="str">
        <f>VLOOKUP(E53, 'POS Categories'!$A$1:$B$1999, 2, FALSE)</f>
        <v>Food</v>
      </c>
    </row>
    <row r="54" spans="1:6" x14ac:dyDescent="0.25">
      <c r="A54">
        <v>45212</v>
      </c>
      <c r="B54">
        <v>-14.97</v>
      </c>
      <c r="C54" t="s">
        <v>385</v>
      </c>
      <c r="D54" t="s">
        <v>388</v>
      </c>
      <c r="E54" t="s">
        <v>142</v>
      </c>
      <c r="F54" t="str">
        <f>VLOOKUP(E54, 'POS Categories'!$A$1:$B$1999, 2, FALSE)</f>
        <v>Food</v>
      </c>
    </row>
    <row r="55" spans="1:6" x14ac:dyDescent="0.25">
      <c r="A55">
        <v>45212</v>
      </c>
      <c r="B55">
        <v>-12.88</v>
      </c>
      <c r="C55" t="s">
        <v>385</v>
      </c>
      <c r="D55" t="s">
        <v>388</v>
      </c>
      <c r="E55" t="s">
        <v>1225</v>
      </c>
      <c r="F55" t="str">
        <f>VLOOKUP(E55, 'POS Categories'!$A$1:$B$1999, 2, FALSE)</f>
        <v>Food</v>
      </c>
    </row>
    <row r="56" spans="1:6" x14ac:dyDescent="0.25">
      <c r="A56">
        <v>45212</v>
      </c>
      <c r="B56">
        <v>170</v>
      </c>
      <c r="C56" t="s">
        <v>385</v>
      </c>
      <c r="D56" t="s">
        <v>1259</v>
      </c>
      <c r="E56" t="s">
        <v>280</v>
      </c>
      <c r="F56" t="str">
        <f>VLOOKUP(E56, 'POS Categories'!$A$1:$B$1999, 2, FALSE)</f>
        <v>Government</v>
      </c>
    </row>
    <row r="57" spans="1:6" x14ac:dyDescent="0.25">
      <c r="A57">
        <v>45211</v>
      </c>
      <c r="B57">
        <v>-6.42</v>
      </c>
      <c r="C57" t="s">
        <v>385</v>
      </c>
      <c r="D57" t="s">
        <v>388</v>
      </c>
      <c r="E57" t="s">
        <v>408</v>
      </c>
      <c r="F57" t="str">
        <f>VLOOKUP(E57, 'POS Categories'!$A$1:$B$1999, 2, FALSE)</f>
        <v>Food</v>
      </c>
    </row>
    <row r="58" spans="1:6" x14ac:dyDescent="0.25">
      <c r="A58">
        <v>45211</v>
      </c>
      <c r="B58">
        <v>-32.53</v>
      </c>
      <c r="C58" t="s">
        <v>385</v>
      </c>
      <c r="D58" t="s">
        <v>388</v>
      </c>
      <c r="E58" t="s">
        <v>1281</v>
      </c>
      <c r="F58" t="str">
        <f>VLOOKUP(E58, 'POS Categories'!$A$1:$B$1999, 2, FALSE)</f>
        <v>Food</v>
      </c>
    </row>
    <row r="59" spans="1:6" x14ac:dyDescent="0.25">
      <c r="A59">
        <v>45211</v>
      </c>
      <c r="B59">
        <v>-64.58</v>
      </c>
      <c r="C59" t="s">
        <v>385</v>
      </c>
      <c r="D59" t="s">
        <v>388</v>
      </c>
      <c r="E59" t="s">
        <v>395</v>
      </c>
      <c r="F59" t="str">
        <f>VLOOKUP(E59, 'POS Categories'!$A$1:$B$1999, 2, FALSE)</f>
        <v>Vehicle</v>
      </c>
    </row>
    <row r="60" spans="1:6" x14ac:dyDescent="0.25">
      <c r="A60">
        <v>45211</v>
      </c>
      <c r="B60">
        <v>-2.4300000000000002</v>
      </c>
      <c r="C60" t="s">
        <v>385</v>
      </c>
      <c r="D60" t="s">
        <v>388</v>
      </c>
      <c r="E60" t="s">
        <v>408</v>
      </c>
      <c r="F60" t="str">
        <f>VLOOKUP(E60, 'POS Categories'!$A$1:$B$1999, 2, FALSE)</f>
        <v>Food</v>
      </c>
    </row>
    <row r="61" spans="1:6" x14ac:dyDescent="0.25">
      <c r="A61">
        <v>45211</v>
      </c>
      <c r="B61">
        <v>-15.53</v>
      </c>
      <c r="C61" t="s">
        <v>385</v>
      </c>
      <c r="D61" t="s">
        <v>388</v>
      </c>
      <c r="E61" t="s">
        <v>171</v>
      </c>
      <c r="F61" t="str">
        <f>VLOOKUP(E61, 'POS Categories'!$A$1:$B$1999, 2, FALSE)</f>
        <v>Food</v>
      </c>
    </row>
    <row r="62" spans="1:6" x14ac:dyDescent="0.25">
      <c r="A62">
        <v>45210</v>
      </c>
      <c r="B62">
        <v>-16.63</v>
      </c>
      <c r="C62" t="s">
        <v>385</v>
      </c>
      <c r="D62" t="s">
        <v>388</v>
      </c>
      <c r="E62" t="s">
        <v>1310</v>
      </c>
      <c r="F62" t="str">
        <f>VLOOKUP(E62, 'POS Categories'!$A$1:$B$1999, 2, FALSE)</f>
        <v>Food</v>
      </c>
    </row>
    <row r="63" spans="1:6" x14ac:dyDescent="0.25">
      <c r="A63">
        <v>45210</v>
      </c>
      <c r="B63">
        <v>-34.19</v>
      </c>
      <c r="C63" t="s">
        <v>385</v>
      </c>
      <c r="D63" t="s">
        <v>388</v>
      </c>
      <c r="E63" t="s">
        <v>1196</v>
      </c>
      <c r="F63" t="str">
        <f>VLOOKUP(E63, 'POS Categories'!$A$1:$B$1999, 2, FALSE)</f>
        <v>Food</v>
      </c>
    </row>
    <row r="64" spans="1:6" x14ac:dyDescent="0.25">
      <c r="A64">
        <v>45210</v>
      </c>
      <c r="B64">
        <v>-12.2</v>
      </c>
      <c r="C64" t="s">
        <v>385</v>
      </c>
      <c r="D64" t="s">
        <v>388</v>
      </c>
      <c r="E64" t="s">
        <v>8</v>
      </c>
      <c r="F64" t="str">
        <f>VLOOKUP(E64, 'POS Categories'!$A$1:$B$1999, 2, FALSE)</f>
        <v>Food</v>
      </c>
    </row>
    <row r="65" spans="1:6" x14ac:dyDescent="0.25">
      <c r="A65">
        <v>45209</v>
      </c>
      <c r="B65">
        <v>-13.31</v>
      </c>
      <c r="C65" t="s">
        <v>385</v>
      </c>
      <c r="D65" t="s">
        <v>388</v>
      </c>
      <c r="E65" t="s">
        <v>8</v>
      </c>
      <c r="F65" t="str">
        <f>VLOOKUP(E65, 'POS Categories'!$A$1:$B$1999, 2, FALSE)</f>
        <v>Food</v>
      </c>
    </row>
    <row r="66" spans="1:6" x14ac:dyDescent="0.25">
      <c r="A66">
        <v>45209</v>
      </c>
      <c r="B66">
        <v>-27.74</v>
      </c>
      <c r="C66" t="s">
        <v>385</v>
      </c>
      <c r="D66" t="s">
        <v>388</v>
      </c>
      <c r="E66" t="s">
        <v>1350</v>
      </c>
      <c r="F66" t="str">
        <f>VLOOKUP(E66, 'POS Categories'!$A$1:$B$1999, 2, FALSE)</f>
        <v>Entertainment</v>
      </c>
    </row>
    <row r="67" spans="1:6" x14ac:dyDescent="0.25">
      <c r="A67">
        <v>45209</v>
      </c>
      <c r="B67">
        <v>-2.4300000000000002</v>
      </c>
      <c r="C67" t="s">
        <v>385</v>
      </c>
      <c r="D67" t="s">
        <v>388</v>
      </c>
      <c r="E67" t="s">
        <v>408</v>
      </c>
      <c r="F67" t="str">
        <f>VLOOKUP(E67, 'POS Categories'!$A$1:$B$1999, 2, FALSE)</f>
        <v>Food</v>
      </c>
    </row>
    <row r="68" spans="1:6" x14ac:dyDescent="0.25">
      <c r="A68">
        <v>45209</v>
      </c>
      <c r="B68">
        <v>-10.83</v>
      </c>
      <c r="C68" t="s">
        <v>385</v>
      </c>
      <c r="D68" t="s">
        <v>388</v>
      </c>
      <c r="E68" t="s">
        <v>408</v>
      </c>
      <c r="F68" t="str">
        <f>VLOOKUP(E68, 'POS Categories'!$A$1:$B$1999, 2, FALSE)</f>
        <v>Food</v>
      </c>
    </row>
    <row r="69" spans="1:6" x14ac:dyDescent="0.25">
      <c r="A69">
        <v>45209</v>
      </c>
      <c r="B69">
        <v>-6.42</v>
      </c>
      <c r="C69" t="s">
        <v>385</v>
      </c>
      <c r="D69" t="s">
        <v>388</v>
      </c>
      <c r="E69" t="s">
        <v>179</v>
      </c>
      <c r="F69" t="str">
        <f>VLOOKUP(E69, 'POS Categories'!$A$1:$B$1999, 2, FALSE)</f>
        <v>Food</v>
      </c>
    </row>
    <row r="70" spans="1:6" x14ac:dyDescent="0.25">
      <c r="A70">
        <v>45206</v>
      </c>
      <c r="B70">
        <v>-110.61</v>
      </c>
      <c r="C70" t="s">
        <v>385</v>
      </c>
      <c r="D70" t="s">
        <v>388</v>
      </c>
      <c r="E70" t="s">
        <v>411</v>
      </c>
      <c r="F70" t="str">
        <f>VLOOKUP(E70, 'POS Categories'!$A$1:$B$1999, 2, FALSE)</f>
        <v>Sasktel</v>
      </c>
    </row>
    <row r="71" spans="1:6" x14ac:dyDescent="0.25">
      <c r="A71">
        <v>45206</v>
      </c>
      <c r="B71">
        <v>-1.1100000000000001</v>
      </c>
      <c r="C71" t="s">
        <v>385</v>
      </c>
      <c r="D71" t="s">
        <v>388</v>
      </c>
      <c r="E71" t="s">
        <v>1225</v>
      </c>
      <c r="F71" t="str">
        <f>VLOOKUP(E71, 'POS Categories'!$A$1:$B$1999, 2, FALSE)</f>
        <v>Food</v>
      </c>
    </row>
    <row r="72" spans="1:6" x14ac:dyDescent="0.25">
      <c r="A72">
        <v>45205</v>
      </c>
      <c r="B72">
        <v>-14.76</v>
      </c>
      <c r="C72" t="s">
        <v>385</v>
      </c>
      <c r="D72" t="s">
        <v>388</v>
      </c>
      <c r="E72" t="s">
        <v>1225</v>
      </c>
      <c r="F72" t="str">
        <f>VLOOKUP(E72, 'POS Categories'!$A$1:$B$1999, 2, FALSE)</f>
        <v>Food</v>
      </c>
    </row>
    <row r="73" spans="1:6" x14ac:dyDescent="0.25">
      <c r="A73">
        <v>45205</v>
      </c>
      <c r="B73">
        <v>-22.26</v>
      </c>
      <c r="C73" t="s">
        <v>385</v>
      </c>
      <c r="D73" t="s">
        <v>388</v>
      </c>
      <c r="E73" t="s">
        <v>8</v>
      </c>
      <c r="F73" t="str">
        <f>VLOOKUP(E73, 'POS Categories'!$A$1:$B$1999, 2, FALSE)</f>
        <v>Food</v>
      </c>
    </row>
    <row r="74" spans="1:6" x14ac:dyDescent="0.25">
      <c r="A74">
        <v>45205</v>
      </c>
      <c r="B74">
        <v>2483.59</v>
      </c>
      <c r="C74" t="s">
        <v>385</v>
      </c>
      <c r="D74" t="s">
        <v>386</v>
      </c>
      <c r="E74" t="s">
        <v>1193</v>
      </c>
      <c r="F74" t="str">
        <f>VLOOKUP(E74, 'POS Categories'!$A$1:$B$1999, 2, FALSE)</f>
        <v>Job</v>
      </c>
    </row>
    <row r="75" spans="1:6" x14ac:dyDescent="0.25">
      <c r="A75">
        <v>45204</v>
      </c>
      <c r="B75">
        <v>-27.73</v>
      </c>
      <c r="C75" t="s">
        <v>385</v>
      </c>
      <c r="D75" t="s">
        <v>388</v>
      </c>
      <c r="E75" t="s">
        <v>1281</v>
      </c>
      <c r="F75" t="str">
        <f>VLOOKUP(E75, 'POS Categories'!$A$1:$B$1999, 2, FALSE)</f>
        <v>Food</v>
      </c>
    </row>
    <row r="76" spans="1:6" x14ac:dyDescent="0.25">
      <c r="A76">
        <v>45204</v>
      </c>
      <c r="B76">
        <v>-2.4300000000000002</v>
      </c>
      <c r="C76" t="s">
        <v>385</v>
      </c>
      <c r="D76" t="s">
        <v>388</v>
      </c>
      <c r="E76" t="s">
        <v>408</v>
      </c>
      <c r="F76" t="str">
        <f>VLOOKUP(E76, 'POS Categories'!$A$1:$B$1999, 2, FALSE)</f>
        <v>Food</v>
      </c>
    </row>
    <row r="77" spans="1:6" x14ac:dyDescent="0.25">
      <c r="A77">
        <v>45204</v>
      </c>
      <c r="B77">
        <v>-12.88</v>
      </c>
      <c r="C77" t="s">
        <v>385</v>
      </c>
      <c r="D77" t="s">
        <v>388</v>
      </c>
      <c r="E77" t="s">
        <v>1225</v>
      </c>
      <c r="F77" t="str">
        <f>VLOOKUP(E77, 'POS Categories'!$A$1:$B$1999, 2, FALSE)</f>
        <v>Food</v>
      </c>
    </row>
    <row r="78" spans="1:6" x14ac:dyDescent="0.25">
      <c r="A78">
        <v>45203</v>
      </c>
      <c r="B78">
        <v>-2.4300000000000002</v>
      </c>
      <c r="C78" t="s">
        <v>385</v>
      </c>
      <c r="D78" t="s">
        <v>388</v>
      </c>
      <c r="E78" t="s">
        <v>408</v>
      </c>
      <c r="F78" t="str">
        <f>VLOOKUP(E78, 'POS Categories'!$A$1:$B$1999, 2, FALSE)</f>
        <v>Food</v>
      </c>
    </row>
    <row r="79" spans="1:6" x14ac:dyDescent="0.25">
      <c r="A79">
        <v>45202</v>
      </c>
      <c r="B79">
        <v>-1425</v>
      </c>
      <c r="C79" t="s">
        <v>385</v>
      </c>
      <c r="D79" t="s">
        <v>414</v>
      </c>
      <c r="E79" t="s">
        <v>1224</v>
      </c>
      <c r="F79" t="str">
        <f>VLOOKUP(E79, 'POS Categories'!$A$1:$B$1999, 2, FALSE)</f>
        <v>Rent</v>
      </c>
    </row>
    <row r="80" spans="1:6" x14ac:dyDescent="0.25">
      <c r="A80">
        <v>45202</v>
      </c>
      <c r="B80">
        <v>-6.3</v>
      </c>
      <c r="C80" t="s">
        <v>385</v>
      </c>
      <c r="D80" t="s">
        <v>388</v>
      </c>
      <c r="E80" t="s">
        <v>408</v>
      </c>
      <c r="F80" t="str">
        <f>VLOOKUP(E80, 'POS Categories'!$A$1:$B$1999, 2, FALSE)</f>
        <v>Food</v>
      </c>
    </row>
    <row r="81" spans="1:6" x14ac:dyDescent="0.25">
      <c r="A81">
        <v>45202</v>
      </c>
      <c r="B81">
        <v>-11.98</v>
      </c>
      <c r="C81" t="s">
        <v>385</v>
      </c>
      <c r="D81" t="s">
        <v>388</v>
      </c>
      <c r="E81" t="s">
        <v>157</v>
      </c>
      <c r="F81" t="str">
        <f>VLOOKUP(E81, 'POS Categories'!$A$1:$B$1999, 2, FALSE)</f>
        <v>Personal</v>
      </c>
    </row>
    <row r="82" spans="1:6" x14ac:dyDescent="0.25">
      <c r="A82">
        <v>45202</v>
      </c>
      <c r="B82">
        <v>-15.12</v>
      </c>
      <c r="C82" t="s">
        <v>385</v>
      </c>
      <c r="D82" t="s">
        <v>388</v>
      </c>
      <c r="E82" t="s">
        <v>1198</v>
      </c>
      <c r="F82" t="str">
        <f>VLOOKUP(E82, 'POS Categories'!$A$1:$B$1999, 2, FALSE)</f>
        <v>Entertainment</v>
      </c>
    </row>
    <row r="83" spans="1:6" x14ac:dyDescent="0.25">
      <c r="A83">
        <v>45202</v>
      </c>
      <c r="B83">
        <v>-35.840000000000003</v>
      </c>
      <c r="C83" t="s">
        <v>385</v>
      </c>
      <c r="D83" t="s">
        <v>388</v>
      </c>
      <c r="E83" t="s">
        <v>452</v>
      </c>
      <c r="F83" t="str">
        <f>VLOOKUP(E83, 'POS Categories'!$A$1:$B$1999, 2, FALSE)</f>
        <v>Food</v>
      </c>
    </row>
    <row r="84" spans="1:6" x14ac:dyDescent="0.25">
      <c r="A84">
        <v>45202</v>
      </c>
      <c r="B84">
        <v>-24.84</v>
      </c>
      <c r="C84" t="s">
        <v>385</v>
      </c>
      <c r="D84" t="s">
        <v>388</v>
      </c>
      <c r="E84" t="s">
        <v>1245</v>
      </c>
      <c r="F84" t="str">
        <f>VLOOKUP(E84, 'POS Categories'!$A$1:$B$1999, 2, FALSE)</f>
        <v>Food</v>
      </c>
    </row>
    <row r="85" spans="1:6" x14ac:dyDescent="0.25">
      <c r="A85">
        <v>45202</v>
      </c>
      <c r="B85">
        <v>-9.98</v>
      </c>
      <c r="C85" t="s">
        <v>385</v>
      </c>
      <c r="D85" t="s">
        <v>388</v>
      </c>
      <c r="E85" t="s">
        <v>1244</v>
      </c>
      <c r="F85" t="str">
        <f>VLOOKUP(E85, 'POS Categories'!$A$1:$B$1999, 2, FALSE)</f>
        <v>Food</v>
      </c>
    </row>
    <row r="86" spans="1:6" x14ac:dyDescent="0.25">
      <c r="A86">
        <v>45202</v>
      </c>
      <c r="B86">
        <v>-2.4300000000000002</v>
      </c>
      <c r="C86" t="s">
        <v>385</v>
      </c>
      <c r="D86" t="s">
        <v>388</v>
      </c>
      <c r="E86" t="s">
        <v>408</v>
      </c>
      <c r="F86" t="str">
        <f>VLOOKUP(E86, 'POS Categories'!$A$1:$B$1999, 2, FALSE)</f>
        <v>Food</v>
      </c>
    </row>
    <row r="87" spans="1:6" x14ac:dyDescent="0.25">
      <c r="A87">
        <v>45202</v>
      </c>
      <c r="B87">
        <v>-8.19</v>
      </c>
      <c r="C87" t="s">
        <v>385</v>
      </c>
      <c r="D87" t="s">
        <v>388</v>
      </c>
      <c r="E87" t="s">
        <v>317</v>
      </c>
      <c r="F87" t="str">
        <f>VLOOKUP(E87, 'POS Categories'!$A$1:$B$1999, 2, FALSE)</f>
        <v>Food</v>
      </c>
    </row>
    <row r="88" spans="1:6" x14ac:dyDescent="0.25">
      <c r="A88">
        <v>45202</v>
      </c>
      <c r="B88">
        <v>-375</v>
      </c>
      <c r="C88" t="s">
        <v>385</v>
      </c>
      <c r="D88" t="s">
        <v>466</v>
      </c>
      <c r="E88" t="s">
        <v>200</v>
      </c>
      <c r="F88" t="str">
        <f>VLOOKUP(E88, 'POS Categories'!$A$1:$B$1999, 2, FALSE)</f>
        <v>Bills</v>
      </c>
    </row>
    <row r="89" spans="1:6" x14ac:dyDescent="0.25">
      <c r="A89">
        <v>45202</v>
      </c>
      <c r="B89">
        <v>-17.059999999999999</v>
      </c>
      <c r="C89" t="s">
        <v>385</v>
      </c>
      <c r="D89" t="s">
        <v>388</v>
      </c>
      <c r="E89" t="s">
        <v>408</v>
      </c>
      <c r="F89" t="str">
        <f>VLOOKUP(E89, 'POS Categories'!$A$1:$B$1999, 2, FALSE)</f>
        <v>Food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7"/>
  <sheetViews>
    <sheetView topLeftCell="A37" workbookViewId="0">
      <selection activeCell="A44" sqref="A44:XFD44"/>
    </sheetView>
  </sheetViews>
  <sheetFormatPr defaultRowHeight="15" x14ac:dyDescent="0.25"/>
  <cols>
    <col min="4" max="4" width="23.28515625" bestFit="1" customWidth="1"/>
    <col min="5" max="5" width="33.28515625" bestFit="1" customWidth="1"/>
  </cols>
  <sheetData>
    <row r="1" spans="1:6" x14ac:dyDescent="0.25">
      <c r="A1">
        <v>45198</v>
      </c>
      <c r="B1">
        <v>-35.380000000000003</v>
      </c>
      <c r="C1" t="s">
        <v>385</v>
      </c>
      <c r="D1" t="s">
        <v>388</v>
      </c>
      <c r="E1" t="s">
        <v>1336</v>
      </c>
      <c r="F1" t="str">
        <f>VLOOKUP(E1, 'POS Categories'!$A$1:$B$1999, 2, FALSE)</f>
        <v>Food</v>
      </c>
    </row>
    <row r="2" spans="1:6" x14ac:dyDescent="0.25">
      <c r="A2">
        <v>45198</v>
      </c>
      <c r="B2">
        <v>-70.099999999999994</v>
      </c>
      <c r="C2" t="s">
        <v>385</v>
      </c>
      <c r="D2" t="s">
        <v>388</v>
      </c>
      <c r="E2" t="s">
        <v>395</v>
      </c>
      <c r="F2" t="str">
        <f>VLOOKUP(E2, 'POS Categories'!$A$1:$B$1999, 2, FALSE)</f>
        <v>Vehicle</v>
      </c>
    </row>
    <row r="3" spans="1:6" x14ac:dyDescent="0.25">
      <c r="A3">
        <v>45198</v>
      </c>
      <c r="B3">
        <v>-14.76</v>
      </c>
      <c r="C3" t="s">
        <v>385</v>
      </c>
      <c r="D3" t="s">
        <v>388</v>
      </c>
      <c r="E3" t="s">
        <v>1225</v>
      </c>
      <c r="F3" t="str">
        <f>VLOOKUP(E3, 'POS Categories'!$A$1:$B$1999, 2, FALSE)</f>
        <v>Food</v>
      </c>
    </row>
    <row r="4" spans="1:6" x14ac:dyDescent="0.25">
      <c r="A4">
        <v>45197</v>
      </c>
      <c r="B4">
        <v>-31.6</v>
      </c>
      <c r="C4" t="s">
        <v>385</v>
      </c>
      <c r="D4" t="s">
        <v>388</v>
      </c>
      <c r="E4" t="s">
        <v>1281</v>
      </c>
      <c r="F4" t="str">
        <f>VLOOKUP(E4, 'POS Categories'!$A$1:$B$1999, 2, FALSE)</f>
        <v>Food</v>
      </c>
    </row>
    <row r="5" spans="1:6" x14ac:dyDescent="0.25">
      <c r="A5">
        <v>45197</v>
      </c>
      <c r="B5">
        <v>-18.62</v>
      </c>
      <c r="C5" t="s">
        <v>385</v>
      </c>
      <c r="D5" t="s">
        <v>388</v>
      </c>
      <c r="E5" t="s">
        <v>240</v>
      </c>
      <c r="F5" t="str">
        <f>VLOOKUP(E5, 'POS Categories'!$A$1:$B$1999, 2, FALSE)</f>
        <v>Food</v>
      </c>
    </row>
    <row r="6" spans="1:6" x14ac:dyDescent="0.25">
      <c r="A6">
        <v>45197</v>
      </c>
      <c r="B6">
        <v>-7.94</v>
      </c>
      <c r="C6" t="s">
        <v>385</v>
      </c>
      <c r="D6" t="s">
        <v>388</v>
      </c>
      <c r="E6" t="s">
        <v>1225</v>
      </c>
      <c r="F6" t="str">
        <f>VLOOKUP(E6, 'POS Categories'!$A$1:$B$1999, 2, FALSE)</f>
        <v>Food</v>
      </c>
    </row>
    <row r="7" spans="1:6" x14ac:dyDescent="0.25">
      <c r="A7">
        <v>45196</v>
      </c>
      <c r="B7">
        <v>-12.97</v>
      </c>
      <c r="C7" t="s">
        <v>385</v>
      </c>
      <c r="D7" t="s">
        <v>388</v>
      </c>
      <c r="E7" t="s">
        <v>174</v>
      </c>
      <c r="F7" t="str">
        <f>VLOOKUP(E7, 'POS Categories'!$A$1:$B$1999, 2, FALSE)</f>
        <v>Food</v>
      </c>
    </row>
    <row r="8" spans="1:6" x14ac:dyDescent="0.25">
      <c r="A8">
        <v>45195</v>
      </c>
      <c r="B8">
        <v>-107.59</v>
      </c>
      <c r="C8" t="s">
        <v>385</v>
      </c>
      <c r="D8" t="s">
        <v>388</v>
      </c>
      <c r="E8" t="s">
        <v>320</v>
      </c>
      <c r="F8" t="str">
        <f>VLOOKUP(E8, 'POS Categories'!$A$1:$B$1999, 2, FALSE)</f>
        <v>Sports</v>
      </c>
    </row>
    <row r="9" spans="1:6" x14ac:dyDescent="0.25">
      <c r="A9">
        <v>45194</v>
      </c>
      <c r="B9">
        <v>-29.94</v>
      </c>
      <c r="C9" t="s">
        <v>385</v>
      </c>
      <c r="D9" t="s">
        <v>388</v>
      </c>
      <c r="E9" t="s">
        <v>149</v>
      </c>
      <c r="F9" t="str">
        <f>VLOOKUP(E9, 'POS Categories'!$A$1:$B$1999, 2, FALSE)</f>
        <v>Food</v>
      </c>
    </row>
    <row r="10" spans="1:6" x14ac:dyDescent="0.25">
      <c r="A10">
        <v>45192</v>
      </c>
      <c r="B10">
        <v>-11.42</v>
      </c>
      <c r="C10" t="s">
        <v>385</v>
      </c>
      <c r="D10" t="s">
        <v>388</v>
      </c>
      <c r="E10" t="s">
        <v>183</v>
      </c>
      <c r="F10" t="str">
        <f>VLOOKUP(E10, 'POS Categories'!$A$1:$B$1999, 2, FALSE)</f>
        <v>Food</v>
      </c>
    </row>
    <row r="11" spans="1:6" x14ac:dyDescent="0.25">
      <c r="A11">
        <v>45192</v>
      </c>
      <c r="B11">
        <v>-30.59</v>
      </c>
      <c r="C11" t="s">
        <v>385</v>
      </c>
      <c r="D11" t="s">
        <v>388</v>
      </c>
      <c r="E11" t="s">
        <v>171</v>
      </c>
      <c r="F11" t="str">
        <f>VLOOKUP(E11, 'POS Categories'!$A$1:$B$1999, 2, FALSE)</f>
        <v>Food</v>
      </c>
    </row>
    <row r="12" spans="1:6" x14ac:dyDescent="0.25">
      <c r="A12">
        <v>45192</v>
      </c>
      <c r="B12">
        <v>-18.86</v>
      </c>
      <c r="C12" t="s">
        <v>385</v>
      </c>
      <c r="D12" t="s">
        <v>388</v>
      </c>
      <c r="E12" t="s">
        <v>8</v>
      </c>
      <c r="F12" t="str">
        <f>VLOOKUP(E12, 'POS Categories'!$A$1:$B$1999, 2, FALSE)</f>
        <v>Food</v>
      </c>
    </row>
    <row r="13" spans="1:6" x14ac:dyDescent="0.25">
      <c r="A13">
        <v>45191</v>
      </c>
      <c r="B13">
        <v>-35.380000000000003</v>
      </c>
      <c r="C13" t="s">
        <v>385</v>
      </c>
      <c r="D13" t="s">
        <v>388</v>
      </c>
      <c r="E13" t="s">
        <v>1336</v>
      </c>
      <c r="F13" t="str">
        <f>VLOOKUP(E13, 'POS Categories'!$A$1:$B$1999, 2, FALSE)</f>
        <v>Food</v>
      </c>
    </row>
    <row r="14" spans="1:6" x14ac:dyDescent="0.25">
      <c r="A14">
        <v>45191</v>
      </c>
      <c r="B14">
        <v>-4.53</v>
      </c>
      <c r="C14" t="s">
        <v>385</v>
      </c>
      <c r="D14" t="s">
        <v>388</v>
      </c>
      <c r="E14" t="s">
        <v>408</v>
      </c>
      <c r="F14" t="str">
        <f>VLOOKUP(E14, 'POS Categories'!$A$1:$B$1999, 2, FALSE)</f>
        <v>Food</v>
      </c>
    </row>
    <row r="15" spans="1:6" x14ac:dyDescent="0.25">
      <c r="A15">
        <v>45191</v>
      </c>
      <c r="B15">
        <v>2124.8000000000002</v>
      </c>
      <c r="C15" t="s">
        <v>385</v>
      </c>
      <c r="D15" t="s">
        <v>386</v>
      </c>
      <c r="E15" t="s">
        <v>1193</v>
      </c>
      <c r="F15" t="str">
        <f>VLOOKUP(E15, 'POS Categories'!$A$1:$B$1999, 2, FALSE)</f>
        <v>Job</v>
      </c>
    </row>
    <row r="16" spans="1:6" x14ac:dyDescent="0.25">
      <c r="A16">
        <v>45190</v>
      </c>
      <c r="B16">
        <v>-19.84</v>
      </c>
      <c r="C16" t="s">
        <v>385</v>
      </c>
      <c r="D16" t="s">
        <v>388</v>
      </c>
      <c r="E16" t="s">
        <v>1281</v>
      </c>
      <c r="F16" t="str">
        <f>VLOOKUP(E16, 'POS Categories'!$A$1:$B$1999, 2, FALSE)</f>
        <v>Food</v>
      </c>
    </row>
    <row r="17" spans="1:6" x14ac:dyDescent="0.25">
      <c r="A17">
        <v>45190</v>
      </c>
      <c r="B17">
        <v>-70.34</v>
      </c>
      <c r="C17" t="s">
        <v>385</v>
      </c>
      <c r="D17" t="s">
        <v>435</v>
      </c>
      <c r="E17" t="s">
        <v>1257</v>
      </c>
      <c r="F17" t="str">
        <f>VLOOKUP(E17, 'POS Categories'!$A$1:$B$1999, 2, FALSE)</f>
        <v>Power</v>
      </c>
    </row>
    <row r="18" spans="1:6" x14ac:dyDescent="0.25">
      <c r="A18">
        <v>45189</v>
      </c>
      <c r="B18">
        <v>-16.07</v>
      </c>
      <c r="C18" t="s">
        <v>385</v>
      </c>
      <c r="D18" t="s">
        <v>388</v>
      </c>
      <c r="E18" t="s">
        <v>149</v>
      </c>
      <c r="F18" t="str">
        <f>VLOOKUP(E18, 'POS Categories'!$A$1:$B$1999, 2, FALSE)</f>
        <v>Food</v>
      </c>
    </row>
    <row r="19" spans="1:6" x14ac:dyDescent="0.25">
      <c r="A19">
        <v>45189</v>
      </c>
      <c r="B19">
        <v>-45</v>
      </c>
      <c r="C19" t="s">
        <v>385</v>
      </c>
      <c r="D19" t="s">
        <v>388</v>
      </c>
      <c r="E19" t="s">
        <v>343</v>
      </c>
      <c r="F19" t="str">
        <f>VLOOKUP(E19, 'POS Categories'!$A$1:$B$1999, 2, FALSE)</f>
        <v>Sports</v>
      </c>
    </row>
    <row r="20" spans="1:6" x14ac:dyDescent="0.25">
      <c r="A20">
        <v>45188</v>
      </c>
      <c r="B20">
        <v>-18.86</v>
      </c>
      <c r="C20" t="s">
        <v>385</v>
      </c>
      <c r="D20" t="s">
        <v>388</v>
      </c>
      <c r="E20" t="s">
        <v>8</v>
      </c>
      <c r="F20" t="str">
        <f>VLOOKUP(E20, 'POS Categories'!$A$1:$B$1999, 2, FALSE)</f>
        <v>Food</v>
      </c>
    </row>
    <row r="21" spans="1:6" x14ac:dyDescent="0.25">
      <c r="A21">
        <v>45187</v>
      </c>
      <c r="B21">
        <v>-62.07</v>
      </c>
      <c r="C21" t="s">
        <v>385</v>
      </c>
      <c r="D21" t="s">
        <v>388</v>
      </c>
      <c r="E21" t="s">
        <v>1341</v>
      </c>
      <c r="F21" t="str">
        <f>VLOOKUP(E21, 'POS Categories'!$A$1:$B$1999, 2, FALSE)</f>
        <v>Entertainment</v>
      </c>
    </row>
    <row r="22" spans="1:6" x14ac:dyDescent="0.25">
      <c r="A22">
        <v>45187</v>
      </c>
      <c r="B22">
        <v>-56.25</v>
      </c>
      <c r="C22" t="s">
        <v>385</v>
      </c>
      <c r="D22" t="s">
        <v>388</v>
      </c>
      <c r="E22" t="s">
        <v>1330</v>
      </c>
      <c r="F22" t="str">
        <f>VLOOKUP(E22, 'POS Categories'!$A$1:$B$1999, 2, FALSE)</f>
        <v>Vehicle</v>
      </c>
    </row>
    <row r="23" spans="1:6" x14ac:dyDescent="0.25">
      <c r="A23">
        <v>45187</v>
      </c>
      <c r="B23">
        <v>-15.54</v>
      </c>
      <c r="C23" t="s">
        <v>385</v>
      </c>
      <c r="D23" t="s">
        <v>388</v>
      </c>
      <c r="E23" t="s">
        <v>1225</v>
      </c>
      <c r="F23" t="str">
        <f>VLOOKUP(E23, 'POS Categories'!$A$1:$B$1999, 2, FALSE)</f>
        <v>Food</v>
      </c>
    </row>
    <row r="24" spans="1:6" x14ac:dyDescent="0.25">
      <c r="A24">
        <v>45187</v>
      </c>
      <c r="B24">
        <v>-6.66</v>
      </c>
      <c r="C24" t="s">
        <v>385</v>
      </c>
      <c r="D24" t="s">
        <v>388</v>
      </c>
      <c r="E24" t="s">
        <v>287</v>
      </c>
      <c r="F24" t="str">
        <f>VLOOKUP(E24, 'POS Categories'!$A$1:$B$1999, 2, FALSE)</f>
        <v>Food</v>
      </c>
    </row>
    <row r="25" spans="1:6" x14ac:dyDescent="0.25">
      <c r="A25">
        <v>45187</v>
      </c>
      <c r="B25">
        <v>-25</v>
      </c>
      <c r="C25" t="s">
        <v>385</v>
      </c>
      <c r="D25" t="s">
        <v>388</v>
      </c>
      <c r="E25" t="s">
        <v>1320</v>
      </c>
      <c r="F25" t="str">
        <f>VLOOKUP(E25, 'POS Categories'!$A$1:$B$1999, 2, FALSE)</f>
        <v>Sports</v>
      </c>
    </row>
    <row r="26" spans="1:6" x14ac:dyDescent="0.25">
      <c r="A26">
        <v>45187</v>
      </c>
      <c r="B26">
        <v>-7.98</v>
      </c>
      <c r="C26" t="s">
        <v>385</v>
      </c>
      <c r="D26" t="s">
        <v>388</v>
      </c>
      <c r="E26" t="s">
        <v>395</v>
      </c>
      <c r="F26" t="str">
        <f>VLOOKUP(E26, 'POS Categories'!$A$1:$B$1999, 2, FALSE)</f>
        <v>Vehicle</v>
      </c>
    </row>
    <row r="27" spans="1:6" x14ac:dyDescent="0.25">
      <c r="A27">
        <v>45187</v>
      </c>
      <c r="B27">
        <v>-10</v>
      </c>
      <c r="C27" t="s">
        <v>385</v>
      </c>
      <c r="D27" t="s">
        <v>400</v>
      </c>
      <c r="E27" t="s">
        <v>401</v>
      </c>
      <c r="F27" t="str">
        <f>VLOOKUP(E27, 'POS Categories'!$A$1:$B$1999, 2, FALSE)</f>
        <v>Misc</v>
      </c>
    </row>
    <row r="28" spans="1:6" x14ac:dyDescent="0.25">
      <c r="A28">
        <v>45187</v>
      </c>
      <c r="B28">
        <v>-12.19</v>
      </c>
      <c r="C28" t="s">
        <v>385</v>
      </c>
      <c r="D28" t="s">
        <v>400</v>
      </c>
      <c r="E28" t="s">
        <v>401</v>
      </c>
      <c r="F28" t="str">
        <f>VLOOKUP(E28, 'POS Categories'!$A$1:$B$1999, 2, FALSE)</f>
        <v>Misc</v>
      </c>
    </row>
    <row r="29" spans="1:6" x14ac:dyDescent="0.25">
      <c r="A29">
        <v>45185</v>
      </c>
      <c r="B29">
        <v>-15.54</v>
      </c>
      <c r="C29" t="s">
        <v>385</v>
      </c>
      <c r="D29" t="s">
        <v>388</v>
      </c>
      <c r="E29" t="s">
        <v>1225</v>
      </c>
      <c r="F29" t="str">
        <f>VLOOKUP(E29, 'POS Categories'!$A$1:$B$1999, 2, FALSE)</f>
        <v>Food</v>
      </c>
    </row>
    <row r="30" spans="1:6" x14ac:dyDescent="0.25">
      <c r="A30">
        <v>45185</v>
      </c>
      <c r="B30">
        <v>-40.64</v>
      </c>
      <c r="C30" t="s">
        <v>385</v>
      </c>
      <c r="D30" t="s">
        <v>388</v>
      </c>
      <c r="E30" t="s">
        <v>82</v>
      </c>
      <c r="F30" t="str">
        <f>VLOOKUP(E30, 'POS Categories'!$A$1:$B$1999, 2, FALSE)</f>
        <v>Vehicle</v>
      </c>
    </row>
    <row r="31" spans="1:6" x14ac:dyDescent="0.25">
      <c r="A31">
        <v>45185</v>
      </c>
      <c r="B31">
        <v>-81.290000000000006</v>
      </c>
      <c r="C31" t="s">
        <v>385</v>
      </c>
      <c r="D31" t="s">
        <v>388</v>
      </c>
      <c r="E31" t="s">
        <v>1342</v>
      </c>
      <c r="F31" t="str">
        <f>VLOOKUP(E31, 'POS Categories'!$A$1:$B$1999, 2, FALSE)</f>
        <v>Food</v>
      </c>
    </row>
    <row r="32" spans="1:6" x14ac:dyDescent="0.25">
      <c r="A32">
        <v>45184</v>
      </c>
      <c r="B32">
        <v>-21.4</v>
      </c>
      <c r="C32" t="s">
        <v>385</v>
      </c>
      <c r="D32" t="s">
        <v>388</v>
      </c>
      <c r="E32" t="s">
        <v>395</v>
      </c>
      <c r="F32" t="str">
        <f>VLOOKUP(E32, 'POS Categories'!$A$1:$B$1999, 2, FALSE)</f>
        <v>Vehicle</v>
      </c>
    </row>
    <row r="33" spans="1:6" x14ac:dyDescent="0.25">
      <c r="A33">
        <v>45184</v>
      </c>
      <c r="B33">
        <v>-24.63</v>
      </c>
      <c r="C33" t="s">
        <v>385</v>
      </c>
      <c r="D33" t="s">
        <v>388</v>
      </c>
      <c r="E33" t="s">
        <v>395</v>
      </c>
      <c r="F33" t="str">
        <f>VLOOKUP(E33, 'POS Categories'!$A$1:$B$1999, 2, FALSE)</f>
        <v>Vehicle</v>
      </c>
    </row>
    <row r="34" spans="1:6" x14ac:dyDescent="0.25">
      <c r="A34">
        <v>45184</v>
      </c>
      <c r="B34">
        <v>-11.66</v>
      </c>
      <c r="C34" t="s">
        <v>385</v>
      </c>
      <c r="D34" t="s">
        <v>388</v>
      </c>
      <c r="E34" t="s">
        <v>1343</v>
      </c>
      <c r="F34" t="str">
        <f>VLOOKUP(E34, 'POS Categories'!$A$1:$B$1999, 2, FALSE)</f>
        <v>Food</v>
      </c>
    </row>
    <row r="35" spans="1:6" x14ac:dyDescent="0.25">
      <c r="A35">
        <v>45184</v>
      </c>
      <c r="B35">
        <v>-66.55</v>
      </c>
      <c r="C35" t="s">
        <v>385</v>
      </c>
      <c r="D35" t="s">
        <v>388</v>
      </c>
      <c r="E35" t="s">
        <v>175</v>
      </c>
      <c r="F35" t="str">
        <f>VLOOKUP(E35, 'POS Categories'!$A$1:$B$1999, 2, FALSE)</f>
        <v>Sasktel</v>
      </c>
    </row>
    <row r="36" spans="1:6" x14ac:dyDescent="0.25">
      <c r="A36">
        <v>45183</v>
      </c>
      <c r="B36">
        <v>-26.65</v>
      </c>
      <c r="C36" t="s">
        <v>385</v>
      </c>
      <c r="D36" t="s">
        <v>388</v>
      </c>
      <c r="E36" t="s">
        <v>1196</v>
      </c>
      <c r="F36" t="str">
        <f>VLOOKUP(E36, 'POS Categories'!$A$1:$B$1999, 2, FALSE)</f>
        <v>Food</v>
      </c>
    </row>
    <row r="37" spans="1:6" x14ac:dyDescent="0.25">
      <c r="A37">
        <v>45183</v>
      </c>
      <c r="B37">
        <v>-26.65</v>
      </c>
      <c r="C37" t="s">
        <v>385</v>
      </c>
      <c r="D37" t="s">
        <v>388</v>
      </c>
      <c r="E37" t="s">
        <v>1344</v>
      </c>
      <c r="F37" t="str">
        <f>VLOOKUP(E37, 'POS Categories'!$A$1:$B$1999, 2, FALSE)</f>
        <v>Food</v>
      </c>
    </row>
    <row r="38" spans="1:6" x14ac:dyDescent="0.25">
      <c r="A38">
        <v>45183</v>
      </c>
      <c r="B38">
        <v>-7.75</v>
      </c>
      <c r="C38" t="s">
        <v>385</v>
      </c>
      <c r="D38" t="s">
        <v>388</v>
      </c>
      <c r="E38" t="s">
        <v>408</v>
      </c>
      <c r="F38" t="str">
        <f>VLOOKUP(E38, 'POS Categories'!$A$1:$B$1999, 2, FALSE)</f>
        <v>Food</v>
      </c>
    </row>
    <row r="39" spans="1:6" x14ac:dyDescent="0.25">
      <c r="A39">
        <v>45182</v>
      </c>
      <c r="B39">
        <v>-41.45</v>
      </c>
      <c r="C39" t="s">
        <v>385</v>
      </c>
      <c r="D39" t="s">
        <v>388</v>
      </c>
      <c r="E39" t="s">
        <v>1312</v>
      </c>
      <c r="F39" t="str">
        <f>VLOOKUP(E39, 'POS Categories'!$A$1:$B$1999, 2, FALSE)</f>
        <v>Food</v>
      </c>
    </row>
    <row r="40" spans="1:6" x14ac:dyDescent="0.25">
      <c r="A40">
        <v>45182</v>
      </c>
      <c r="B40">
        <v>-33.5</v>
      </c>
      <c r="C40" t="s">
        <v>385</v>
      </c>
      <c r="D40" t="s">
        <v>388</v>
      </c>
      <c r="E40" t="s">
        <v>199</v>
      </c>
      <c r="F40" t="str">
        <f>VLOOKUP(E40, 'POS Categories'!$A$1:$B$1999, 2, FALSE)</f>
        <v>Personal</v>
      </c>
    </row>
    <row r="41" spans="1:6" x14ac:dyDescent="0.25">
      <c r="A41">
        <v>45182</v>
      </c>
      <c r="B41">
        <v>-7.54</v>
      </c>
      <c r="C41" t="s">
        <v>385</v>
      </c>
      <c r="D41" t="s">
        <v>388</v>
      </c>
      <c r="E41" t="s">
        <v>202</v>
      </c>
      <c r="F41" t="str">
        <f>VLOOKUP(E41, 'POS Categories'!$A$1:$B$1999, 2, FALSE)</f>
        <v>Food</v>
      </c>
    </row>
    <row r="42" spans="1:6" x14ac:dyDescent="0.25">
      <c r="A42">
        <v>45181</v>
      </c>
      <c r="B42">
        <v>-7.08</v>
      </c>
      <c r="C42" t="s">
        <v>385</v>
      </c>
      <c r="D42" t="s">
        <v>388</v>
      </c>
      <c r="E42" t="s">
        <v>1318</v>
      </c>
      <c r="F42" t="str">
        <f>VLOOKUP(E42, 'POS Categories'!$A$1:$B$1999, 2, FALSE)</f>
        <v>Food</v>
      </c>
    </row>
    <row r="43" spans="1:6" x14ac:dyDescent="0.25">
      <c r="A43">
        <v>45181</v>
      </c>
      <c r="B43">
        <v>-63.54</v>
      </c>
      <c r="C43" t="s">
        <v>385</v>
      </c>
      <c r="D43" t="s">
        <v>388</v>
      </c>
      <c r="E43" t="s">
        <v>395</v>
      </c>
      <c r="F43" t="str">
        <f>VLOOKUP(E43, 'POS Categories'!$A$1:$B$1999, 2, FALSE)</f>
        <v>Vehicle</v>
      </c>
    </row>
    <row r="44" spans="1:6" x14ac:dyDescent="0.25">
      <c r="A44">
        <v>45181</v>
      </c>
      <c r="B44">
        <v>7.25</v>
      </c>
      <c r="C44" t="s">
        <v>385</v>
      </c>
      <c r="D44" t="s">
        <v>414</v>
      </c>
      <c r="E44" t="s">
        <v>1345</v>
      </c>
      <c r="F44" t="str">
        <f>VLOOKUP(E44, 'POS Categories'!$A$1:$B$1999, 2, FALSE)</f>
        <v>Unknown</v>
      </c>
    </row>
    <row r="45" spans="1:6" x14ac:dyDescent="0.25">
      <c r="A45">
        <v>45181</v>
      </c>
      <c r="B45">
        <v>-27.39</v>
      </c>
      <c r="C45" t="s">
        <v>385</v>
      </c>
      <c r="D45" t="s">
        <v>388</v>
      </c>
      <c r="E45" t="s">
        <v>142</v>
      </c>
      <c r="F45" t="str">
        <f>VLOOKUP(E45, 'POS Categories'!$A$1:$B$1999, 2, FALSE)</f>
        <v>Food</v>
      </c>
    </row>
    <row r="46" spans="1:6" x14ac:dyDescent="0.25">
      <c r="A46">
        <v>45181</v>
      </c>
      <c r="B46">
        <v>-7.75</v>
      </c>
      <c r="C46" t="s">
        <v>385</v>
      </c>
      <c r="D46" t="s">
        <v>388</v>
      </c>
      <c r="E46" t="s">
        <v>408</v>
      </c>
      <c r="F46" t="str">
        <f>VLOOKUP(E46, 'POS Categories'!$A$1:$B$1999, 2, FALSE)</f>
        <v>Food</v>
      </c>
    </row>
    <row r="47" spans="1:6" x14ac:dyDescent="0.25">
      <c r="A47">
        <v>45180</v>
      </c>
      <c r="B47">
        <v>-25.93</v>
      </c>
      <c r="C47" t="s">
        <v>385</v>
      </c>
      <c r="D47" t="s">
        <v>388</v>
      </c>
      <c r="E47" t="s">
        <v>171</v>
      </c>
      <c r="F47" t="str">
        <f>VLOOKUP(E47, 'POS Categories'!$A$1:$B$1999, 2, FALSE)</f>
        <v>Food</v>
      </c>
    </row>
    <row r="48" spans="1:6" x14ac:dyDescent="0.25">
      <c r="A48">
        <v>45180</v>
      </c>
      <c r="B48">
        <v>-18.78</v>
      </c>
      <c r="C48" t="s">
        <v>385</v>
      </c>
      <c r="D48" t="s">
        <v>388</v>
      </c>
      <c r="E48" t="s">
        <v>1245</v>
      </c>
      <c r="F48" t="str">
        <f>VLOOKUP(E48, 'POS Categories'!$A$1:$B$1999, 2, FALSE)</f>
        <v>Food</v>
      </c>
    </row>
    <row r="49" spans="1:6" x14ac:dyDescent="0.25">
      <c r="A49">
        <v>45180</v>
      </c>
      <c r="B49">
        <v>-29.2</v>
      </c>
      <c r="C49" t="s">
        <v>385</v>
      </c>
      <c r="D49" t="s">
        <v>388</v>
      </c>
      <c r="E49" t="s">
        <v>1244</v>
      </c>
      <c r="F49" t="str">
        <f>VLOOKUP(E49, 'POS Categories'!$A$1:$B$1999, 2, FALSE)</f>
        <v>Food</v>
      </c>
    </row>
    <row r="50" spans="1:6" x14ac:dyDescent="0.25">
      <c r="A50">
        <v>45180</v>
      </c>
      <c r="B50">
        <v>-181.8</v>
      </c>
      <c r="C50" t="s">
        <v>385</v>
      </c>
      <c r="D50" t="s">
        <v>400</v>
      </c>
      <c r="E50" t="s">
        <v>401</v>
      </c>
      <c r="F50" t="str">
        <f>VLOOKUP(E50, 'POS Categories'!$A$1:$B$1999, 2, FALSE)</f>
        <v>Misc</v>
      </c>
    </row>
    <row r="51" spans="1:6" x14ac:dyDescent="0.25">
      <c r="A51">
        <v>45180</v>
      </c>
      <c r="B51">
        <v>-34.159999999999997</v>
      </c>
      <c r="C51" t="s">
        <v>385</v>
      </c>
      <c r="D51" t="s">
        <v>388</v>
      </c>
      <c r="E51" t="s">
        <v>1336</v>
      </c>
      <c r="F51" t="str">
        <f>VLOOKUP(E51, 'POS Categories'!$A$1:$B$1999, 2, FALSE)</f>
        <v>Food</v>
      </c>
    </row>
    <row r="52" spans="1:6" x14ac:dyDescent="0.25">
      <c r="A52">
        <v>45180</v>
      </c>
      <c r="B52">
        <v>-7.38</v>
      </c>
      <c r="C52" t="s">
        <v>385</v>
      </c>
      <c r="D52" t="s">
        <v>388</v>
      </c>
      <c r="E52" t="s">
        <v>1225</v>
      </c>
      <c r="F52" t="str">
        <f>VLOOKUP(E52, 'POS Categories'!$A$1:$B$1999, 2, FALSE)</f>
        <v>Food</v>
      </c>
    </row>
    <row r="53" spans="1:6" x14ac:dyDescent="0.25">
      <c r="A53">
        <v>45180</v>
      </c>
      <c r="B53">
        <v>-7.38</v>
      </c>
      <c r="C53" t="s">
        <v>385</v>
      </c>
      <c r="D53" t="s">
        <v>388</v>
      </c>
      <c r="E53" t="s">
        <v>1225</v>
      </c>
      <c r="F53" t="str">
        <f>VLOOKUP(E53, 'POS Categories'!$A$1:$B$1999, 2, FALSE)</f>
        <v>Food</v>
      </c>
    </row>
    <row r="54" spans="1:6" x14ac:dyDescent="0.25">
      <c r="A54">
        <v>45178</v>
      </c>
      <c r="B54">
        <v>-12.75</v>
      </c>
      <c r="C54" t="s">
        <v>385</v>
      </c>
      <c r="D54" t="s">
        <v>388</v>
      </c>
      <c r="E54" t="s">
        <v>1238</v>
      </c>
      <c r="F54" t="str">
        <f>VLOOKUP(E54, 'POS Categories'!$A$1:$B$1999, 2, FALSE)</f>
        <v>Food</v>
      </c>
    </row>
    <row r="55" spans="1:6" x14ac:dyDescent="0.25">
      <c r="A55">
        <v>45178</v>
      </c>
      <c r="B55">
        <v>-7.08</v>
      </c>
      <c r="C55" t="s">
        <v>385</v>
      </c>
      <c r="D55" t="s">
        <v>388</v>
      </c>
      <c r="E55" t="s">
        <v>317</v>
      </c>
      <c r="F55" t="str">
        <f>VLOOKUP(E55, 'POS Categories'!$A$1:$B$1999, 2, FALSE)</f>
        <v>Food</v>
      </c>
    </row>
    <row r="56" spans="1:6" x14ac:dyDescent="0.25">
      <c r="A56">
        <v>45178</v>
      </c>
      <c r="B56">
        <v>-77.16</v>
      </c>
      <c r="C56" t="s">
        <v>385</v>
      </c>
      <c r="D56" t="s">
        <v>388</v>
      </c>
      <c r="E56" t="s">
        <v>1346</v>
      </c>
      <c r="F56" t="str">
        <f>VLOOKUP(E56, 'POS Categories'!$A$1:$B$1999, 2, FALSE)</f>
        <v>Entertainment</v>
      </c>
    </row>
    <row r="57" spans="1:6" x14ac:dyDescent="0.25">
      <c r="A57">
        <v>45177</v>
      </c>
      <c r="B57">
        <v>-54.89</v>
      </c>
      <c r="C57" t="s">
        <v>385</v>
      </c>
      <c r="D57" t="s">
        <v>388</v>
      </c>
      <c r="E57" t="s">
        <v>1160</v>
      </c>
      <c r="F57" t="str">
        <f>VLOOKUP(E57, 'POS Categories'!$A$1:$B$1999, 2, FALSE)</f>
        <v>Food</v>
      </c>
    </row>
    <row r="58" spans="1:6" x14ac:dyDescent="0.25">
      <c r="A58">
        <v>45177</v>
      </c>
      <c r="B58">
        <v>-25.99</v>
      </c>
      <c r="C58" t="s">
        <v>385</v>
      </c>
      <c r="D58" t="s">
        <v>388</v>
      </c>
      <c r="E58" t="s">
        <v>171</v>
      </c>
      <c r="F58" t="str">
        <f>VLOOKUP(E58, 'POS Categories'!$A$1:$B$1999, 2, FALSE)</f>
        <v>Food</v>
      </c>
    </row>
    <row r="59" spans="1:6" x14ac:dyDescent="0.25">
      <c r="A59">
        <v>45177</v>
      </c>
      <c r="B59">
        <v>-16.16</v>
      </c>
      <c r="C59" t="s">
        <v>385</v>
      </c>
      <c r="D59" t="s">
        <v>388</v>
      </c>
      <c r="E59" t="s">
        <v>8</v>
      </c>
      <c r="F59" t="str">
        <f>VLOOKUP(E59, 'POS Categories'!$A$1:$B$1999, 2, FALSE)</f>
        <v>Food</v>
      </c>
    </row>
    <row r="60" spans="1:6" x14ac:dyDescent="0.25">
      <c r="A60">
        <v>45177</v>
      </c>
      <c r="B60">
        <v>-31.06</v>
      </c>
      <c r="C60" t="s">
        <v>385</v>
      </c>
      <c r="D60" t="s">
        <v>388</v>
      </c>
      <c r="E60" t="s">
        <v>1243</v>
      </c>
      <c r="F60" t="str">
        <f>VLOOKUP(E60, 'POS Categories'!$A$1:$B$1999, 2, FALSE)</f>
        <v>Personal</v>
      </c>
    </row>
    <row r="61" spans="1:6" x14ac:dyDescent="0.25">
      <c r="A61">
        <v>45177</v>
      </c>
      <c r="B61">
        <v>-14.76</v>
      </c>
      <c r="C61" t="s">
        <v>385</v>
      </c>
      <c r="D61" t="s">
        <v>388</v>
      </c>
      <c r="E61" t="s">
        <v>1225</v>
      </c>
      <c r="F61" t="str">
        <f>VLOOKUP(E61, 'POS Categories'!$A$1:$B$1999, 2, FALSE)</f>
        <v>Food</v>
      </c>
    </row>
    <row r="62" spans="1:6" x14ac:dyDescent="0.25">
      <c r="A62">
        <v>45177</v>
      </c>
      <c r="B62">
        <v>2100.5</v>
      </c>
      <c r="C62" t="s">
        <v>385</v>
      </c>
      <c r="D62" t="s">
        <v>386</v>
      </c>
      <c r="E62" t="s">
        <v>1193</v>
      </c>
      <c r="F62" t="str">
        <f>VLOOKUP(E62, 'POS Categories'!$A$1:$B$1999, 2, FALSE)</f>
        <v>Job</v>
      </c>
    </row>
    <row r="63" spans="1:6" x14ac:dyDescent="0.25">
      <c r="A63">
        <v>45177</v>
      </c>
      <c r="B63">
        <v>-6.87</v>
      </c>
      <c r="C63" t="s">
        <v>385</v>
      </c>
      <c r="D63" t="s">
        <v>388</v>
      </c>
      <c r="E63" t="s">
        <v>1318</v>
      </c>
      <c r="F63" t="str">
        <f>VLOOKUP(E63, 'POS Categories'!$A$1:$B$1999, 2, FALSE)</f>
        <v>Food</v>
      </c>
    </row>
    <row r="64" spans="1:6" x14ac:dyDescent="0.25">
      <c r="A64">
        <v>45176</v>
      </c>
      <c r="B64">
        <v>-36.369999999999997</v>
      </c>
      <c r="C64" t="s">
        <v>385</v>
      </c>
      <c r="D64" t="s">
        <v>388</v>
      </c>
      <c r="E64" t="s">
        <v>1281</v>
      </c>
      <c r="F64" t="str">
        <f>VLOOKUP(E64, 'POS Categories'!$A$1:$B$1999, 2, FALSE)</f>
        <v>Food</v>
      </c>
    </row>
    <row r="65" spans="1:6" x14ac:dyDescent="0.25">
      <c r="A65">
        <v>45176</v>
      </c>
      <c r="B65">
        <v>-7.54</v>
      </c>
      <c r="C65" t="s">
        <v>385</v>
      </c>
      <c r="D65" t="s">
        <v>388</v>
      </c>
      <c r="E65" t="s">
        <v>408</v>
      </c>
      <c r="F65" t="str">
        <f>VLOOKUP(E65, 'POS Categories'!$A$1:$B$1999, 2, FALSE)</f>
        <v>Food</v>
      </c>
    </row>
    <row r="66" spans="1:6" x14ac:dyDescent="0.25">
      <c r="A66">
        <v>45176</v>
      </c>
      <c r="B66">
        <v>-8.52</v>
      </c>
      <c r="C66" t="s">
        <v>385</v>
      </c>
      <c r="D66" t="s">
        <v>388</v>
      </c>
      <c r="E66" t="s">
        <v>1318</v>
      </c>
      <c r="F66" t="str">
        <f>VLOOKUP(E66, 'POS Categories'!$A$1:$B$1999, 2, FALSE)</f>
        <v>Food</v>
      </c>
    </row>
    <row r="67" spans="1:6" x14ac:dyDescent="0.25">
      <c r="A67">
        <v>45176</v>
      </c>
      <c r="B67">
        <v>-7.38</v>
      </c>
      <c r="C67" t="s">
        <v>385</v>
      </c>
      <c r="D67" t="s">
        <v>388</v>
      </c>
      <c r="E67" t="s">
        <v>1225</v>
      </c>
      <c r="F67" t="str">
        <f>VLOOKUP(E67, 'POS Categories'!$A$1:$B$1999, 2, FALSE)</f>
        <v>Food</v>
      </c>
    </row>
    <row r="68" spans="1:6" x14ac:dyDescent="0.25">
      <c r="A68">
        <v>45175</v>
      </c>
      <c r="B68">
        <v>-28.17</v>
      </c>
      <c r="C68" t="s">
        <v>385</v>
      </c>
      <c r="D68" t="s">
        <v>388</v>
      </c>
      <c r="E68" t="s">
        <v>1238</v>
      </c>
      <c r="F68" t="str">
        <f>VLOOKUP(E68, 'POS Categories'!$A$1:$B$1999, 2, FALSE)</f>
        <v>Food</v>
      </c>
    </row>
    <row r="69" spans="1:6" x14ac:dyDescent="0.25">
      <c r="A69">
        <v>45175</v>
      </c>
      <c r="B69">
        <v>-110.61</v>
      </c>
      <c r="C69" t="s">
        <v>385</v>
      </c>
      <c r="D69" t="s">
        <v>388</v>
      </c>
      <c r="E69" t="s">
        <v>411</v>
      </c>
      <c r="F69" t="str">
        <f>VLOOKUP(E69, 'POS Categories'!$A$1:$B$1999, 2, FALSE)</f>
        <v>Sasktel</v>
      </c>
    </row>
    <row r="70" spans="1:6" x14ac:dyDescent="0.25">
      <c r="A70">
        <v>45175</v>
      </c>
      <c r="B70">
        <v>-30.59</v>
      </c>
      <c r="C70" t="s">
        <v>385</v>
      </c>
      <c r="D70" t="s">
        <v>388</v>
      </c>
      <c r="E70" t="s">
        <v>171</v>
      </c>
      <c r="F70" t="str">
        <f>VLOOKUP(E70, 'POS Categories'!$A$1:$B$1999, 2, FALSE)</f>
        <v>Food</v>
      </c>
    </row>
    <row r="71" spans="1:6" x14ac:dyDescent="0.25">
      <c r="A71">
        <v>45174</v>
      </c>
      <c r="B71">
        <v>-15.96</v>
      </c>
      <c r="C71" t="s">
        <v>385</v>
      </c>
      <c r="D71" t="s">
        <v>400</v>
      </c>
      <c r="E71" t="s">
        <v>401</v>
      </c>
      <c r="F71" t="str">
        <f>VLOOKUP(E71, 'POS Categories'!$A$1:$B$1999, 2, FALSE)</f>
        <v>Misc</v>
      </c>
    </row>
    <row r="72" spans="1:6" x14ac:dyDescent="0.25">
      <c r="A72">
        <v>45174</v>
      </c>
      <c r="B72">
        <v>-31.34</v>
      </c>
      <c r="C72" t="s">
        <v>385</v>
      </c>
      <c r="D72" t="s">
        <v>388</v>
      </c>
      <c r="E72" t="s">
        <v>1246</v>
      </c>
      <c r="F72" t="str">
        <f>VLOOKUP(E72, 'POS Categories'!$A$1:$B$1999, 2, FALSE)</f>
        <v>Food</v>
      </c>
    </row>
    <row r="73" spans="1:6" x14ac:dyDescent="0.25">
      <c r="A73">
        <v>45171</v>
      </c>
      <c r="B73">
        <v>-15.45</v>
      </c>
      <c r="C73" t="s">
        <v>385</v>
      </c>
      <c r="D73" t="s">
        <v>388</v>
      </c>
      <c r="E73" t="s">
        <v>1198</v>
      </c>
      <c r="F73" t="str">
        <f>VLOOKUP(E73, 'POS Categories'!$A$1:$B$1999, 2, FALSE)</f>
        <v>Entertainment</v>
      </c>
    </row>
    <row r="74" spans="1:6" x14ac:dyDescent="0.25">
      <c r="A74">
        <v>45170</v>
      </c>
      <c r="B74">
        <v>-1425</v>
      </c>
      <c r="C74" t="s">
        <v>385</v>
      </c>
      <c r="D74" t="s">
        <v>414</v>
      </c>
      <c r="E74" t="s">
        <v>1224</v>
      </c>
      <c r="F74" t="str">
        <f>VLOOKUP(E74, 'POS Categories'!$A$1:$B$1999, 2, FALSE)</f>
        <v>Rent</v>
      </c>
    </row>
    <row r="75" spans="1:6" x14ac:dyDescent="0.25">
      <c r="A75">
        <v>45170</v>
      </c>
      <c r="B75">
        <v>-11.07</v>
      </c>
      <c r="C75" t="s">
        <v>385</v>
      </c>
      <c r="D75" t="s">
        <v>388</v>
      </c>
      <c r="E75" t="s">
        <v>1225</v>
      </c>
      <c r="F75" t="str">
        <f>VLOOKUP(E75, 'POS Categories'!$A$1:$B$1999, 2, FALSE)</f>
        <v>Food</v>
      </c>
    </row>
    <row r="76" spans="1:6" x14ac:dyDescent="0.25">
      <c r="A76">
        <v>45170</v>
      </c>
      <c r="B76">
        <v>-40.21</v>
      </c>
      <c r="C76" t="s">
        <v>385</v>
      </c>
      <c r="D76" t="s">
        <v>388</v>
      </c>
      <c r="E76" t="s">
        <v>35</v>
      </c>
      <c r="F76" t="str">
        <f>VLOOKUP(E76, 'POS Categories'!$A$1:$B$1999, 2, FALSE)</f>
        <v>Personal</v>
      </c>
    </row>
    <row r="77" spans="1:6" x14ac:dyDescent="0.25">
      <c r="A77">
        <v>45170</v>
      </c>
      <c r="B77">
        <v>-8.19</v>
      </c>
      <c r="C77" t="s">
        <v>385</v>
      </c>
      <c r="D77" t="s">
        <v>388</v>
      </c>
      <c r="E77" t="s">
        <v>317</v>
      </c>
      <c r="F77" t="str">
        <f>VLOOKUP(E77, 'POS Categories'!$A$1:$B$1999, 2, FALSE)</f>
        <v>Food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92"/>
  <sheetViews>
    <sheetView topLeftCell="A65" workbookViewId="0">
      <selection activeCell="F31" sqref="F31"/>
    </sheetView>
  </sheetViews>
  <sheetFormatPr defaultRowHeight="15" x14ac:dyDescent="0.25"/>
  <cols>
    <col min="4" max="4" width="23.28515625" bestFit="1" customWidth="1"/>
    <col min="5" max="5" width="35.28515625" bestFit="1" customWidth="1"/>
  </cols>
  <sheetData>
    <row r="1" spans="1:6" x14ac:dyDescent="0.25">
      <c r="A1">
        <v>45169</v>
      </c>
      <c r="B1">
        <v>-41.68</v>
      </c>
      <c r="C1" t="s">
        <v>385</v>
      </c>
      <c r="D1" t="s">
        <v>388</v>
      </c>
      <c r="E1" t="s">
        <v>1333</v>
      </c>
      <c r="F1" t="str">
        <f>VLOOKUP(E1, 'POS Categories'!$A$1:$B$1999, 2, FALSE)</f>
        <v>Food</v>
      </c>
    </row>
    <row r="2" spans="1:6" x14ac:dyDescent="0.25">
      <c r="A2">
        <v>45169</v>
      </c>
      <c r="B2">
        <v>821.82</v>
      </c>
      <c r="C2" t="s">
        <v>385</v>
      </c>
      <c r="D2" t="s">
        <v>467</v>
      </c>
      <c r="E2" t="s">
        <v>637</v>
      </c>
      <c r="F2" t="str">
        <f>VLOOKUP(E2, 'POS Categories'!$A$1:$B$1999, 2, FALSE)</f>
        <v>Misc</v>
      </c>
    </row>
    <row r="3" spans="1:6" x14ac:dyDescent="0.25">
      <c r="A3">
        <v>45169</v>
      </c>
      <c r="B3">
        <v>-69.63</v>
      </c>
      <c r="C3" t="s">
        <v>385</v>
      </c>
      <c r="D3" t="s">
        <v>400</v>
      </c>
      <c r="E3" t="s">
        <v>401</v>
      </c>
      <c r="F3" t="str">
        <f>VLOOKUP(E3, 'POS Categories'!$A$1:$B$1999, 2, FALSE)</f>
        <v>Misc</v>
      </c>
    </row>
    <row r="4" spans="1:6" x14ac:dyDescent="0.25">
      <c r="A4">
        <v>45167</v>
      </c>
      <c r="B4">
        <v>-14.54</v>
      </c>
      <c r="C4" t="s">
        <v>385</v>
      </c>
      <c r="D4" t="s">
        <v>388</v>
      </c>
      <c r="E4" t="s">
        <v>1225</v>
      </c>
      <c r="F4" t="str">
        <f>VLOOKUP(E4, 'POS Categories'!$A$1:$B$1999, 2, FALSE)</f>
        <v>Food</v>
      </c>
    </row>
    <row r="5" spans="1:6" x14ac:dyDescent="0.25">
      <c r="A5">
        <v>45166</v>
      </c>
      <c r="B5">
        <v>-183.34</v>
      </c>
      <c r="C5" t="s">
        <v>385</v>
      </c>
      <c r="D5" t="s">
        <v>388</v>
      </c>
      <c r="E5" t="s">
        <v>36</v>
      </c>
      <c r="F5" t="str">
        <f>VLOOKUP(E5, 'POS Categories'!$A$1:$B$1999, 2, FALSE)</f>
        <v>Food</v>
      </c>
    </row>
    <row r="6" spans="1:6" x14ac:dyDescent="0.25">
      <c r="A6">
        <v>45166</v>
      </c>
      <c r="B6">
        <v>-85.42</v>
      </c>
      <c r="C6" t="s">
        <v>385</v>
      </c>
      <c r="D6" t="s">
        <v>388</v>
      </c>
      <c r="E6" t="s">
        <v>288</v>
      </c>
      <c r="F6" t="str">
        <f>VLOOKUP(E6, 'POS Categories'!$A$1:$B$1999, 2, FALSE)</f>
        <v>Food</v>
      </c>
    </row>
    <row r="7" spans="1:6" x14ac:dyDescent="0.25">
      <c r="A7">
        <v>45166</v>
      </c>
      <c r="B7">
        <v>-29.36</v>
      </c>
      <c r="C7" t="s">
        <v>385</v>
      </c>
      <c r="D7" t="s">
        <v>388</v>
      </c>
      <c r="E7" t="s">
        <v>8</v>
      </c>
      <c r="F7" t="str">
        <f>VLOOKUP(E7, 'POS Categories'!$A$1:$B$1999, 2, FALSE)</f>
        <v>Food</v>
      </c>
    </row>
    <row r="8" spans="1:6" x14ac:dyDescent="0.25">
      <c r="A8">
        <v>45166</v>
      </c>
      <c r="B8">
        <v>-70.34</v>
      </c>
      <c r="C8" t="s">
        <v>385</v>
      </c>
      <c r="D8" t="s">
        <v>388</v>
      </c>
      <c r="E8" t="s">
        <v>395</v>
      </c>
      <c r="F8" t="str">
        <f>VLOOKUP(E8, 'POS Categories'!$A$1:$B$1999, 2, FALSE)</f>
        <v>Vehicle</v>
      </c>
    </row>
    <row r="9" spans="1:6" x14ac:dyDescent="0.25">
      <c r="A9">
        <v>45166</v>
      </c>
      <c r="B9">
        <v>-13.48</v>
      </c>
      <c r="C9" t="s">
        <v>385</v>
      </c>
      <c r="D9" t="s">
        <v>388</v>
      </c>
      <c r="E9" t="s">
        <v>183</v>
      </c>
      <c r="F9" t="str">
        <f>VLOOKUP(E9, 'POS Categories'!$A$1:$B$1999, 2, FALSE)</f>
        <v>Food</v>
      </c>
    </row>
    <row r="10" spans="1:6" x14ac:dyDescent="0.25">
      <c r="A10">
        <v>45166</v>
      </c>
      <c r="B10">
        <v>-100</v>
      </c>
      <c r="C10" t="s">
        <v>385</v>
      </c>
      <c r="D10" t="s">
        <v>388</v>
      </c>
      <c r="E10" t="s">
        <v>1231</v>
      </c>
      <c r="F10" t="str">
        <f>VLOOKUP(E10, 'POS Categories'!$A$1:$B$1999, 2, FALSE)</f>
        <v>Entertainment</v>
      </c>
    </row>
    <row r="11" spans="1:6" x14ac:dyDescent="0.25">
      <c r="A11">
        <v>45166</v>
      </c>
      <c r="B11">
        <v>-38.36</v>
      </c>
      <c r="C11" t="s">
        <v>385</v>
      </c>
      <c r="D11" t="s">
        <v>388</v>
      </c>
      <c r="E11" t="s">
        <v>8</v>
      </c>
      <c r="F11" t="str">
        <f>VLOOKUP(E11, 'POS Categories'!$A$1:$B$1999, 2, FALSE)</f>
        <v>Food</v>
      </c>
    </row>
    <row r="12" spans="1:6" x14ac:dyDescent="0.25">
      <c r="A12">
        <v>45166</v>
      </c>
      <c r="B12">
        <v>-9.44</v>
      </c>
      <c r="C12" t="s">
        <v>385</v>
      </c>
      <c r="D12" t="s">
        <v>388</v>
      </c>
      <c r="E12" t="s">
        <v>1316</v>
      </c>
      <c r="F12" t="str">
        <f>VLOOKUP(E12, 'POS Categories'!$A$1:$B$1999, 2, FALSE)</f>
        <v>Personal</v>
      </c>
    </row>
    <row r="13" spans="1:6" x14ac:dyDescent="0.25">
      <c r="A13">
        <v>45166</v>
      </c>
      <c r="B13">
        <v>-51.26</v>
      </c>
      <c r="C13" t="s">
        <v>385</v>
      </c>
      <c r="D13" t="s">
        <v>388</v>
      </c>
      <c r="E13" t="s">
        <v>157</v>
      </c>
      <c r="F13" t="str">
        <f>VLOOKUP(E13, 'POS Categories'!$A$1:$B$1999, 2, FALSE)</f>
        <v>Personal</v>
      </c>
    </row>
    <row r="14" spans="1:6" x14ac:dyDescent="0.25">
      <c r="A14">
        <v>45166</v>
      </c>
      <c r="B14">
        <v>-3.87</v>
      </c>
      <c r="C14" t="s">
        <v>385</v>
      </c>
      <c r="D14" t="s">
        <v>388</v>
      </c>
      <c r="E14" t="s">
        <v>179</v>
      </c>
      <c r="F14" t="str">
        <f>VLOOKUP(E14, 'POS Categories'!$A$1:$B$1999, 2, FALSE)</f>
        <v>Food</v>
      </c>
    </row>
    <row r="15" spans="1:6" x14ac:dyDescent="0.25">
      <c r="A15">
        <v>45166</v>
      </c>
      <c r="B15">
        <v>-19.940000000000001</v>
      </c>
      <c r="C15" t="s">
        <v>385</v>
      </c>
      <c r="D15" t="s">
        <v>388</v>
      </c>
      <c r="E15" t="s">
        <v>8</v>
      </c>
      <c r="F15" t="str">
        <f>VLOOKUP(E15, 'POS Categories'!$A$1:$B$1999, 2, FALSE)</f>
        <v>Food</v>
      </c>
    </row>
    <row r="16" spans="1:6" x14ac:dyDescent="0.25">
      <c r="A16">
        <v>45166</v>
      </c>
      <c r="B16">
        <v>-57.75</v>
      </c>
      <c r="C16" t="s">
        <v>385</v>
      </c>
      <c r="D16" t="s">
        <v>388</v>
      </c>
      <c r="E16" t="s">
        <v>1334</v>
      </c>
      <c r="F16" t="str">
        <f>VLOOKUP(E16, 'POS Categories'!$A$1:$B$1999, 2, FALSE)</f>
        <v>Sports</v>
      </c>
    </row>
    <row r="17" spans="1:6" x14ac:dyDescent="0.25">
      <c r="A17">
        <v>45166</v>
      </c>
      <c r="B17">
        <v>-57.75</v>
      </c>
      <c r="C17" t="s">
        <v>385</v>
      </c>
      <c r="D17" t="s">
        <v>388</v>
      </c>
      <c r="E17" t="s">
        <v>1334</v>
      </c>
      <c r="F17" t="str">
        <f>VLOOKUP(E17, 'POS Categories'!$A$1:$B$1999, 2, FALSE)</f>
        <v>Sports</v>
      </c>
    </row>
    <row r="18" spans="1:6" x14ac:dyDescent="0.25">
      <c r="A18">
        <v>45164</v>
      </c>
      <c r="B18">
        <v>-12.65</v>
      </c>
      <c r="C18" t="s">
        <v>385</v>
      </c>
      <c r="D18" t="s">
        <v>388</v>
      </c>
      <c r="E18" t="s">
        <v>1215</v>
      </c>
      <c r="F18" t="str">
        <f>VLOOKUP(E18, 'POS Categories'!$A$1:$B$1999, 2, FALSE)</f>
        <v>Entertainment</v>
      </c>
    </row>
    <row r="19" spans="1:6" x14ac:dyDescent="0.25">
      <c r="A19">
        <v>45164</v>
      </c>
      <c r="B19">
        <v>-17.350000000000001</v>
      </c>
      <c r="C19" t="s">
        <v>385</v>
      </c>
      <c r="D19" t="s">
        <v>388</v>
      </c>
      <c r="E19" t="s">
        <v>408</v>
      </c>
      <c r="F19" t="str">
        <f>VLOOKUP(E19, 'POS Categories'!$A$1:$B$1999, 2, FALSE)</f>
        <v>Food</v>
      </c>
    </row>
    <row r="20" spans="1:6" x14ac:dyDescent="0.25">
      <c r="A20">
        <v>45163</v>
      </c>
      <c r="B20">
        <v>-80.569999999999993</v>
      </c>
      <c r="C20" t="s">
        <v>385</v>
      </c>
      <c r="D20" t="s">
        <v>388</v>
      </c>
      <c r="E20" t="s">
        <v>452</v>
      </c>
      <c r="F20" t="str">
        <f>VLOOKUP(E20, 'POS Categories'!$A$1:$B$1999, 2, FALSE)</f>
        <v>Food</v>
      </c>
    </row>
    <row r="21" spans="1:6" x14ac:dyDescent="0.25">
      <c r="A21">
        <v>45163</v>
      </c>
      <c r="B21">
        <v>-128</v>
      </c>
      <c r="C21" t="s">
        <v>385</v>
      </c>
      <c r="D21" t="s">
        <v>466</v>
      </c>
      <c r="E21" t="s">
        <v>200</v>
      </c>
      <c r="F21" t="str">
        <f>VLOOKUP(E21, 'POS Categories'!$A$1:$B$1999, 2, FALSE)</f>
        <v>Bills</v>
      </c>
    </row>
    <row r="22" spans="1:6" x14ac:dyDescent="0.25">
      <c r="A22">
        <v>45163</v>
      </c>
      <c r="B22">
        <v>-44.46</v>
      </c>
      <c r="C22" t="s">
        <v>385</v>
      </c>
      <c r="D22" t="s">
        <v>388</v>
      </c>
      <c r="E22" t="s">
        <v>33</v>
      </c>
      <c r="F22" t="str">
        <f>VLOOKUP(E22, 'POS Categories'!$A$1:$B$1999, 2, FALSE)</f>
        <v>Food</v>
      </c>
    </row>
    <row r="23" spans="1:6" x14ac:dyDescent="0.25">
      <c r="A23">
        <v>45163</v>
      </c>
      <c r="B23">
        <v>-14.76</v>
      </c>
      <c r="C23" t="s">
        <v>385</v>
      </c>
      <c r="D23" t="s">
        <v>388</v>
      </c>
      <c r="E23" t="s">
        <v>1225</v>
      </c>
      <c r="F23" t="str">
        <f>VLOOKUP(E23, 'POS Categories'!$A$1:$B$1999, 2, FALSE)</f>
        <v>Food</v>
      </c>
    </row>
    <row r="24" spans="1:6" x14ac:dyDescent="0.25">
      <c r="A24">
        <v>45163</v>
      </c>
      <c r="B24">
        <v>2116.71</v>
      </c>
      <c r="C24" t="s">
        <v>385</v>
      </c>
      <c r="D24" t="s">
        <v>386</v>
      </c>
      <c r="E24" t="s">
        <v>1193</v>
      </c>
      <c r="F24" t="str">
        <f>VLOOKUP(E24, 'POS Categories'!$A$1:$B$1999, 2, FALSE)</f>
        <v>Job</v>
      </c>
    </row>
    <row r="25" spans="1:6" x14ac:dyDescent="0.25">
      <c r="A25">
        <v>45162</v>
      </c>
      <c r="B25">
        <v>-34.47</v>
      </c>
      <c r="C25" t="s">
        <v>385</v>
      </c>
      <c r="D25" t="s">
        <v>388</v>
      </c>
      <c r="E25" t="s">
        <v>1246</v>
      </c>
      <c r="F25" t="str">
        <f>VLOOKUP(E25, 'POS Categories'!$A$1:$B$1999, 2, FALSE)</f>
        <v>Food</v>
      </c>
    </row>
    <row r="26" spans="1:6" x14ac:dyDescent="0.25">
      <c r="A26">
        <v>45162</v>
      </c>
      <c r="B26">
        <v>-59.25</v>
      </c>
      <c r="C26" t="s">
        <v>385</v>
      </c>
      <c r="D26" t="s">
        <v>400</v>
      </c>
      <c r="E26" t="s">
        <v>401</v>
      </c>
      <c r="F26" t="str">
        <f>VLOOKUP(E26, 'POS Categories'!$A$1:$B$1999, 2, FALSE)</f>
        <v>Misc</v>
      </c>
    </row>
    <row r="27" spans="1:6" x14ac:dyDescent="0.25">
      <c r="A27">
        <v>45162</v>
      </c>
      <c r="B27">
        <v>-32.61</v>
      </c>
      <c r="C27" t="s">
        <v>385</v>
      </c>
      <c r="D27" t="s">
        <v>388</v>
      </c>
      <c r="E27" t="s">
        <v>1245</v>
      </c>
      <c r="F27" t="str">
        <f>VLOOKUP(E27, 'POS Categories'!$A$1:$B$1999, 2, FALSE)</f>
        <v>Food</v>
      </c>
    </row>
    <row r="28" spans="1:6" x14ac:dyDescent="0.25">
      <c r="A28">
        <v>45162</v>
      </c>
      <c r="B28">
        <v>-9.41</v>
      </c>
      <c r="C28" t="s">
        <v>385</v>
      </c>
      <c r="D28" t="s">
        <v>388</v>
      </c>
      <c r="E28" t="s">
        <v>408</v>
      </c>
      <c r="F28" t="str">
        <f>VLOOKUP(E28, 'POS Categories'!$A$1:$B$1999, 2, FALSE)</f>
        <v>Food</v>
      </c>
    </row>
    <row r="29" spans="1:6" x14ac:dyDescent="0.25">
      <c r="A29">
        <v>45161</v>
      </c>
      <c r="B29">
        <v>-38.58</v>
      </c>
      <c r="C29" t="s">
        <v>385</v>
      </c>
      <c r="D29" t="s">
        <v>388</v>
      </c>
      <c r="E29" t="s">
        <v>171</v>
      </c>
      <c r="F29" t="str">
        <f>VLOOKUP(E29, 'POS Categories'!$A$1:$B$1999, 2, FALSE)</f>
        <v>Food</v>
      </c>
    </row>
    <row r="30" spans="1:6" x14ac:dyDescent="0.25">
      <c r="A30">
        <v>45161</v>
      </c>
      <c r="B30">
        <v>-8000</v>
      </c>
      <c r="C30" t="s">
        <v>385</v>
      </c>
      <c r="D30" t="s">
        <v>400</v>
      </c>
      <c r="E30" t="s">
        <v>1335</v>
      </c>
      <c r="F30" t="str">
        <f>VLOOKUP(E30, 'POS Categories'!$A$1:$B$1999, 2, FALSE)</f>
        <v>Investment</v>
      </c>
    </row>
    <row r="31" spans="1:6" x14ac:dyDescent="0.25">
      <c r="A31">
        <v>45161</v>
      </c>
      <c r="B31">
        <v>-57000</v>
      </c>
      <c r="C31" t="s">
        <v>385</v>
      </c>
      <c r="D31" t="s">
        <v>400</v>
      </c>
      <c r="E31" t="s">
        <v>1335</v>
      </c>
      <c r="F31" t="str">
        <f>VLOOKUP(E31, 'POS Categories'!$A$1:$B$1999, 2, FALSE)</f>
        <v>Investment</v>
      </c>
    </row>
    <row r="32" spans="1:6" x14ac:dyDescent="0.25">
      <c r="A32">
        <v>45161</v>
      </c>
      <c r="B32">
        <v>-29.95</v>
      </c>
      <c r="C32" t="s">
        <v>385</v>
      </c>
      <c r="D32" t="s">
        <v>388</v>
      </c>
      <c r="E32" t="s">
        <v>142</v>
      </c>
      <c r="F32" t="str">
        <f>VLOOKUP(E32, 'POS Categories'!$A$1:$B$1999, 2, FALSE)</f>
        <v>Food</v>
      </c>
    </row>
    <row r="33" spans="1:6" x14ac:dyDescent="0.25">
      <c r="A33">
        <v>45161</v>
      </c>
      <c r="B33">
        <v>-12.4</v>
      </c>
      <c r="C33" t="s">
        <v>385</v>
      </c>
      <c r="D33" t="s">
        <v>388</v>
      </c>
      <c r="E33" t="s">
        <v>408</v>
      </c>
      <c r="F33" t="str">
        <f>VLOOKUP(E33, 'POS Categories'!$A$1:$B$1999, 2, FALSE)</f>
        <v>Food</v>
      </c>
    </row>
    <row r="34" spans="1:6" x14ac:dyDescent="0.25">
      <c r="A34">
        <v>45160</v>
      </c>
      <c r="B34">
        <v>-34.159999999999997</v>
      </c>
      <c r="C34" t="s">
        <v>385</v>
      </c>
      <c r="D34" t="s">
        <v>388</v>
      </c>
      <c r="E34" t="s">
        <v>1336</v>
      </c>
      <c r="F34" t="str">
        <f>VLOOKUP(E34, 'POS Categories'!$A$1:$B$1999, 2, FALSE)</f>
        <v>Food</v>
      </c>
    </row>
    <row r="35" spans="1:6" x14ac:dyDescent="0.25">
      <c r="A35">
        <v>45160</v>
      </c>
      <c r="B35">
        <v>-74.010000000000005</v>
      </c>
      <c r="C35" t="s">
        <v>385</v>
      </c>
      <c r="D35" t="s">
        <v>435</v>
      </c>
      <c r="E35" t="s">
        <v>1257</v>
      </c>
      <c r="F35" t="str">
        <f>VLOOKUP(E35, 'POS Categories'!$A$1:$B$1999, 2, FALSE)</f>
        <v>Power</v>
      </c>
    </row>
    <row r="36" spans="1:6" x14ac:dyDescent="0.25">
      <c r="A36">
        <v>45160</v>
      </c>
      <c r="B36">
        <v>-171.98</v>
      </c>
      <c r="C36" t="s">
        <v>385</v>
      </c>
      <c r="D36" t="s">
        <v>388</v>
      </c>
      <c r="E36" t="s">
        <v>1207</v>
      </c>
      <c r="F36" t="str">
        <f>VLOOKUP(E36, 'POS Categories'!$A$1:$B$1999, 2, FALSE)</f>
        <v>Entertainment</v>
      </c>
    </row>
    <row r="37" spans="1:6" x14ac:dyDescent="0.25">
      <c r="A37">
        <v>45159</v>
      </c>
      <c r="B37">
        <v>-13.08</v>
      </c>
      <c r="C37" t="s">
        <v>385</v>
      </c>
      <c r="D37" t="s">
        <v>388</v>
      </c>
      <c r="E37" t="s">
        <v>171</v>
      </c>
      <c r="F37" t="str">
        <f>VLOOKUP(E37, 'POS Categories'!$A$1:$B$1999, 2, FALSE)</f>
        <v>Food</v>
      </c>
    </row>
    <row r="38" spans="1:6" x14ac:dyDescent="0.25">
      <c r="A38">
        <v>45159</v>
      </c>
      <c r="B38">
        <v>-34.630000000000003</v>
      </c>
      <c r="C38" t="s">
        <v>385</v>
      </c>
      <c r="D38" t="s">
        <v>388</v>
      </c>
      <c r="E38" t="s">
        <v>1196</v>
      </c>
      <c r="F38" t="str">
        <f>VLOOKUP(E38, 'POS Categories'!$A$1:$B$1999, 2, FALSE)</f>
        <v>Food</v>
      </c>
    </row>
    <row r="39" spans="1:6" x14ac:dyDescent="0.25">
      <c r="A39">
        <v>45159</v>
      </c>
      <c r="B39">
        <v>-10.16</v>
      </c>
      <c r="C39" t="s">
        <v>385</v>
      </c>
      <c r="D39" t="s">
        <v>388</v>
      </c>
      <c r="E39" t="s">
        <v>408</v>
      </c>
      <c r="F39" t="str">
        <f>VLOOKUP(E39, 'POS Categories'!$A$1:$B$1999, 2, FALSE)</f>
        <v>Food</v>
      </c>
    </row>
    <row r="40" spans="1:6" x14ac:dyDescent="0.25">
      <c r="A40">
        <v>45159</v>
      </c>
      <c r="B40">
        <v>-9.3000000000000007</v>
      </c>
      <c r="C40" t="s">
        <v>385</v>
      </c>
      <c r="D40" t="s">
        <v>388</v>
      </c>
      <c r="E40" t="s">
        <v>317</v>
      </c>
      <c r="F40" t="str">
        <f>VLOOKUP(E40, 'POS Categories'!$A$1:$B$1999, 2, FALSE)</f>
        <v>Food</v>
      </c>
    </row>
    <row r="41" spans="1:6" x14ac:dyDescent="0.25">
      <c r="A41">
        <v>45159</v>
      </c>
      <c r="B41">
        <v>-17.059999999999999</v>
      </c>
      <c r="C41" t="s">
        <v>385</v>
      </c>
      <c r="D41" t="s">
        <v>388</v>
      </c>
      <c r="E41" t="s">
        <v>408</v>
      </c>
      <c r="F41" t="str">
        <f>VLOOKUP(E41, 'POS Categories'!$A$1:$B$1999, 2, FALSE)</f>
        <v>Food</v>
      </c>
    </row>
    <row r="42" spans="1:6" x14ac:dyDescent="0.25">
      <c r="A42">
        <v>45157</v>
      </c>
      <c r="B42">
        <v>-50.8</v>
      </c>
      <c r="C42" t="s">
        <v>385</v>
      </c>
      <c r="D42" t="s">
        <v>388</v>
      </c>
      <c r="E42" t="s">
        <v>319</v>
      </c>
      <c r="F42" t="str">
        <f>VLOOKUP(E42, 'POS Categories'!$A$1:$B$1999, 2, FALSE)</f>
        <v>Food</v>
      </c>
    </row>
    <row r="43" spans="1:6" x14ac:dyDescent="0.25">
      <c r="A43">
        <v>45157</v>
      </c>
      <c r="B43">
        <v>-60.09</v>
      </c>
      <c r="C43" t="s">
        <v>385</v>
      </c>
      <c r="D43" t="s">
        <v>388</v>
      </c>
      <c r="E43" t="s">
        <v>279</v>
      </c>
      <c r="F43" t="str">
        <f>VLOOKUP(E43, 'POS Categories'!$A$1:$B$1999, 2, FALSE)</f>
        <v>Personal</v>
      </c>
    </row>
    <row r="44" spans="1:6" x14ac:dyDescent="0.25">
      <c r="A44">
        <v>45156</v>
      </c>
      <c r="B44">
        <v>-66.959999999999994</v>
      </c>
      <c r="C44" t="s">
        <v>385</v>
      </c>
      <c r="D44" t="s">
        <v>388</v>
      </c>
      <c r="E44" t="s">
        <v>1337</v>
      </c>
      <c r="F44" t="str">
        <f>VLOOKUP(E44, 'POS Categories'!$A$1:$B$1999, 2, FALSE)</f>
        <v>Vehicle</v>
      </c>
    </row>
    <row r="45" spans="1:6" x14ac:dyDescent="0.25">
      <c r="A45">
        <v>45156</v>
      </c>
      <c r="B45">
        <v>-4.8099999999999996</v>
      </c>
      <c r="C45" t="s">
        <v>385</v>
      </c>
      <c r="D45" t="s">
        <v>388</v>
      </c>
      <c r="E45" t="s">
        <v>183</v>
      </c>
      <c r="F45" t="str">
        <f>VLOOKUP(E45, 'POS Categories'!$A$1:$B$1999, 2, FALSE)</f>
        <v>Food</v>
      </c>
    </row>
    <row r="46" spans="1:6" x14ac:dyDescent="0.25">
      <c r="A46">
        <v>45155</v>
      </c>
      <c r="B46">
        <v>-22.69</v>
      </c>
      <c r="C46" t="s">
        <v>385</v>
      </c>
      <c r="D46" t="s">
        <v>388</v>
      </c>
      <c r="E46" t="s">
        <v>1209</v>
      </c>
      <c r="F46" t="str">
        <f>VLOOKUP(E46, 'POS Categories'!$A$1:$B$1999, 2, FALSE)</f>
        <v>Food</v>
      </c>
    </row>
    <row r="47" spans="1:6" x14ac:dyDescent="0.25">
      <c r="A47">
        <v>45154</v>
      </c>
      <c r="B47">
        <v>-27.5</v>
      </c>
      <c r="C47" t="s">
        <v>385</v>
      </c>
      <c r="D47" t="s">
        <v>388</v>
      </c>
      <c r="E47" t="s">
        <v>1238</v>
      </c>
      <c r="F47" t="str">
        <f>VLOOKUP(E47, 'POS Categories'!$A$1:$B$1999, 2, FALSE)</f>
        <v>Food</v>
      </c>
    </row>
    <row r="48" spans="1:6" x14ac:dyDescent="0.25">
      <c r="A48">
        <v>45154</v>
      </c>
      <c r="B48">
        <v>-54.34</v>
      </c>
      <c r="C48" t="s">
        <v>385</v>
      </c>
      <c r="D48" t="s">
        <v>388</v>
      </c>
      <c r="E48" t="s">
        <v>33</v>
      </c>
      <c r="F48" t="str">
        <f>VLOOKUP(E48, 'POS Categories'!$A$1:$B$1999, 2, FALSE)</f>
        <v>Food</v>
      </c>
    </row>
    <row r="49" spans="1:6" x14ac:dyDescent="0.25">
      <c r="A49">
        <v>45154</v>
      </c>
      <c r="B49">
        <v>-30.59</v>
      </c>
      <c r="C49" t="s">
        <v>385</v>
      </c>
      <c r="D49" t="s">
        <v>388</v>
      </c>
      <c r="E49" t="s">
        <v>171</v>
      </c>
      <c r="F49" t="str">
        <f>VLOOKUP(E49, 'POS Categories'!$A$1:$B$1999, 2, FALSE)</f>
        <v>Food</v>
      </c>
    </row>
    <row r="50" spans="1:6" x14ac:dyDescent="0.25">
      <c r="A50">
        <v>45154</v>
      </c>
      <c r="B50">
        <v>-1080.33</v>
      </c>
      <c r="C50" t="s">
        <v>385</v>
      </c>
      <c r="D50" t="s">
        <v>400</v>
      </c>
      <c r="E50" t="s">
        <v>401</v>
      </c>
      <c r="F50" t="str">
        <f>VLOOKUP(E50, 'POS Categories'!$A$1:$B$1999, 2, FALSE)</f>
        <v>Misc</v>
      </c>
    </row>
    <row r="51" spans="1:6" x14ac:dyDescent="0.25">
      <c r="A51">
        <v>45153</v>
      </c>
      <c r="B51">
        <v>-14.77</v>
      </c>
      <c r="C51" t="s">
        <v>385</v>
      </c>
      <c r="D51" t="s">
        <v>388</v>
      </c>
      <c r="E51" t="s">
        <v>1225</v>
      </c>
      <c r="F51" t="str">
        <f>VLOOKUP(E51, 'POS Categories'!$A$1:$B$1999, 2, FALSE)</f>
        <v>Food</v>
      </c>
    </row>
    <row r="52" spans="1:6" x14ac:dyDescent="0.25">
      <c r="A52">
        <v>45153</v>
      </c>
      <c r="B52">
        <v>-66.55</v>
      </c>
      <c r="C52" t="s">
        <v>385</v>
      </c>
      <c r="D52" t="s">
        <v>388</v>
      </c>
      <c r="E52" t="s">
        <v>175</v>
      </c>
      <c r="F52" t="str">
        <f>VLOOKUP(E52, 'POS Categories'!$A$1:$B$1999, 2, FALSE)</f>
        <v>Sasktel</v>
      </c>
    </row>
    <row r="53" spans="1:6" x14ac:dyDescent="0.25">
      <c r="A53">
        <v>45152</v>
      </c>
      <c r="B53">
        <v>-29.95</v>
      </c>
      <c r="C53" t="s">
        <v>385</v>
      </c>
      <c r="D53" t="s">
        <v>388</v>
      </c>
      <c r="E53" t="s">
        <v>142</v>
      </c>
      <c r="F53" t="str">
        <f>VLOOKUP(E53, 'POS Categories'!$A$1:$B$1999, 2, FALSE)</f>
        <v>Food</v>
      </c>
    </row>
    <row r="54" spans="1:6" x14ac:dyDescent="0.25">
      <c r="A54">
        <v>45152</v>
      </c>
      <c r="B54">
        <v>-15.32</v>
      </c>
      <c r="C54" t="s">
        <v>385</v>
      </c>
      <c r="D54" t="s">
        <v>388</v>
      </c>
      <c r="E54" t="s">
        <v>1225</v>
      </c>
      <c r="F54" t="str">
        <f>VLOOKUP(E54, 'POS Categories'!$A$1:$B$1999, 2, FALSE)</f>
        <v>Food</v>
      </c>
    </row>
    <row r="55" spans="1:6" x14ac:dyDescent="0.25">
      <c r="A55">
        <v>45152</v>
      </c>
      <c r="B55">
        <v>-13.17</v>
      </c>
      <c r="C55" t="s">
        <v>385</v>
      </c>
      <c r="D55" t="s">
        <v>388</v>
      </c>
      <c r="E55" t="s">
        <v>183</v>
      </c>
      <c r="F55" t="str">
        <f>VLOOKUP(E55, 'POS Categories'!$A$1:$B$1999, 2, FALSE)</f>
        <v>Food</v>
      </c>
    </row>
    <row r="56" spans="1:6" x14ac:dyDescent="0.25">
      <c r="A56">
        <v>45152</v>
      </c>
      <c r="B56">
        <v>-27.71</v>
      </c>
      <c r="C56" t="s">
        <v>385</v>
      </c>
      <c r="D56" t="s">
        <v>388</v>
      </c>
      <c r="E56" t="s">
        <v>1336</v>
      </c>
      <c r="F56" t="str">
        <f>VLOOKUP(E56, 'POS Categories'!$A$1:$B$1999, 2, FALSE)</f>
        <v>Food</v>
      </c>
    </row>
    <row r="57" spans="1:6" x14ac:dyDescent="0.25">
      <c r="A57">
        <v>45152</v>
      </c>
      <c r="B57">
        <v>-7.75</v>
      </c>
      <c r="C57" t="s">
        <v>385</v>
      </c>
      <c r="D57" t="s">
        <v>388</v>
      </c>
      <c r="E57" t="s">
        <v>408</v>
      </c>
      <c r="F57" t="str">
        <f>VLOOKUP(E57, 'POS Categories'!$A$1:$B$1999, 2, FALSE)</f>
        <v>Food</v>
      </c>
    </row>
    <row r="58" spans="1:6" x14ac:dyDescent="0.25">
      <c r="A58">
        <v>45150</v>
      </c>
      <c r="B58">
        <v>-71.930000000000007</v>
      </c>
      <c r="C58" t="s">
        <v>385</v>
      </c>
      <c r="D58" t="s">
        <v>388</v>
      </c>
      <c r="E58" t="s">
        <v>1338</v>
      </c>
      <c r="F58" t="str">
        <f>VLOOKUP(E58, 'POS Categories'!$A$1:$B$1999, 2, FALSE)</f>
        <v>Food</v>
      </c>
    </row>
    <row r="59" spans="1:6" x14ac:dyDescent="0.25">
      <c r="A59">
        <v>45150</v>
      </c>
      <c r="B59">
        <v>-8.08</v>
      </c>
      <c r="C59" t="s">
        <v>385</v>
      </c>
      <c r="D59" t="s">
        <v>388</v>
      </c>
      <c r="E59" t="s">
        <v>317</v>
      </c>
      <c r="F59" t="str">
        <f>VLOOKUP(E59, 'POS Categories'!$A$1:$B$1999, 2, FALSE)</f>
        <v>Food</v>
      </c>
    </row>
    <row r="60" spans="1:6" x14ac:dyDescent="0.25">
      <c r="A60">
        <v>45150</v>
      </c>
      <c r="B60">
        <v>-17.510000000000002</v>
      </c>
      <c r="C60" t="s">
        <v>385</v>
      </c>
      <c r="D60" t="s">
        <v>388</v>
      </c>
      <c r="E60" t="s">
        <v>408</v>
      </c>
      <c r="F60" t="str">
        <f>VLOOKUP(E60, 'POS Categories'!$A$1:$B$1999, 2, FALSE)</f>
        <v>Food</v>
      </c>
    </row>
    <row r="61" spans="1:6" x14ac:dyDescent="0.25">
      <c r="A61">
        <v>45149</v>
      </c>
      <c r="B61">
        <v>-66.010000000000005</v>
      </c>
      <c r="C61" t="s">
        <v>385</v>
      </c>
      <c r="D61" t="s">
        <v>388</v>
      </c>
      <c r="E61" t="s">
        <v>395</v>
      </c>
      <c r="F61" t="str">
        <f>VLOOKUP(E61, 'POS Categories'!$A$1:$B$1999, 2, FALSE)</f>
        <v>Vehicle</v>
      </c>
    </row>
    <row r="62" spans="1:6" x14ac:dyDescent="0.25">
      <c r="A62">
        <v>45149</v>
      </c>
      <c r="B62">
        <v>-30.7</v>
      </c>
      <c r="C62" t="s">
        <v>385</v>
      </c>
      <c r="D62" t="s">
        <v>388</v>
      </c>
      <c r="E62" t="s">
        <v>149</v>
      </c>
      <c r="F62" t="str">
        <f>VLOOKUP(E62, 'POS Categories'!$A$1:$B$1999, 2, FALSE)</f>
        <v>Food</v>
      </c>
    </row>
    <row r="63" spans="1:6" x14ac:dyDescent="0.25">
      <c r="A63">
        <v>45149</v>
      </c>
      <c r="B63">
        <v>2169.27</v>
      </c>
      <c r="C63" t="s">
        <v>385</v>
      </c>
      <c r="D63" t="s">
        <v>386</v>
      </c>
      <c r="E63" t="s">
        <v>1193</v>
      </c>
      <c r="F63" t="str">
        <f>VLOOKUP(E63, 'POS Categories'!$A$1:$B$1999, 2, FALSE)</f>
        <v>Job</v>
      </c>
    </row>
    <row r="64" spans="1:6" x14ac:dyDescent="0.25">
      <c r="A64">
        <v>45148</v>
      </c>
      <c r="B64">
        <v>-33.92</v>
      </c>
      <c r="C64" t="s">
        <v>385</v>
      </c>
      <c r="D64" t="s">
        <v>388</v>
      </c>
      <c r="E64" t="s">
        <v>8</v>
      </c>
      <c r="F64" t="str">
        <f>VLOOKUP(E64, 'POS Categories'!$A$1:$B$1999, 2, FALSE)</f>
        <v>Food</v>
      </c>
    </row>
    <row r="65" spans="1:6" x14ac:dyDescent="0.25">
      <c r="A65">
        <v>45147</v>
      </c>
      <c r="B65">
        <v>23</v>
      </c>
      <c r="C65" t="s">
        <v>385</v>
      </c>
      <c r="D65" t="s">
        <v>430</v>
      </c>
      <c r="E65" t="s">
        <v>1339</v>
      </c>
      <c r="F65" t="str">
        <f>VLOOKUP(E65, 'POS Categories'!$A$1:$B$1999, 2, FALSE)</f>
        <v>Food</v>
      </c>
    </row>
    <row r="66" spans="1:6" x14ac:dyDescent="0.25">
      <c r="A66">
        <v>45147</v>
      </c>
      <c r="B66">
        <v>-23</v>
      </c>
      <c r="C66" t="s">
        <v>385</v>
      </c>
      <c r="D66" t="s">
        <v>388</v>
      </c>
      <c r="E66" t="s">
        <v>1339</v>
      </c>
      <c r="F66" t="str">
        <f>VLOOKUP(E66, 'POS Categories'!$A$1:$B$1999, 2, FALSE)</f>
        <v>Food</v>
      </c>
    </row>
    <row r="67" spans="1:6" x14ac:dyDescent="0.25">
      <c r="A67">
        <v>45147</v>
      </c>
      <c r="B67">
        <v>-12.92</v>
      </c>
      <c r="C67" t="s">
        <v>385</v>
      </c>
      <c r="D67" t="s">
        <v>388</v>
      </c>
      <c r="E67" t="s">
        <v>1225</v>
      </c>
      <c r="F67" t="str">
        <f>VLOOKUP(E67, 'POS Categories'!$A$1:$B$1999, 2, FALSE)</f>
        <v>Food</v>
      </c>
    </row>
    <row r="68" spans="1:6" x14ac:dyDescent="0.25">
      <c r="A68">
        <v>45146</v>
      </c>
      <c r="B68">
        <v>-60</v>
      </c>
      <c r="C68" t="s">
        <v>385</v>
      </c>
      <c r="D68" t="s">
        <v>388</v>
      </c>
      <c r="E68" t="s">
        <v>1241</v>
      </c>
      <c r="F68" t="str">
        <f>VLOOKUP(E68, 'POS Categories'!$A$1:$B$1999, 2, FALSE)</f>
        <v>Entertainment</v>
      </c>
    </row>
    <row r="69" spans="1:6" x14ac:dyDescent="0.25">
      <c r="A69">
        <v>45145</v>
      </c>
      <c r="B69">
        <v>-17.739999999999998</v>
      </c>
      <c r="C69" t="s">
        <v>385</v>
      </c>
      <c r="D69" t="s">
        <v>388</v>
      </c>
      <c r="E69" t="s">
        <v>33</v>
      </c>
      <c r="F69" t="str">
        <f>VLOOKUP(E69, 'POS Categories'!$A$1:$B$1999, 2, FALSE)</f>
        <v>Food</v>
      </c>
    </row>
    <row r="70" spans="1:6" x14ac:dyDescent="0.25">
      <c r="A70">
        <v>45145</v>
      </c>
      <c r="B70">
        <v>-148.57</v>
      </c>
      <c r="C70" t="s">
        <v>385</v>
      </c>
      <c r="D70" t="s">
        <v>388</v>
      </c>
      <c r="E70" t="s">
        <v>33</v>
      </c>
      <c r="F70" t="str">
        <f>VLOOKUP(E70, 'POS Categories'!$A$1:$B$1999, 2, FALSE)</f>
        <v>Food</v>
      </c>
    </row>
    <row r="71" spans="1:6" x14ac:dyDescent="0.25">
      <c r="A71">
        <v>45145</v>
      </c>
      <c r="B71">
        <v>-210.12</v>
      </c>
      <c r="C71" t="s">
        <v>385</v>
      </c>
      <c r="D71" t="s">
        <v>388</v>
      </c>
      <c r="E71" t="s">
        <v>411</v>
      </c>
      <c r="F71" t="str">
        <f>VLOOKUP(E71, 'POS Categories'!$A$1:$B$1999, 2, FALSE)</f>
        <v>Sasktel</v>
      </c>
    </row>
    <row r="72" spans="1:6" x14ac:dyDescent="0.25">
      <c r="A72">
        <v>45145</v>
      </c>
      <c r="B72">
        <v>-9.52</v>
      </c>
      <c r="C72" t="s">
        <v>385</v>
      </c>
      <c r="D72" t="s">
        <v>388</v>
      </c>
      <c r="E72" t="s">
        <v>408</v>
      </c>
      <c r="F72" t="str">
        <f>VLOOKUP(E72, 'POS Categories'!$A$1:$B$1999, 2, FALSE)</f>
        <v>Food</v>
      </c>
    </row>
    <row r="73" spans="1:6" x14ac:dyDescent="0.25">
      <c r="A73">
        <v>45143</v>
      </c>
      <c r="B73">
        <v>-68.150000000000006</v>
      </c>
      <c r="C73" t="s">
        <v>385</v>
      </c>
      <c r="D73" t="s">
        <v>388</v>
      </c>
      <c r="E73" t="s">
        <v>1323</v>
      </c>
      <c r="F73" t="str">
        <f>VLOOKUP(E73, 'POS Categories'!$A$1:$B$1999, 2, FALSE)</f>
        <v>Food</v>
      </c>
    </row>
    <row r="74" spans="1:6" x14ac:dyDescent="0.25">
      <c r="A74">
        <v>45143</v>
      </c>
      <c r="B74">
        <v>-31.67</v>
      </c>
      <c r="C74" t="s">
        <v>385</v>
      </c>
      <c r="D74" t="s">
        <v>388</v>
      </c>
      <c r="E74" t="s">
        <v>1244</v>
      </c>
      <c r="F74" t="str">
        <f>VLOOKUP(E74, 'POS Categories'!$A$1:$B$1999, 2, FALSE)</f>
        <v>Food</v>
      </c>
    </row>
    <row r="75" spans="1:6" x14ac:dyDescent="0.25">
      <c r="A75">
        <v>45143</v>
      </c>
      <c r="B75">
        <v>-17.84</v>
      </c>
      <c r="C75" t="s">
        <v>385</v>
      </c>
      <c r="D75" t="s">
        <v>388</v>
      </c>
      <c r="E75" t="s">
        <v>1245</v>
      </c>
      <c r="F75" t="str">
        <f>VLOOKUP(E75, 'POS Categories'!$A$1:$B$1999, 2, FALSE)</f>
        <v>Food</v>
      </c>
    </row>
    <row r="76" spans="1:6" x14ac:dyDescent="0.25">
      <c r="A76">
        <v>45142</v>
      </c>
      <c r="B76">
        <v>-50</v>
      </c>
      <c r="C76" t="s">
        <v>385</v>
      </c>
      <c r="D76" t="s">
        <v>388</v>
      </c>
      <c r="E76" t="s">
        <v>269</v>
      </c>
      <c r="F76" t="str">
        <f>VLOOKUP(E76, 'POS Categories'!$A$1:$B$1999, 2, FALSE)</f>
        <v>Bills</v>
      </c>
    </row>
    <row r="77" spans="1:6" x14ac:dyDescent="0.25">
      <c r="A77">
        <v>45142</v>
      </c>
      <c r="B77">
        <v>-96.97</v>
      </c>
      <c r="C77" t="s">
        <v>385</v>
      </c>
      <c r="D77" t="s">
        <v>388</v>
      </c>
      <c r="E77" t="s">
        <v>324</v>
      </c>
      <c r="F77" t="str">
        <f>VLOOKUP(E77, 'POS Categories'!$A$1:$B$1999, 2, FALSE)</f>
        <v>Food</v>
      </c>
    </row>
    <row r="78" spans="1:6" x14ac:dyDescent="0.25">
      <c r="A78">
        <v>45142</v>
      </c>
      <c r="B78">
        <v>-45.46</v>
      </c>
      <c r="C78" t="s">
        <v>385</v>
      </c>
      <c r="D78" t="s">
        <v>388</v>
      </c>
      <c r="E78" t="s">
        <v>1246</v>
      </c>
      <c r="F78" t="str">
        <f>VLOOKUP(E78, 'POS Categories'!$A$1:$B$1999, 2, FALSE)</f>
        <v>Food</v>
      </c>
    </row>
    <row r="79" spans="1:6" x14ac:dyDescent="0.25">
      <c r="A79">
        <v>45141</v>
      </c>
      <c r="B79">
        <v>-16.559999999999999</v>
      </c>
      <c r="C79" t="s">
        <v>385</v>
      </c>
      <c r="D79" t="s">
        <v>388</v>
      </c>
      <c r="E79" t="s">
        <v>315</v>
      </c>
      <c r="F79" t="str">
        <f>VLOOKUP(E79, 'POS Categories'!$A$1:$B$1999, 2, FALSE)</f>
        <v>Food</v>
      </c>
    </row>
    <row r="80" spans="1:6" x14ac:dyDescent="0.25">
      <c r="A80">
        <v>45141</v>
      </c>
      <c r="B80">
        <v>-28.6</v>
      </c>
      <c r="C80" t="s">
        <v>385</v>
      </c>
      <c r="D80" t="s">
        <v>388</v>
      </c>
      <c r="E80" t="s">
        <v>240</v>
      </c>
      <c r="F80" t="str">
        <f>VLOOKUP(E80, 'POS Categories'!$A$1:$B$1999, 2, FALSE)</f>
        <v>Food</v>
      </c>
    </row>
    <row r="81" spans="1:6" x14ac:dyDescent="0.25">
      <c r="A81">
        <v>45141</v>
      </c>
      <c r="B81">
        <v>-14.76</v>
      </c>
      <c r="C81" t="s">
        <v>385</v>
      </c>
      <c r="D81" t="s">
        <v>388</v>
      </c>
      <c r="E81" t="s">
        <v>1225</v>
      </c>
      <c r="F81" t="str">
        <f>VLOOKUP(E81, 'POS Categories'!$A$1:$B$1999, 2, FALSE)</f>
        <v>Food</v>
      </c>
    </row>
    <row r="82" spans="1:6" x14ac:dyDescent="0.25">
      <c r="A82">
        <v>45141</v>
      </c>
      <c r="B82">
        <v>-9.85</v>
      </c>
      <c r="C82" t="s">
        <v>385</v>
      </c>
      <c r="D82" t="s">
        <v>388</v>
      </c>
      <c r="E82" t="s">
        <v>184</v>
      </c>
      <c r="F82" t="str">
        <f>VLOOKUP(E82, 'POS Categories'!$A$1:$B$1999, 2, FALSE)</f>
        <v>Food</v>
      </c>
    </row>
    <row r="83" spans="1:6" x14ac:dyDescent="0.25">
      <c r="A83">
        <v>45140</v>
      </c>
      <c r="B83">
        <v>-8.52</v>
      </c>
      <c r="C83" t="s">
        <v>385</v>
      </c>
      <c r="D83" t="s">
        <v>388</v>
      </c>
      <c r="E83" t="s">
        <v>1318</v>
      </c>
      <c r="F83" t="str">
        <f>VLOOKUP(E83, 'POS Categories'!$A$1:$B$1999, 2, FALSE)</f>
        <v>Food</v>
      </c>
    </row>
    <row r="84" spans="1:6" x14ac:dyDescent="0.25">
      <c r="A84">
        <v>45140</v>
      </c>
      <c r="B84">
        <v>-115</v>
      </c>
      <c r="C84" t="s">
        <v>385</v>
      </c>
      <c r="D84" t="s">
        <v>388</v>
      </c>
      <c r="E84" t="s">
        <v>1231</v>
      </c>
      <c r="F84" t="str">
        <f>VLOOKUP(E84, 'POS Categories'!$A$1:$B$1999, 2, FALSE)</f>
        <v>Entertainment</v>
      </c>
    </row>
    <row r="85" spans="1:6" x14ac:dyDescent="0.25">
      <c r="A85">
        <v>45140</v>
      </c>
      <c r="B85">
        <v>-9.3000000000000007</v>
      </c>
      <c r="C85" t="s">
        <v>385</v>
      </c>
      <c r="D85" t="s">
        <v>388</v>
      </c>
      <c r="E85" t="s">
        <v>317</v>
      </c>
      <c r="F85" t="str">
        <f>VLOOKUP(E85, 'POS Categories'!$A$1:$B$1999, 2, FALSE)</f>
        <v>Food</v>
      </c>
    </row>
    <row r="86" spans="1:6" x14ac:dyDescent="0.25">
      <c r="A86">
        <v>45140</v>
      </c>
      <c r="B86">
        <v>-3.87</v>
      </c>
      <c r="C86" t="s">
        <v>385</v>
      </c>
      <c r="D86" t="s">
        <v>388</v>
      </c>
      <c r="E86" t="s">
        <v>408</v>
      </c>
      <c r="F86" t="str">
        <f>VLOOKUP(E86, 'POS Categories'!$A$1:$B$1999, 2, FALSE)</f>
        <v>Food</v>
      </c>
    </row>
    <row r="87" spans="1:6" x14ac:dyDescent="0.25">
      <c r="A87">
        <v>45140</v>
      </c>
      <c r="B87">
        <v>-10.3</v>
      </c>
      <c r="C87" t="s">
        <v>385</v>
      </c>
      <c r="D87" t="s">
        <v>388</v>
      </c>
      <c r="E87" t="s">
        <v>408</v>
      </c>
      <c r="F87" t="str">
        <f>VLOOKUP(E87, 'POS Categories'!$A$1:$B$1999, 2, FALSE)</f>
        <v>Food</v>
      </c>
    </row>
    <row r="88" spans="1:6" x14ac:dyDescent="0.25">
      <c r="A88">
        <v>45140</v>
      </c>
      <c r="B88">
        <v>-15.15</v>
      </c>
      <c r="C88" t="s">
        <v>385</v>
      </c>
      <c r="D88" t="s">
        <v>388</v>
      </c>
      <c r="E88" t="s">
        <v>1198</v>
      </c>
      <c r="F88" t="str">
        <f>VLOOKUP(E88, 'POS Categories'!$A$1:$B$1999, 2, FALSE)</f>
        <v>Entertainment</v>
      </c>
    </row>
    <row r="89" spans="1:6" x14ac:dyDescent="0.25">
      <c r="A89">
        <v>45139</v>
      </c>
      <c r="B89">
        <v>-1325</v>
      </c>
      <c r="C89" t="s">
        <v>385</v>
      </c>
      <c r="D89" t="s">
        <v>414</v>
      </c>
      <c r="E89" t="s">
        <v>1224</v>
      </c>
      <c r="F89" t="str">
        <f>VLOOKUP(E89, 'POS Categories'!$A$1:$B$1999, 2, FALSE)</f>
        <v>Rent</v>
      </c>
    </row>
    <row r="90" spans="1:6" x14ac:dyDescent="0.25">
      <c r="A90">
        <v>45139</v>
      </c>
      <c r="B90">
        <v>-9.1999999999999993</v>
      </c>
      <c r="C90" t="s">
        <v>385</v>
      </c>
      <c r="D90" t="s">
        <v>388</v>
      </c>
      <c r="E90" t="s">
        <v>317</v>
      </c>
      <c r="F90" t="str">
        <f>VLOOKUP(E90, 'POS Categories'!$A$1:$B$1999, 2, FALSE)</f>
        <v>Food</v>
      </c>
    </row>
    <row r="91" spans="1:6" x14ac:dyDescent="0.25">
      <c r="A91">
        <v>45139</v>
      </c>
      <c r="B91">
        <v>-29.52</v>
      </c>
      <c r="C91" t="s">
        <v>385</v>
      </c>
      <c r="D91" t="s">
        <v>388</v>
      </c>
      <c r="E91" t="s">
        <v>1340</v>
      </c>
      <c r="F91" t="str">
        <f>VLOOKUP(E91, 'POS Categories'!$A$1:$B$1999, 2, FALSE)</f>
        <v>Food</v>
      </c>
    </row>
    <row r="92" spans="1:6" x14ac:dyDescent="0.25">
      <c r="A92">
        <v>45139</v>
      </c>
      <c r="B92">
        <v>-28.06</v>
      </c>
      <c r="C92" t="s">
        <v>385</v>
      </c>
      <c r="D92" t="s">
        <v>388</v>
      </c>
      <c r="E92" t="s">
        <v>149</v>
      </c>
      <c r="F92" t="str">
        <f>VLOOKUP(E92, 'POS Categories'!$A$1:$B$1999, 2, FALSE)</f>
        <v>Food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82"/>
  <sheetViews>
    <sheetView workbookViewId="0">
      <selection sqref="A1:E500"/>
    </sheetView>
  </sheetViews>
  <sheetFormatPr defaultRowHeight="15" x14ac:dyDescent="0.25"/>
  <sheetData>
    <row r="1" spans="1:6" x14ac:dyDescent="0.25">
      <c r="A1">
        <v>45138</v>
      </c>
      <c r="B1">
        <v>-27.37</v>
      </c>
      <c r="C1" t="s">
        <v>385</v>
      </c>
      <c r="D1" t="s">
        <v>388</v>
      </c>
      <c r="E1" t="s">
        <v>171</v>
      </c>
      <c r="F1" t="str">
        <f>VLOOKUP(E1, 'POS Categories'!$A$1:$B$1999, 2, FALSE)</f>
        <v>Food</v>
      </c>
    </row>
    <row r="2" spans="1:6" x14ac:dyDescent="0.25">
      <c r="A2">
        <v>45138</v>
      </c>
      <c r="B2">
        <v>-14.77</v>
      </c>
      <c r="C2" t="s">
        <v>385</v>
      </c>
      <c r="D2" t="s">
        <v>388</v>
      </c>
      <c r="E2" t="s">
        <v>1225</v>
      </c>
      <c r="F2" t="str">
        <f>VLOOKUP(E2, 'POS Categories'!$A$1:$B$1999, 2, FALSE)</f>
        <v>Food</v>
      </c>
    </row>
    <row r="3" spans="1:6" x14ac:dyDescent="0.25">
      <c r="A3">
        <v>45138</v>
      </c>
      <c r="B3">
        <v>-20</v>
      </c>
      <c r="C3" t="s">
        <v>385</v>
      </c>
      <c r="D3" t="s">
        <v>388</v>
      </c>
      <c r="E3" t="s">
        <v>34</v>
      </c>
      <c r="F3" t="str">
        <f>VLOOKUP(E3, 'POS Categories'!$A$1:$B$1999, 2, FALSE)</f>
        <v>Food</v>
      </c>
    </row>
    <row r="4" spans="1:6" x14ac:dyDescent="0.25">
      <c r="A4">
        <v>45138</v>
      </c>
      <c r="B4">
        <v>-7.82</v>
      </c>
      <c r="C4" t="s">
        <v>385</v>
      </c>
      <c r="D4" t="s">
        <v>388</v>
      </c>
      <c r="E4" t="s">
        <v>1268</v>
      </c>
      <c r="F4" t="str">
        <f>VLOOKUP(E4, 'POS Categories'!$A$1:$B$1999, 2, FALSE)</f>
        <v>Food</v>
      </c>
    </row>
    <row r="5" spans="1:6" x14ac:dyDescent="0.25">
      <c r="A5">
        <v>45136</v>
      </c>
      <c r="B5">
        <v>-68.5</v>
      </c>
      <c r="C5" t="s">
        <v>385</v>
      </c>
      <c r="D5" t="s">
        <v>388</v>
      </c>
      <c r="E5" t="s">
        <v>1269</v>
      </c>
      <c r="F5" t="str">
        <f>VLOOKUP(E5, 'POS Categories'!$A$1:$B$1999, 2, FALSE)</f>
        <v>Vehicle</v>
      </c>
    </row>
    <row r="6" spans="1:6" x14ac:dyDescent="0.25">
      <c r="A6">
        <v>45135</v>
      </c>
      <c r="B6">
        <v>-54.83</v>
      </c>
      <c r="C6" t="s">
        <v>385</v>
      </c>
      <c r="D6" t="s">
        <v>388</v>
      </c>
      <c r="E6" t="s">
        <v>1330</v>
      </c>
      <c r="F6" t="str">
        <f>VLOOKUP(E6, 'POS Categories'!$A$1:$B$1999, 2, FALSE)</f>
        <v>Vehicle</v>
      </c>
    </row>
    <row r="7" spans="1:6" x14ac:dyDescent="0.25">
      <c r="A7">
        <v>45135</v>
      </c>
      <c r="B7">
        <v>-10.3</v>
      </c>
      <c r="C7" t="s">
        <v>385</v>
      </c>
      <c r="D7" t="s">
        <v>388</v>
      </c>
      <c r="E7" t="s">
        <v>408</v>
      </c>
      <c r="F7" t="str">
        <f>VLOOKUP(E7, 'POS Categories'!$A$1:$B$1999, 2, FALSE)</f>
        <v>Food</v>
      </c>
    </row>
    <row r="8" spans="1:6" x14ac:dyDescent="0.25">
      <c r="A8">
        <v>45135</v>
      </c>
      <c r="B8">
        <v>2067.36</v>
      </c>
      <c r="C8" t="s">
        <v>385</v>
      </c>
      <c r="D8" t="s">
        <v>386</v>
      </c>
      <c r="E8" t="s">
        <v>1193</v>
      </c>
      <c r="F8" t="str">
        <f>VLOOKUP(E8, 'POS Categories'!$A$1:$B$1999, 2, FALSE)</f>
        <v>Job</v>
      </c>
    </row>
    <row r="9" spans="1:6" x14ac:dyDescent="0.25">
      <c r="A9">
        <v>45134</v>
      </c>
      <c r="B9">
        <v>-74.290000000000006</v>
      </c>
      <c r="C9" t="s">
        <v>385</v>
      </c>
      <c r="D9" t="s">
        <v>388</v>
      </c>
      <c r="E9" t="s">
        <v>395</v>
      </c>
      <c r="F9" t="str">
        <f>VLOOKUP(E9, 'POS Categories'!$A$1:$B$1999, 2, FALSE)</f>
        <v>Vehicle</v>
      </c>
    </row>
    <row r="10" spans="1:6" x14ac:dyDescent="0.25">
      <c r="A10">
        <v>45134</v>
      </c>
      <c r="B10">
        <v>-26.72</v>
      </c>
      <c r="C10" t="s">
        <v>385</v>
      </c>
      <c r="D10" t="s">
        <v>388</v>
      </c>
      <c r="E10" t="s">
        <v>205</v>
      </c>
      <c r="F10" t="str">
        <f>VLOOKUP(E10, 'POS Categories'!$A$1:$B$1999, 2, FALSE)</f>
        <v>Food</v>
      </c>
    </row>
    <row r="11" spans="1:6" x14ac:dyDescent="0.25">
      <c r="A11">
        <v>45134</v>
      </c>
      <c r="B11">
        <v>-4.76</v>
      </c>
      <c r="C11" t="s">
        <v>385</v>
      </c>
      <c r="D11" t="s">
        <v>388</v>
      </c>
      <c r="E11" t="s">
        <v>408</v>
      </c>
      <c r="F11" t="str">
        <f>VLOOKUP(E11, 'POS Categories'!$A$1:$B$1999, 2, FALSE)</f>
        <v>Food</v>
      </c>
    </row>
    <row r="12" spans="1:6" x14ac:dyDescent="0.25">
      <c r="A12">
        <v>45134</v>
      </c>
      <c r="B12">
        <v>-16.48</v>
      </c>
      <c r="C12" t="s">
        <v>385</v>
      </c>
      <c r="D12" t="s">
        <v>388</v>
      </c>
      <c r="E12" t="s">
        <v>408</v>
      </c>
      <c r="F12" t="str">
        <f>VLOOKUP(E12, 'POS Categories'!$A$1:$B$1999, 2, FALSE)</f>
        <v>Food</v>
      </c>
    </row>
    <row r="13" spans="1:6" x14ac:dyDescent="0.25">
      <c r="A13">
        <v>45134</v>
      </c>
      <c r="B13">
        <v>-18.18</v>
      </c>
      <c r="C13" t="s">
        <v>385</v>
      </c>
      <c r="D13" t="s">
        <v>388</v>
      </c>
      <c r="E13" t="s">
        <v>317</v>
      </c>
      <c r="F13" t="str">
        <f>VLOOKUP(E13, 'POS Categories'!$A$1:$B$1999, 2, FALSE)</f>
        <v>Food</v>
      </c>
    </row>
    <row r="14" spans="1:6" x14ac:dyDescent="0.25">
      <c r="A14">
        <v>45133</v>
      </c>
      <c r="B14">
        <v>-22.17</v>
      </c>
      <c r="C14" t="s">
        <v>385</v>
      </c>
      <c r="D14" t="s">
        <v>388</v>
      </c>
      <c r="E14" t="s">
        <v>284</v>
      </c>
      <c r="F14" t="str">
        <f>VLOOKUP(E14, 'POS Categories'!$A$1:$B$1999, 2, FALSE)</f>
        <v>Food</v>
      </c>
    </row>
    <row r="15" spans="1:6" x14ac:dyDescent="0.25">
      <c r="A15">
        <v>45133</v>
      </c>
      <c r="B15">
        <v>-1.8</v>
      </c>
      <c r="C15" t="s">
        <v>385</v>
      </c>
      <c r="D15" t="s">
        <v>388</v>
      </c>
      <c r="E15" t="s">
        <v>1203</v>
      </c>
      <c r="F15" t="str">
        <f>VLOOKUP(E15, 'POS Categories'!$A$1:$B$1999, 2, FALSE)</f>
        <v>Vehicle</v>
      </c>
    </row>
    <row r="16" spans="1:6" x14ac:dyDescent="0.25">
      <c r="A16">
        <v>45133</v>
      </c>
      <c r="B16">
        <v>-9.64</v>
      </c>
      <c r="C16" t="s">
        <v>385</v>
      </c>
      <c r="D16" t="s">
        <v>388</v>
      </c>
      <c r="E16" t="s">
        <v>317</v>
      </c>
      <c r="F16" t="str">
        <f>VLOOKUP(E16, 'POS Categories'!$A$1:$B$1999, 2, FALSE)</f>
        <v>Food</v>
      </c>
    </row>
    <row r="17" spans="1:6" x14ac:dyDescent="0.25">
      <c r="A17">
        <v>45132</v>
      </c>
      <c r="B17">
        <v>-13.08</v>
      </c>
      <c r="C17" t="s">
        <v>385</v>
      </c>
      <c r="D17" t="s">
        <v>388</v>
      </c>
      <c r="E17" t="s">
        <v>171</v>
      </c>
      <c r="F17" t="str">
        <f>VLOOKUP(E17, 'POS Categories'!$A$1:$B$1999, 2, FALSE)</f>
        <v>Food</v>
      </c>
    </row>
    <row r="18" spans="1:6" x14ac:dyDescent="0.25">
      <c r="A18">
        <v>45132</v>
      </c>
      <c r="B18">
        <v>-9.52</v>
      </c>
      <c r="C18" t="s">
        <v>385</v>
      </c>
      <c r="D18" t="s">
        <v>388</v>
      </c>
      <c r="E18" t="s">
        <v>408</v>
      </c>
      <c r="F18" t="str">
        <f>VLOOKUP(E18, 'POS Categories'!$A$1:$B$1999, 2, FALSE)</f>
        <v>Food</v>
      </c>
    </row>
    <row r="19" spans="1:6" x14ac:dyDescent="0.25">
      <c r="A19">
        <v>45132</v>
      </c>
      <c r="B19">
        <v>-255.46</v>
      </c>
      <c r="C19" t="s">
        <v>385</v>
      </c>
      <c r="D19" t="s">
        <v>388</v>
      </c>
      <c r="E19" t="s">
        <v>196</v>
      </c>
      <c r="F19" t="str">
        <f>VLOOKUP(E19, 'POS Categories'!$A$1:$B$1999, 2, FALSE)</f>
        <v>Vehicle</v>
      </c>
    </row>
    <row r="20" spans="1:6" x14ac:dyDescent="0.25">
      <c r="A20">
        <v>45131</v>
      </c>
      <c r="B20">
        <v>-7.38</v>
      </c>
      <c r="C20" t="s">
        <v>385</v>
      </c>
      <c r="D20" t="s">
        <v>388</v>
      </c>
      <c r="E20" t="s">
        <v>1225</v>
      </c>
      <c r="F20" t="str">
        <f>VLOOKUP(E20, 'POS Categories'!$A$1:$B$1999, 2, FALSE)</f>
        <v>Food</v>
      </c>
    </row>
    <row r="21" spans="1:6" x14ac:dyDescent="0.25">
      <c r="A21">
        <v>45131</v>
      </c>
      <c r="B21">
        <v>-14.77</v>
      </c>
      <c r="C21" t="s">
        <v>385</v>
      </c>
      <c r="D21" t="s">
        <v>388</v>
      </c>
      <c r="E21" t="s">
        <v>1225</v>
      </c>
      <c r="F21" t="str">
        <f>VLOOKUP(E21, 'POS Categories'!$A$1:$B$1999, 2, FALSE)</f>
        <v>Food</v>
      </c>
    </row>
    <row r="22" spans="1:6" x14ac:dyDescent="0.25">
      <c r="A22">
        <v>45131</v>
      </c>
      <c r="B22">
        <v>-148.47</v>
      </c>
      <c r="C22" t="s">
        <v>385</v>
      </c>
      <c r="D22" t="s">
        <v>435</v>
      </c>
      <c r="E22" t="s">
        <v>1257</v>
      </c>
      <c r="F22" t="str">
        <f>VLOOKUP(E22, 'POS Categories'!$A$1:$B$1999, 2, FALSE)</f>
        <v>Power</v>
      </c>
    </row>
    <row r="23" spans="1:6" x14ac:dyDescent="0.25">
      <c r="A23">
        <v>45129</v>
      </c>
      <c r="B23">
        <v>-36.590000000000003</v>
      </c>
      <c r="C23" t="s">
        <v>385</v>
      </c>
      <c r="D23" t="s">
        <v>388</v>
      </c>
      <c r="E23" t="s">
        <v>8</v>
      </c>
      <c r="F23" t="str">
        <f>VLOOKUP(E23, 'POS Categories'!$A$1:$B$1999, 2, FALSE)</f>
        <v>Food</v>
      </c>
    </row>
    <row r="24" spans="1:6" x14ac:dyDescent="0.25">
      <c r="A24">
        <v>45128</v>
      </c>
      <c r="B24">
        <v>-15.54</v>
      </c>
      <c r="C24" t="s">
        <v>385</v>
      </c>
      <c r="D24" t="s">
        <v>388</v>
      </c>
      <c r="E24" t="s">
        <v>1225</v>
      </c>
      <c r="F24" t="str">
        <f>VLOOKUP(E24, 'POS Categories'!$A$1:$B$1999, 2, FALSE)</f>
        <v>Food</v>
      </c>
    </row>
    <row r="25" spans="1:6" x14ac:dyDescent="0.25">
      <c r="A25">
        <v>45128</v>
      </c>
      <c r="B25">
        <v>-86.41</v>
      </c>
      <c r="C25" t="s">
        <v>385</v>
      </c>
      <c r="D25" t="s">
        <v>388</v>
      </c>
      <c r="E25" t="s">
        <v>262</v>
      </c>
      <c r="F25" t="str">
        <f>VLOOKUP(E25, 'POS Categories'!$A$1:$B$1999, 2, FALSE)</f>
        <v>Entertainment</v>
      </c>
    </row>
    <row r="26" spans="1:6" x14ac:dyDescent="0.25">
      <c r="A26">
        <v>45127</v>
      </c>
      <c r="B26">
        <v>-24.84</v>
      </c>
      <c r="C26" t="s">
        <v>385</v>
      </c>
      <c r="D26" t="s">
        <v>388</v>
      </c>
      <c r="E26" t="s">
        <v>33</v>
      </c>
      <c r="F26" t="str">
        <f>VLOOKUP(E26, 'POS Categories'!$A$1:$B$1999, 2, FALSE)</f>
        <v>Food</v>
      </c>
    </row>
    <row r="27" spans="1:6" x14ac:dyDescent="0.25">
      <c r="A27">
        <v>45127</v>
      </c>
      <c r="B27">
        <v>-13.21</v>
      </c>
      <c r="C27" t="s">
        <v>385</v>
      </c>
      <c r="D27" t="s">
        <v>388</v>
      </c>
      <c r="E27" t="s">
        <v>1225</v>
      </c>
      <c r="F27" t="str">
        <f>VLOOKUP(E27, 'POS Categories'!$A$1:$B$1999, 2, FALSE)</f>
        <v>Food</v>
      </c>
    </row>
    <row r="28" spans="1:6" x14ac:dyDescent="0.25">
      <c r="A28">
        <v>45126</v>
      </c>
      <c r="B28">
        <v>-68.239999999999995</v>
      </c>
      <c r="C28" t="s">
        <v>385</v>
      </c>
      <c r="D28" t="s">
        <v>388</v>
      </c>
      <c r="E28" t="s">
        <v>395</v>
      </c>
      <c r="F28" t="str">
        <f>VLOOKUP(E28, 'POS Categories'!$A$1:$B$1999, 2, FALSE)</f>
        <v>Vehicle</v>
      </c>
    </row>
    <row r="29" spans="1:6" x14ac:dyDescent="0.25">
      <c r="A29">
        <v>45126</v>
      </c>
      <c r="B29">
        <v>-14.77</v>
      </c>
      <c r="C29" t="s">
        <v>385</v>
      </c>
      <c r="D29" t="s">
        <v>388</v>
      </c>
      <c r="E29" t="s">
        <v>1225</v>
      </c>
      <c r="F29" t="str">
        <f>VLOOKUP(E29, 'POS Categories'!$A$1:$B$1999, 2, FALSE)</f>
        <v>Food</v>
      </c>
    </row>
    <row r="30" spans="1:6" x14ac:dyDescent="0.25">
      <c r="A30">
        <v>45126</v>
      </c>
      <c r="B30">
        <v>750</v>
      </c>
      <c r="C30" t="s">
        <v>385</v>
      </c>
      <c r="D30" t="s">
        <v>467</v>
      </c>
      <c r="E30" t="s">
        <v>200</v>
      </c>
      <c r="F30" t="str">
        <f>VLOOKUP(E30, 'POS Categories'!$A$1:$B$1999, 2, FALSE)</f>
        <v>Bills</v>
      </c>
    </row>
    <row r="31" spans="1:6" x14ac:dyDescent="0.25">
      <c r="A31">
        <v>45126</v>
      </c>
      <c r="B31">
        <v>-60.75</v>
      </c>
      <c r="C31" t="s">
        <v>385</v>
      </c>
      <c r="D31" t="s">
        <v>400</v>
      </c>
      <c r="E31" t="s">
        <v>401</v>
      </c>
      <c r="F31" t="str">
        <f>VLOOKUP(E31, 'POS Categories'!$A$1:$B$1999, 2, FALSE)</f>
        <v>Misc</v>
      </c>
    </row>
    <row r="32" spans="1:6" x14ac:dyDescent="0.25">
      <c r="A32">
        <v>45125</v>
      </c>
      <c r="B32">
        <v>-14.77</v>
      </c>
      <c r="C32" t="s">
        <v>385</v>
      </c>
      <c r="D32" t="s">
        <v>388</v>
      </c>
      <c r="E32" t="s">
        <v>1225</v>
      </c>
      <c r="F32" t="str">
        <f>VLOOKUP(E32, 'POS Categories'!$A$1:$B$1999, 2, FALSE)</f>
        <v>Food</v>
      </c>
    </row>
    <row r="33" spans="1:6" x14ac:dyDescent="0.25">
      <c r="A33">
        <v>45124</v>
      </c>
      <c r="B33">
        <v>-1500</v>
      </c>
      <c r="C33" t="s">
        <v>385</v>
      </c>
      <c r="D33" t="s">
        <v>507</v>
      </c>
      <c r="E33" t="s">
        <v>1283</v>
      </c>
      <c r="F33" t="str">
        <f>VLOOKUP(E33, 'POS Categories'!$A$1:$B$1999, 2, FALSE)</f>
        <v>Investment</v>
      </c>
    </row>
    <row r="34" spans="1:6" x14ac:dyDescent="0.25">
      <c r="A34">
        <v>45124</v>
      </c>
      <c r="B34">
        <v>-3.48</v>
      </c>
      <c r="C34" t="s">
        <v>385</v>
      </c>
      <c r="D34" t="s">
        <v>388</v>
      </c>
      <c r="E34" t="s">
        <v>157</v>
      </c>
      <c r="F34" t="str">
        <f>VLOOKUP(E34, 'POS Categories'!$A$1:$B$1999, 2, FALSE)</f>
        <v>Personal</v>
      </c>
    </row>
    <row r="35" spans="1:6" x14ac:dyDescent="0.25">
      <c r="A35">
        <v>45124</v>
      </c>
      <c r="B35">
        <v>-18.27</v>
      </c>
      <c r="C35" t="s">
        <v>385</v>
      </c>
      <c r="D35" t="s">
        <v>388</v>
      </c>
      <c r="E35" t="s">
        <v>157</v>
      </c>
      <c r="F35" t="str">
        <f>VLOOKUP(E35, 'POS Categories'!$A$1:$B$1999, 2, FALSE)</f>
        <v>Personal</v>
      </c>
    </row>
    <row r="36" spans="1:6" x14ac:dyDescent="0.25">
      <c r="A36">
        <v>45124</v>
      </c>
      <c r="B36">
        <v>-84.1</v>
      </c>
      <c r="C36" t="s">
        <v>385</v>
      </c>
      <c r="D36" t="s">
        <v>388</v>
      </c>
      <c r="E36" t="s">
        <v>157</v>
      </c>
      <c r="F36" t="str">
        <f>VLOOKUP(E36, 'POS Categories'!$A$1:$B$1999, 2, FALSE)</f>
        <v>Personal</v>
      </c>
    </row>
    <row r="37" spans="1:6" x14ac:dyDescent="0.25">
      <c r="A37">
        <v>45124</v>
      </c>
      <c r="B37">
        <v>-6.63</v>
      </c>
      <c r="C37" t="s">
        <v>385</v>
      </c>
      <c r="D37" t="s">
        <v>388</v>
      </c>
      <c r="E37" t="s">
        <v>157</v>
      </c>
      <c r="F37" t="str">
        <f>VLOOKUP(E37, 'POS Categories'!$A$1:$B$1999, 2, FALSE)</f>
        <v>Personal</v>
      </c>
    </row>
    <row r="38" spans="1:6" x14ac:dyDescent="0.25">
      <c r="A38">
        <v>45124</v>
      </c>
      <c r="B38">
        <v>-30.37</v>
      </c>
      <c r="C38" t="s">
        <v>385</v>
      </c>
      <c r="D38" t="s">
        <v>388</v>
      </c>
      <c r="E38" t="s">
        <v>178</v>
      </c>
      <c r="F38" t="str">
        <f>VLOOKUP(E38, 'POS Categories'!$A$1:$B$1999, 2, FALSE)</f>
        <v>Food</v>
      </c>
    </row>
    <row r="39" spans="1:6" x14ac:dyDescent="0.25">
      <c r="A39">
        <v>45124</v>
      </c>
      <c r="B39">
        <v>-37.700000000000003</v>
      </c>
      <c r="C39" t="s">
        <v>385</v>
      </c>
      <c r="D39" t="s">
        <v>388</v>
      </c>
      <c r="E39" t="s">
        <v>171</v>
      </c>
      <c r="F39" t="str">
        <f>VLOOKUP(E39, 'POS Categories'!$A$1:$B$1999, 2, FALSE)</f>
        <v>Food</v>
      </c>
    </row>
    <row r="40" spans="1:6" x14ac:dyDescent="0.25">
      <c r="A40">
        <v>45124</v>
      </c>
      <c r="B40">
        <v>-7.48</v>
      </c>
      <c r="C40" t="s">
        <v>385</v>
      </c>
      <c r="D40" t="s">
        <v>388</v>
      </c>
      <c r="E40" t="s">
        <v>1318</v>
      </c>
      <c r="F40" t="str">
        <f>VLOOKUP(E40, 'POS Categories'!$A$1:$B$1999, 2, FALSE)</f>
        <v>Food</v>
      </c>
    </row>
    <row r="41" spans="1:6" x14ac:dyDescent="0.25">
      <c r="A41">
        <v>45124</v>
      </c>
      <c r="B41">
        <v>-12.75</v>
      </c>
      <c r="C41" t="s">
        <v>385</v>
      </c>
      <c r="D41" t="s">
        <v>388</v>
      </c>
      <c r="E41" t="s">
        <v>185</v>
      </c>
      <c r="F41" t="str">
        <f>VLOOKUP(E41, 'POS Categories'!$A$1:$B$1999, 2, FALSE)</f>
        <v>Food</v>
      </c>
    </row>
    <row r="42" spans="1:6" x14ac:dyDescent="0.25">
      <c r="A42">
        <v>45124</v>
      </c>
      <c r="B42">
        <v>-8.7100000000000009</v>
      </c>
      <c r="C42" t="s">
        <v>385</v>
      </c>
      <c r="D42" t="s">
        <v>388</v>
      </c>
      <c r="E42" t="s">
        <v>1331</v>
      </c>
      <c r="F42" t="str">
        <f>VLOOKUP(E42, 'POS Categories'!$A$1:$B$1999, 2, FALSE)</f>
        <v>Food</v>
      </c>
    </row>
    <row r="43" spans="1:6" x14ac:dyDescent="0.25">
      <c r="A43">
        <v>45124</v>
      </c>
      <c r="B43">
        <v>-14.55</v>
      </c>
      <c r="C43" t="s">
        <v>385</v>
      </c>
      <c r="D43" t="s">
        <v>388</v>
      </c>
      <c r="E43" t="s">
        <v>1225</v>
      </c>
      <c r="F43" t="str">
        <f>VLOOKUP(E43, 'POS Categories'!$A$1:$B$1999, 2, FALSE)</f>
        <v>Food</v>
      </c>
    </row>
    <row r="44" spans="1:6" x14ac:dyDescent="0.25">
      <c r="A44">
        <v>45122</v>
      </c>
      <c r="B44">
        <v>-54.04</v>
      </c>
      <c r="C44" t="s">
        <v>385</v>
      </c>
      <c r="D44" t="s">
        <v>388</v>
      </c>
      <c r="E44" t="s">
        <v>319</v>
      </c>
      <c r="F44" t="str">
        <f>VLOOKUP(E44, 'POS Categories'!$A$1:$B$1999, 2, FALSE)</f>
        <v>Food</v>
      </c>
    </row>
    <row r="45" spans="1:6" x14ac:dyDescent="0.25">
      <c r="A45">
        <v>45122</v>
      </c>
      <c r="B45">
        <v>-11.63</v>
      </c>
      <c r="C45" t="s">
        <v>385</v>
      </c>
      <c r="D45" t="s">
        <v>388</v>
      </c>
      <c r="E45" t="s">
        <v>1332</v>
      </c>
      <c r="F45" t="str">
        <f>VLOOKUP(E45, 'POS Categories'!$A$1:$B$1999, 2, FALSE)</f>
        <v>Sports</v>
      </c>
    </row>
    <row r="46" spans="1:6" x14ac:dyDescent="0.25">
      <c r="A46">
        <v>45122</v>
      </c>
      <c r="B46">
        <v>-14.76</v>
      </c>
      <c r="C46" t="s">
        <v>385</v>
      </c>
      <c r="D46" t="s">
        <v>388</v>
      </c>
      <c r="E46" t="s">
        <v>1225</v>
      </c>
      <c r="F46" t="str">
        <f>VLOOKUP(E46, 'POS Categories'!$A$1:$B$1999, 2, FALSE)</f>
        <v>Food</v>
      </c>
    </row>
    <row r="47" spans="1:6" x14ac:dyDescent="0.25">
      <c r="A47">
        <v>45122</v>
      </c>
      <c r="B47">
        <v>-22.19</v>
      </c>
      <c r="C47" t="s">
        <v>385</v>
      </c>
      <c r="D47" t="s">
        <v>388</v>
      </c>
      <c r="E47" t="s">
        <v>261</v>
      </c>
      <c r="F47" t="str">
        <f>VLOOKUP(E47, 'POS Categories'!$A$1:$B$1999, 2, FALSE)</f>
        <v>Home</v>
      </c>
    </row>
    <row r="48" spans="1:6" x14ac:dyDescent="0.25">
      <c r="A48">
        <v>45122</v>
      </c>
      <c r="B48">
        <v>-66.55</v>
      </c>
      <c r="C48" t="s">
        <v>385</v>
      </c>
      <c r="D48" t="s">
        <v>388</v>
      </c>
      <c r="E48" t="s">
        <v>175</v>
      </c>
      <c r="F48" t="str">
        <f>VLOOKUP(E48, 'POS Categories'!$A$1:$B$1999, 2, FALSE)</f>
        <v>Sasktel</v>
      </c>
    </row>
    <row r="49" spans="1:6" x14ac:dyDescent="0.25">
      <c r="A49">
        <v>45121</v>
      </c>
      <c r="B49">
        <v>-39.47</v>
      </c>
      <c r="C49" t="s">
        <v>385</v>
      </c>
      <c r="D49" t="s">
        <v>388</v>
      </c>
      <c r="E49" t="s">
        <v>171</v>
      </c>
      <c r="F49" t="str">
        <f>VLOOKUP(E49, 'POS Categories'!$A$1:$B$1999, 2, FALSE)</f>
        <v>Food</v>
      </c>
    </row>
    <row r="50" spans="1:6" x14ac:dyDescent="0.25">
      <c r="A50">
        <v>45121</v>
      </c>
      <c r="B50">
        <v>-3.1</v>
      </c>
      <c r="C50" t="s">
        <v>385</v>
      </c>
      <c r="D50" t="s">
        <v>388</v>
      </c>
      <c r="E50" t="s">
        <v>408</v>
      </c>
      <c r="F50" t="str">
        <f>VLOOKUP(E50, 'POS Categories'!$A$1:$B$1999, 2, FALSE)</f>
        <v>Food</v>
      </c>
    </row>
    <row r="51" spans="1:6" x14ac:dyDescent="0.25">
      <c r="A51">
        <v>45121</v>
      </c>
      <c r="B51">
        <v>-10.48</v>
      </c>
      <c r="C51" t="s">
        <v>385</v>
      </c>
      <c r="D51" t="s">
        <v>388</v>
      </c>
      <c r="E51" t="s">
        <v>408</v>
      </c>
      <c r="F51" t="str">
        <f>VLOOKUP(E51, 'POS Categories'!$A$1:$B$1999, 2, FALSE)</f>
        <v>Food</v>
      </c>
    </row>
    <row r="52" spans="1:6" x14ac:dyDescent="0.25">
      <c r="A52">
        <v>45121</v>
      </c>
      <c r="B52">
        <v>1986.27</v>
      </c>
      <c r="C52" t="s">
        <v>385</v>
      </c>
      <c r="D52" t="s">
        <v>386</v>
      </c>
      <c r="E52" t="s">
        <v>1193</v>
      </c>
      <c r="F52" t="str">
        <f>VLOOKUP(E52, 'POS Categories'!$A$1:$B$1999, 2, FALSE)</f>
        <v>Job</v>
      </c>
    </row>
    <row r="53" spans="1:6" x14ac:dyDescent="0.25">
      <c r="A53">
        <v>45121</v>
      </c>
      <c r="B53">
        <v>170</v>
      </c>
      <c r="C53" t="s">
        <v>385</v>
      </c>
      <c r="D53" t="s">
        <v>1259</v>
      </c>
      <c r="E53" t="s">
        <v>280</v>
      </c>
      <c r="F53" t="str">
        <f>VLOOKUP(E53, 'POS Categories'!$A$1:$B$1999, 2, FALSE)</f>
        <v>Government</v>
      </c>
    </row>
    <row r="54" spans="1:6" x14ac:dyDescent="0.25">
      <c r="A54">
        <v>45120</v>
      </c>
      <c r="B54">
        <v>500</v>
      </c>
      <c r="C54" t="s">
        <v>385</v>
      </c>
      <c r="D54" t="s">
        <v>467</v>
      </c>
      <c r="E54" t="s">
        <v>637</v>
      </c>
      <c r="F54" t="str">
        <f>VLOOKUP(E54, 'POS Categories'!$A$1:$B$1999, 2, FALSE)</f>
        <v>Misc</v>
      </c>
    </row>
    <row r="55" spans="1:6" x14ac:dyDescent="0.25">
      <c r="A55">
        <v>45120</v>
      </c>
      <c r="B55">
        <v>-8.19</v>
      </c>
      <c r="C55" t="s">
        <v>385</v>
      </c>
      <c r="D55" t="s">
        <v>388</v>
      </c>
      <c r="E55" t="s">
        <v>317</v>
      </c>
      <c r="F55" t="str">
        <f>VLOOKUP(E55, 'POS Categories'!$A$1:$B$1999, 2, FALSE)</f>
        <v>Food</v>
      </c>
    </row>
    <row r="56" spans="1:6" x14ac:dyDescent="0.25">
      <c r="A56">
        <v>45120</v>
      </c>
      <c r="B56">
        <v>-17.059999999999999</v>
      </c>
      <c r="C56" t="s">
        <v>385</v>
      </c>
      <c r="D56" t="s">
        <v>388</v>
      </c>
      <c r="E56" t="s">
        <v>408</v>
      </c>
      <c r="F56" t="str">
        <f>VLOOKUP(E56, 'POS Categories'!$A$1:$B$1999, 2, FALSE)</f>
        <v>Food</v>
      </c>
    </row>
    <row r="57" spans="1:6" x14ac:dyDescent="0.25">
      <c r="A57">
        <v>45118</v>
      </c>
      <c r="B57">
        <v>-9.52</v>
      </c>
      <c r="C57" t="s">
        <v>385</v>
      </c>
      <c r="D57" t="s">
        <v>388</v>
      </c>
      <c r="E57" t="s">
        <v>408</v>
      </c>
      <c r="F57" t="str">
        <f>VLOOKUP(E57, 'POS Categories'!$A$1:$B$1999, 2, FALSE)</f>
        <v>Food</v>
      </c>
    </row>
    <row r="58" spans="1:6" x14ac:dyDescent="0.25">
      <c r="A58">
        <v>45117</v>
      </c>
      <c r="B58">
        <v>-14.77</v>
      </c>
      <c r="C58" t="s">
        <v>385</v>
      </c>
      <c r="D58" t="s">
        <v>388</v>
      </c>
      <c r="E58" t="s">
        <v>1225</v>
      </c>
      <c r="F58" t="str">
        <f>VLOOKUP(E58, 'POS Categories'!$A$1:$B$1999, 2, FALSE)</f>
        <v>Food</v>
      </c>
    </row>
    <row r="59" spans="1:6" x14ac:dyDescent="0.25">
      <c r="A59">
        <v>45115</v>
      </c>
      <c r="B59">
        <v>-7.15</v>
      </c>
      <c r="C59" t="s">
        <v>385</v>
      </c>
      <c r="D59" t="s">
        <v>388</v>
      </c>
      <c r="E59" t="s">
        <v>157</v>
      </c>
      <c r="F59" t="str">
        <f>VLOOKUP(E59, 'POS Categories'!$A$1:$B$1999, 2, FALSE)</f>
        <v>Personal</v>
      </c>
    </row>
    <row r="60" spans="1:6" x14ac:dyDescent="0.25">
      <c r="A60">
        <v>45115</v>
      </c>
      <c r="B60">
        <v>-85.03</v>
      </c>
      <c r="C60" t="s">
        <v>385</v>
      </c>
      <c r="D60" t="s">
        <v>388</v>
      </c>
      <c r="E60" t="s">
        <v>33</v>
      </c>
      <c r="F60" t="str">
        <f>VLOOKUP(E60, 'POS Categories'!$A$1:$B$1999, 2, FALSE)</f>
        <v>Food</v>
      </c>
    </row>
    <row r="61" spans="1:6" x14ac:dyDescent="0.25">
      <c r="A61">
        <v>45114</v>
      </c>
      <c r="B61">
        <v>-26.95</v>
      </c>
      <c r="C61" t="s">
        <v>385</v>
      </c>
      <c r="D61" t="s">
        <v>388</v>
      </c>
      <c r="E61" t="s">
        <v>149</v>
      </c>
      <c r="F61" t="str">
        <f>VLOOKUP(E61, 'POS Categories'!$A$1:$B$1999, 2, FALSE)</f>
        <v>Food</v>
      </c>
    </row>
    <row r="62" spans="1:6" x14ac:dyDescent="0.25">
      <c r="A62">
        <v>45114</v>
      </c>
      <c r="B62">
        <v>-4.26</v>
      </c>
      <c r="C62" t="s">
        <v>385</v>
      </c>
      <c r="D62" t="s">
        <v>388</v>
      </c>
      <c r="E62" t="s">
        <v>1318</v>
      </c>
      <c r="F62" t="str">
        <f>VLOOKUP(E62, 'POS Categories'!$A$1:$B$1999, 2, FALSE)</f>
        <v>Food</v>
      </c>
    </row>
    <row r="63" spans="1:6" x14ac:dyDescent="0.25">
      <c r="A63">
        <v>45113</v>
      </c>
      <c r="B63">
        <v>-14.7</v>
      </c>
      <c r="C63" t="s">
        <v>385</v>
      </c>
      <c r="D63" t="s">
        <v>388</v>
      </c>
      <c r="E63" t="s">
        <v>239</v>
      </c>
      <c r="F63" t="str">
        <f>VLOOKUP(E63, 'POS Categories'!$A$1:$B$1999, 2, FALSE)</f>
        <v>Entertainment</v>
      </c>
    </row>
    <row r="64" spans="1:6" x14ac:dyDescent="0.25">
      <c r="A64">
        <v>45113</v>
      </c>
      <c r="B64">
        <v>-14.7</v>
      </c>
      <c r="C64" t="s">
        <v>385</v>
      </c>
      <c r="D64" t="s">
        <v>388</v>
      </c>
      <c r="E64" t="s">
        <v>239</v>
      </c>
      <c r="F64" t="str">
        <f>VLOOKUP(E64, 'POS Categories'!$A$1:$B$1999, 2, FALSE)</f>
        <v>Entertainment</v>
      </c>
    </row>
    <row r="65" spans="1:6" x14ac:dyDescent="0.25">
      <c r="A65">
        <v>45113</v>
      </c>
      <c r="B65">
        <v>-8.6300000000000008</v>
      </c>
      <c r="C65" t="s">
        <v>385</v>
      </c>
      <c r="D65" t="s">
        <v>388</v>
      </c>
      <c r="E65" t="s">
        <v>239</v>
      </c>
      <c r="F65" t="str">
        <f>VLOOKUP(E65, 'POS Categories'!$A$1:$B$1999, 2, FALSE)</f>
        <v>Entertainment</v>
      </c>
    </row>
    <row r="66" spans="1:6" x14ac:dyDescent="0.25">
      <c r="A66">
        <v>45112</v>
      </c>
      <c r="B66">
        <v>-13.8</v>
      </c>
      <c r="C66" t="s">
        <v>385</v>
      </c>
      <c r="D66" t="s">
        <v>388</v>
      </c>
      <c r="E66" t="s">
        <v>239</v>
      </c>
      <c r="F66" t="str">
        <f>VLOOKUP(E66, 'POS Categories'!$A$1:$B$1999, 2, FALSE)</f>
        <v>Entertainment</v>
      </c>
    </row>
    <row r="67" spans="1:6" x14ac:dyDescent="0.25">
      <c r="A67">
        <v>45112</v>
      </c>
      <c r="B67">
        <v>-9</v>
      </c>
      <c r="C67" t="s">
        <v>385</v>
      </c>
      <c r="D67" t="s">
        <v>388</v>
      </c>
      <c r="E67" t="s">
        <v>239</v>
      </c>
      <c r="F67" t="str">
        <f>VLOOKUP(E67, 'POS Categories'!$A$1:$B$1999, 2, FALSE)</f>
        <v>Entertainment</v>
      </c>
    </row>
    <row r="68" spans="1:6" x14ac:dyDescent="0.25">
      <c r="A68">
        <v>45112</v>
      </c>
      <c r="B68">
        <v>-18.3</v>
      </c>
      <c r="C68" t="s">
        <v>385</v>
      </c>
      <c r="D68" t="s">
        <v>388</v>
      </c>
      <c r="E68" t="s">
        <v>239</v>
      </c>
      <c r="F68" t="str">
        <f>VLOOKUP(E68, 'POS Categories'!$A$1:$B$1999, 2, FALSE)</f>
        <v>Entertainment</v>
      </c>
    </row>
    <row r="69" spans="1:6" x14ac:dyDescent="0.25">
      <c r="A69">
        <v>45112</v>
      </c>
      <c r="B69">
        <v>-18.3</v>
      </c>
      <c r="C69" t="s">
        <v>385</v>
      </c>
      <c r="D69" t="s">
        <v>388</v>
      </c>
      <c r="E69" t="s">
        <v>239</v>
      </c>
      <c r="F69" t="str">
        <f>VLOOKUP(E69, 'POS Categories'!$A$1:$B$1999, 2, FALSE)</f>
        <v>Entertainment</v>
      </c>
    </row>
    <row r="70" spans="1:6" x14ac:dyDescent="0.25">
      <c r="A70">
        <v>45111</v>
      </c>
      <c r="B70">
        <v>-1325</v>
      </c>
      <c r="C70" t="s">
        <v>385</v>
      </c>
      <c r="D70" t="s">
        <v>414</v>
      </c>
      <c r="E70" t="s">
        <v>1224</v>
      </c>
      <c r="F70" t="str">
        <f>VLOOKUP(E70, 'POS Categories'!$A$1:$B$1999, 2, FALSE)</f>
        <v>Rent</v>
      </c>
    </row>
    <row r="71" spans="1:6" x14ac:dyDescent="0.25">
      <c r="A71">
        <v>45111</v>
      </c>
      <c r="B71">
        <v>-192.1</v>
      </c>
      <c r="C71" t="s">
        <v>385</v>
      </c>
      <c r="D71" t="s">
        <v>388</v>
      </c>
      <c r="E71" t="s">
        <v>36</v>
      </c>
      <c r="F71" t="str">
        <f>VLOOKUP(E71, 'POS Categories'!$A$1:$B$1999, 2, FALSE)</f>
        <v>Food</v>
      </c>
    </row>
    <row r="72" spans="1:6" x14ac:dyDescent="0.25">
      <c r="A72">
        <v>45111</v>
      </c>
      <c r="B72">
        <v>-103.16</v>
      </c>
      <c r="C72" t="s">
        <v>385</v>
      </c>
      <c r="D72" t="s">
        <v>388</v>
      </c>
      <c r="E72" t="s">
        <v>33</v>
      </c>
      <c r="F72" t="str">
        <f>VLOOKUP(E72, 'POS Categories'!$A$1:$B$1999, 2, FALSE)</f>
        <v>Food</v>
      </c>
    </row>
    <row r="73" spans="1:6" x14ac:dyDescent="0.25">
      <c r="A73">
        <v>45111</v>
      </c>
      <c r="B73">
        <v>-14.77</v>
      </c>
      <c r="C73" t="s">
        <v>385</v>
      </c>
      <c r="D73" t="s">
        <v>388</v>
      </c>
      <c r="E73" t="s">
        <v>1225</v>
      </c>
      <c r="F73" t="str">
        <f>VLOOKUP(E73, 'POS Categories'!$A$1:$B$1999, 2, FALSE)</f>
        <v>Food</v>
      </c>
    </row>
    <row r="74" spans="1:6" x14ac:dyDescent="0.25">
      <c r="A74">
        <v>45111</v>
      </c>
      <c r="B74">
        <v>200</v>
      </c>
      <c r="C74" t="s">
        <v>385</v>
      </c>
      <c r="D74" t="s">
        <v>467</v>
      </c>
      <c r="E74" t="s">
        <v>637</v>
      </c>
      <c r="F74" t="str">
        <f>VLOOKUP(E74, 'POS Categories'!$A$1:$B$1999, 2, FALSE)</f>
        <v>Misc</v>
      </c>
    </row>
    <row r="75" spans="1:6" x14ac:dyDescent="0.25">
      <c r="A75">
        <v>45111</v>
      </c>
      <c r="B75">
        <v>-31.08</v>
      </c>
      <c r="C75" t="s">
        <v>385</v>
      </c>
      <c r="D75" t="s">
        <v>388</v>
      </c>
      <c r="E75" t="s">
        <v>1196</v>
      </c>
      <c r="F75" t="str">
        <f>VLOOKUP(E75, 'POS Categories'!$A$1:$B$1999, 2, FALSE)</f>
        <v>Food</v>
      </c>
    </row>
    <row r="76" spans="1:6" x14ac:dyDescent="0.25">
      <c r="A76">
        <v>45111</v>
      </c>
      <c r="B76">
        <v>-250</v>
      </c>
      <c r="C76" t="s">
        <v>385</v>
      </c>
      <c r="D76" t="s">
        <v>466</v>
      </c>
      <c r="E76" t="s">
        <v>200</v>
      </c>
      <c r="F76" t="str">
        <f>VLOOKUP(E76, 'POS Categories'!$A$1:$B$1999, 2, FALSE)</f>
        <v>Bills</v>
      </c>
    </row>
    <row r="77" spans="1:6" x14ac:dyDescent="0.25">
      <c r="A77">
        <v>45111</v>
      </c>
      <c r="B77">
        <v>-14.83</v>
      </c>
      <c r="C77" t="s">
        <v>385</v>
      </c>
      <c r="D77" t="s">
        <v>388</v>
      </c>
      <c r="E77" t="s">
        <v>1198</v>
      </c>
      <c r="F77" t="str">
        <f>VLOOKUP(E77, 'POS Categories'!$A$1:$B$1999, 2, FALSE)</f>
        <v>Entertainment</v>
      </c>
    </row>
    <row r="78" spans="1:6" x14ac:dyDescent="0.25">
      <c r="A78">
        <v>45111</v>
      </c>
      <c r="B78">
        <v>-47.23</v>
      </c>
      <c r="C78" t="s">
        <v>385</v>
      </c>
      <c r="D78" t="s">
        <v>388</v>
      </c>
      <c r="E78" t="s">
        <v>1324</v>
      </c>
      <c r="F78" t="str">
        <f>VLOOKUP(E78, 'POS Categories'!$A$1:$B$1999, 2, FALSE)</f>
        <v>Food</v>
      </c>
    </row>
    <row r="79" spans="1:6" x14ac:dyDescent="0.25">
      <c r="A79">
        <v>45111</v>
      </c>
      <c r="B79">
        <v>-74.12</v>
      </c>
      <c r="C79" t="s">
        <v>385</v>
      </c>
      <c r="D79" t="s">
        <v>388</v>
      </c>
      <c r="E79" t="s">
        <v>395</v>
      </c>
      <c r="F79" t="str">
        <f>VLOOKUP(E79, 'POS Categories'!$A$1:$B$1999, 2, FALSE)</f>
        <v>Vehicle</v>
      </c>
    </row>
    <row r="80" spans="1:6" x14ac:dyDescent="0.25">
      <c r="A80">
        <v>45111</v>
      </c>
      <c r="B80">
        <v>-3.97</v>
      </c>
      <c r="C80" t="s">
        <v>385</v>
      </c>
      <c r="D80" t="s">
        <v>388</v>
      </c>
      <c r="E80" t="s">
        <v>179</v>
      </c>
      <c r="F80" t="str">
        <f>VLOOKUP(E80, 'POS Categories'!$A$1:$B$1999, 2, FALSE)</f>
        <v>Food</v>
      </c>
    </row>
    <row r="81" spans="1:6" x14ac:dyDescent="0.25">
      <c r="A81">
        <v>45111</v>
      </c>
      <c r="B81">
        <v>-11.66</v>
      </c>
      <c r="C81" t="s">
        <v>385</v>
      </c>
      <c r="D81" t="s">
        <v>388</v>
      </c>
      <c r="E81" t="s">
        <v>1225</v>
      </c>
      <c r="F81" t="str">
        <f>VLOOKUP(E81, 'POS Categories'!$A$1:$B$1999, 2, FALSE)</f>
        <v>Food</v>
      </c>
    </row>
    <row r="82" spans="1:6" x14ac:dyDescent="0.25">
      <c r="A82">
        <v>45111</v>
      </c>
      <c r="B82">
        <v>-504</v>
      </c>
      <c r="C82" t="s">
        <v>385</v>
      </c>
      <c r="D82" t="s">
        <v>400</v>
      </c>
      <c r="E82" t="s">
        <v>401</v>
      </c>
      <c r="F82" t="str">
        <f>VLOOKUP(E82, 'POS Categories'!$A$1:$B$1999, 2, FALSE)</f>
        <v>Misc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8"/>
  <sheetViews>
    <sheetView workbookViewId="0">
      <selection sqref="A1:E500"/>
    </sheetView>
  </sheetViews>
  <sheetFormatPr defaultRowHeight="15" x14ac:dyDescent="0.25"/>
  <sheetData>
    <row r="1" spans="1:6" x14ac:dyDescent="0.25">
      <c r="A1">
        <v>45107</v>
      </c>
      <c r="B1">
        <v>-32.07</v>
      </c>
      <c r="C1" t="s">
        <v>385</v>
      </c>
      <c r="D1" t="s">
        <v>388</v>
      </c>
      <c r="E1" t="s">
        <v>37</v>
      </c>
      <c r="F1" t="str">
        <f>VLOOKUP(E1, 'POS Categories'!$A$1:$B$1999, 2, FALSE)</f>
        <v>Food</v>
      </c>
    </row>
    <row r="2" spans="1:6" x14ac:dyDescent="0.25">
      <c r="A2">
        <v>45107</v>
      </c>
      <c r="B2">
        <v>-31.05</v>
      </c>
      <c r="C2" t="s">
        <v>385</v>
      </c>
      <c r="D2" t="s">
        <v>388</v>
      </c>
      <c r="E2" t="s">
        <v>8</v>
      </c>
      <c r="F2" t="str">
        <f>VLOOKUP(E2, 'POS Categories'!$A$1:$B$1999, 2, FALSE)</f>
        <v>Food</v>
      </c>
    </row>
    <row r="3" spans="1:6" x14ac:dyDescent="0.25">
      <c r="A3">
        <v>45107</v>
      </c>
      <c r="B3">
        <v>-14.77</v>
      </c>
      <c r="C3" t="s">
        <v>385</v>
      </c>
      <c r="D3" t="s">
        <v>388</v>
      </c>
      <c r="E3" t="s">
        <v>1225</v>
      </c>
      <c r="F3" t="str">
        <f>VLOOKUP(E3, 'POS Categories'!$A$1:$B$1999, 2, FALSE)</f>
        <v>Food</v>
      </c>
    </row>
    <row r="4" spans="1:6" x14ac:dyDescent="0.25">
      <c r="A4">
        <v>45107</v>
      </c>
      <c r="B4">
        <v>-14.95</v>
      </c>
      <c r="C4" t="s">
        <v>385</v>
      </c>
      <c r="D4" t="s">
        <v>388</v>
      </c>
      <c r="E4" t="s">
        <v>1322</v>
      </c>
      <c r="F4" t="str">
        <f>VLOOKUP(E4, 'POS Categories'!$A$1:$B$1999, 2, FALSE)</f>
        <v>Personal</v>
      </c>
    </row>
    <row r="5" spans="1:6" x14ac:dyDescent="0.25">
      <c r="A5">
        <v>45107</v>
      </c>
      <c r="B5">
        <v>2030.1</v>
      </c>
      <c r="C5" t="s">
        <v>385</v>
      </c>
      <c r="D5" t="s">
        <v>386</v>
      </c>
      <c r="E5" t="s">
        <v>1193</v>
      </c>
      <c r="F5" t="str">
        <f>VLOOKUP(E5, 'POS Categories'!$A$1:$B$1999, 2, FALSE)</f>
        <v>Job</v>
      </c>
    </row>
    <row r="6" spans="1:6" x14ac:dyDescent="0.25">
      <c r="A6">
        <v>45107</v>
      </c>
      <c r="B6">
        <v>-7.54</v>
      </c>
      <c r="C6" t="s">
        <v>385</v>
      </c>
      <c r="D6" t="s">
        <v>388</v>
      </c>
      <c r="E6" t="s">
        <v>408</v>
      </c>
      <c r="F6" t="str">
        <f>VLOOKUP(E6, 'POS Categories'!$A$1:$B$1999, 2, FALSE)</f>
        <v>Food</v>
      </c>
    </row>
    <row r="7" spans="1:6" x14ac:dyDescent="0.25">
      <c r="A7">
        <v>45107</v>
      </c>
      <c r="B7">
        <v>-5.53</v>
      </c>
      <c r="C7" t="s">
        <v>385</v>
      </c>
      <c r="D7" t="s">
        <v>388</v>
      </c>
      <c r="E7" t="s">
        <v>202</v>
      </c>
      <c r="F7" t="str">
        <f>VLOOKUP(E7, 'POS Categories'!$A$1:$B$1999, 2, FALSE)</f>
        <v>Food</v>
      </c>
    </row>
    <row r="8" spans="1:6" x14ac:dyDescent="0.25">
      <c r="A8">
        <v>45106</v>
      </c>
      <c r="B8">
        <v>-10.74</v>
      </c>
      <c r="C8" t="s">
        <v>385</v>
      </c>
      <c r="D8" t="s">
        <v>388</v>
      </c>
      <c r="E8" t="s">
        <v>1318</v>
      </c>
      <c r="F8" t="str">
        <f>VLOOKUP(E8, 'POS Categories'!$A$1:$B$1999, 2, FALSE)</f>
        <v>Food</v>
      </c>
    </row>
    <row r="9" spans="1:6" x14ac:dyDescent="0.25">
      <c r="A9">
        <v>45106</v>
      </c>
      <c r="B9">
        <v>-18.489999999999998</v>
      </c>
      <c r="C9" t="s">
        <v>385</v>
      </c>
      <c r="D9" t="s">
        <v>388</v>
      </c>
      <c r="E9" t="s">
        <v>1209</v>
      </c>
      <c r="F9" t="str">
        <f>VLOOKUP(E9, 'POS Categories'!$A$1:$B$1999, 2, FALSE)</f>
        <v>Food</v>
      </c>
    </row>
    <row r="10" spans="1:6" x14ac:dyDescent="0.25">
      <c r="A10">
        <v>45106</v>
      </c>
      <c r="B10">
        <v>-4.6900000000000004</v>
      </c>
      <c r="C10" t="s">
        <v>385</v>
      </c>
      <c r="D10" t="s">
        <v>388</v>
      </c>
      <c r="E10" t="s">
        <v>33</v>
      </c>
      <c r="F10" t="str">
        <f>VLOOKUP(E10, 'POS Categories'!$A$1:$B$1999, 2, FALSE)</f>
        <v>Food</v>
      </c>
    </row>
    <row r="11" spans="1:6" x14ac:dyDescent="0.25">
      <c r="A11">
        <v>45104</v>
      </c>
      <c r="B11">
        <v>-94.73</v>
      </c>
      <c r="C11" t="s">
        <v>385</v>
      </c>
      <c r="D11" t="s">
        <v>388</v>
      </c>
      <c r="E11" t="s">
        <v>274</v>
      </c>
      <c r="F11" t="str">
        <f>VLOOKUP(E11, 'POS Categories'!$A$1:$B$1999, 2, FALSE)</f>
        <v>Food</v>
      </c>
    </row>
    <row r="12" spans="1:6" x14ac:dyDescent="0.25">
      <c r="A12">
        <v>45104</v>
      </c>
      <c r="B12">
        <v>-61.87</v>
      </c>
      <c r="C12" t="s">
        <v>385</v>
      </c>
      <c r="D12" t="s">
        <v>388</v>
      </c>
      <c r="E12" t="s">
        <v>33</v>
      </c>
      <c r="F12" t="str">
        <f>VLOOKUP(E12, 'POS Categories'!$A$1:$B$1999, 2, FALSE)</f>
        <v>Food</v>
      </c>
    </row>
    <row r="13" spans="1:6" x14ac:dyDescent="0.25">
      <c r="A13">
        <v>45103</v>
      </c>
      <c r="B13">
        <v>-29.2</v>
      </c>
      <c r="C13" t="s">
        <v>385</v>
      </c>
      <c r="D13" t="s">
        <v>388</v>
      </c>
      <c r="E13" t="s">
        <v>1244</v>
      </c>
      <c r="F13" t="str">
        <f>VLOOKUP(E13, 'POS Categories'!$A$1:$B$1999, 2, FALSE)</f>
        <v>Food</v>
      </c>
    </row>
    <row r="14" spans="1:6" x14ac:dyDescent="0.25">
      <c r="A14">
        <v>45103</v>
      </c>
      <c r="B14">
        <v>-8.19</v>
      </c>
      <c r="C14" t="s">
        <v>385</v>
      </c>
      <c r="D14" t="s">
        <v>388</v>
      </c>
      <c r="E14" t="s">
        <v>317</v>
      </c>
      <c r="F14" t="str">
        <f>VLOOKUP(E14, 'POS Categories'!$A$1:$B$1999, 2, FALSE)</f>
        <v>Food</v>
      </c>
    </row>
    <row r="15" spans="1:6" x14ac:dyDescent="0.25">
      <c r="A15">
        <v>45103</v>
      </c>
      <c r="B15">
        <v>-19.96</v>
      </c>
      <c r="C15" t="s">
        <v>385</v>
      </c>
      <c r="D15" t="s">
        <v>388</v>
      </c>
      <c r="E15" t="s">
        <v>284</v>
      </c>
      <c r="F15" t="str">
        <f>VLOOKUP(E15, 'POS Categories'!$A$1:$B$1999, 2, FALSE)</f>
        <v>Food</v>
      </c>
    </row>
    <row r="16" spans="1:6" x14ac:dyDescent="0.25">
      <c r="A16">
        <v>45101</v>
      </c>
      <c r="B16">
        <v>-35.869999999999997</v>
      </c>
      <c r="C16" t="s">
        <v>385</v>
      </c>
      <c r="D16" t="s">
        <v>388</v>
      </c>
      <c r="E16" t="s">
        <v>1245</v>
      </c>
      <c r="F16" t="str">
        <f>VLOOKUP(E16, 'POS Categories'!$A$1:$B$1999, 2, FALSE)</f>
        <v>Food</v>
      </c>
    </row>
    <row r="17" spans="1:6" x14ac:dyDescent="0.25">
      <c r="A17">
        <v>45101</v>
      </c>
      <c r="B17">
        <v>-68.34</v>
      </c>
      <c r="C17" t="s">
        <v>385</v>
      </c>
      <c r="D17" t="s">
        <v>435</v>
      </c>
      <c r="E17" t="s">
        <v>1257</v>
      </c>
      <c r="F17" t="str">
        <f>VLOOKUP(E17, 'POS Categories'!$A$1:$B$1999, 2, FALSE)</f>
        <v>Power</v>
      </c>
    </row>
    <row r="18" spans="1:6" x14ac:dyDescent="0.25">
      <c r="A18">
        <v>45100</v>
      </c>
      <c r="B18">
        <v>-19.850000000000001</v>
      </c>
      <c r="C18" t="s">
        <v>385</v>
      </c>
      <c r="D18" t="s">
        <v>388</v>
      </c>
      <c r="E18" t="s">
        <v>33</v>
      </c>
      <c r="F18" t="str">
        <f>VLOOKUP(E18, 'POS Categories'!$A$1:$B$1999, 2, FALSE)</f>
        <v>Food</v>
      </c>
    </row>
    <row r="19" spans="1:6" x14ac:dyDescent="0.25">
      <c r="A19">
        <v>45100</v>
      </c>
      <c r="B19">
        <v>-14.77</v>
      </c>
      <c r="C19" t="s">
        <v>385</v>
      </c>
      <c r="D19" t="s">
        <v>388</v>
      </c>
      <c r="E19" t="s">
        <v>1225</v>
      </c>
      <c r="F19" t="str">
        <f>VLOOKUP(E19, 'POS Categories'!$A$1:$B$1999, 2, FALSE)</f>
        <v>Food</v>
      </c>
    </row>
    <row r="20" spans="1:6" x14ac:dyDescent="0.25">
      <c r="A20">
        <v>45100</v>
      </c>
      <c r="B20">
        <v>-742.87</v>
      </c>
      <c r="C20" t="s">
        <v>385</v>
      </c>
      <c r="D20" t="s">
        <v>466</v>
      </c>
      <c r="E20" t="s">
        <v>200</v>
      </c>
      <c r="F20" t="str">
        <f>VLOOKUP(E20, 'POS Categories'!$A$1:$B$1999, 2, FALSE)</f>
        <v>Bills</v>
      </c>
    </row>
    <row r="21" spans="1:6" x14ac:dyDescent="0.25">
      <c r="A21">
        <v>45099</v>
      </c>
      <c r="B21">
        <v>-31.28</v>
      </c>
      <c r="C21" t="s">
        <v>385</v>
      </c>
      <c r="D21" t="s">
        <v>388</v>
      </c>
      <c r="E21" t="s">
        <v>184</v>
      </c>
      <c r="F21" t="str">
        <f>VLOOKUP(E21, 'POS Categories'!$A$1:$B$1999, 2, FALSE)</f>
        <v>Food</v>
      </c>
    </row>
    <row r="22" spans="1:6" x14ac:dyDescent="0.25">
      <c r="A22">
        <v>45099</v>
      </c>
      <c r="B22">
        <v>-24.81</v>
      </c>
      <c r="C22" t="s">
        <v>385</v>
      </c>
      <c r="D22" t="s">
        <v>388</v>
      </c>
      <c r="E22" t="s">
        <v>1209</v>
      </c>
      <c r="F22" t="str">
        <f>VLOOKUP(E22, 'POS Categories'!$A$1:$B$1999, 2, FALSE)</f>
        <v>Food</v>
      </c>
    </row>
    <row r="23" spans="1:6" x14ac:dyDescent="0.25">
      <c r="A23">
        <v>45099</v>
      </c>
      <c r="B23">
        <v>-39.01</v>
      </c>
      <c r="C23" t="s">
        <v>385</v>
      </c>
      <c r="D23" t="s">
        <v>388</v>
      </c>
      <c r="E23" t="s">
        <v>171</v>
      </c>
      <c r="F23" t="str">
        <f>VLOOKUP(E23, 'POS Categories'!$A$1:$B$1999, 2, FALSE)</f>
        <v>Food</v>
      </c>
    </row>
    <row r="24" spans="1:6" x14ac:dyDescent="0.25">
      <c r="A24">
        <v>45098</v>
      </c>
      <c r="B24">
        <v>-12.73</v>
      </c>
      <c r="C24" t="s">
        <v>385</v>
      </c>
      <c r="D24" t="s">
        <v>388</v>
      </c>
      <c r="E24" t="s">
        <v>408</v>
      </c>
      <c r="F24" t="str">
        <f>VLOOKUP(E24, 'POS Categories'!$A$1:$B$1999, 2, FALSE)</f>
        <v>Food</v>
      </c>
    </row>
    <row r="25" spans="1:6" x14ac:dyDescent="0.25">
      <c r="A25">
        <v>45097</v>
      </c>
      <c r="B25">
        <v>-22.38</v>
      </c>
      <c r="C25" t="s">
        <v>385</v>
      </c>
      <c r="D25" t="s">
        <v>388</v>
      </c>
      <c r="E25" t="s">
        <v>408</v>
      </c>
      <c r="F25" t="str">
        <f>VLOOKUP(E25, 'POS Categories'!$A$1:$B$1999, 2, FALSE)</f>
        <v>Food</v>
      </c>
    </row>
    <row r="26" spans="1:6" x14ac:dyDescent="0.25">
      <c r="A26">
        <v>45096</v>
      </c>
      <c r="B26">
        <v>-22.2</v>
      </c>
      <c r="C26" t="s">
        <v>385</v>
      </c>
      <c r="D26" t="s">
        <v>388</v>
      </c>
      <c r="E26" t="s">
        <v>266</v>
      </c>
      <c r="F26" t="str">
        <f>VLOOKUP(E26, 'POS Categories'!$A$1:$B$1999, 2, FALSE)</f>
        <v>Food</v>
      </c>
    </row>
    <row r="27" spans="1:6" x14ac:dyDescent="0.25">
      <c r="A27">
        <v>45096</v>
      </c>
      <c r="B27">
        <v>-23.1</v>
      </c>
      <c r="C27" t="s">
        <v>385</v>
      </c>
      <c r="D27" t="s">
        <v>388</v>
      </c>
      <c r="E27" t="s">
        <v>33</v>
      </c>
      <c r="F27" t="str">
        <f>VLOOKUP(E27, 'POS Categories'!$A$1:$B$1999, 2, FALSE)</f>
        <v>Food</v>
      </c>
    </row>
    <row r="28" spans="1:6" x14ac:dyDescent="0.25">
      <c r="A28">
        <v>45096</v>
      </c>
      <c r="B28">
        <v>-250</v>
      </c>
      <c r="C28" t="s">
        <v>385</v>
      </c>
      <c r="D28" t="s">
        <v>466</v>
      </c>
      <c r="E28" t="s">
        <v>200</v>
      </c>
      <c r="F28" t="str">
        <f>VLOOKUP(E28, 'POS Categories'!$A$1:$B$1999, 2, FALSE)</f>
        <v>Bills</v>
      </c>
    </row>
    <row r="29" spans="1:6" x14ac:dyDescent="0.25">
      <c r="A29">
        <v>45094</v>
      </c>
      <c r="B29">
        <v>-54.84</v>
      </c>
      <c r="C29" t="s">
        <v>385</v>
      </c>
      <c r="D29" t="s">
        <v>388</v>
      </c>
      <c r="E29" t="s">
        <v>33</v>
      </c>
      <c r="F29" t="str">
        <f>VLOOKUP(E29, 'POS Categories'!$A$1:$B$1999, 2, FALSE)</f>
        <v>Food</v>
      </c>
    </row>
    <row r="30" spans="1:6" x14ac:dyDescent="0.25">
      <c r="A30">
        <v>45094</v>
      </c>
      <c r="B30">
        <v>-7.38</v>
      </c>
      <c r="C30" t="s">
        <v>385</v>
      </c>
      <c r="D30" t="s">
        <v>388</v>
      </c>
      <c r="E30" t="s">
        <v>1225</v>
      </c>
      <c r="F30" t="str">
        <f>VLOOKUP(E30, 'POS Categories'!$A$1:$B$1999, 2, FALSE)</f>
        <v>Food</v>
      </c>
    </row>
    <row r="31" spans="1:6" x14ac:dyDescent="0.25">
      <c r="A31">
        <v>45093</v>
      </c>
      <c r="B31">
        <v>-7.54</v>
      </c>
      <c r="C31" t="s">
        <v>385</v>
      </c>
      <c r="D31" t="s">
        <v>388</v>
      </c>
      <c r="E31" t="s">
        <v>408</v>
      </c>
      <c r="F31" t="str">
        <f>VLOOKUP(E31, 'POS Categories'!$A$1:$B$1999, 2, FALSE)</f>
        <v>Food</v>
      </c>
    </row>
    <row r="32" spans="1:6" x14ac:dyDescent="0.25">
      <c r="A32">
        <v>45093</v>
      </c>
      <c r="B32">
        <v>2058.71</v>
      </c>
      <c r="C32" t="s">
        <v>385</v>
      </c>
      <c r="D32" t="s">
        <v>386</v>
      </c>
      <c r="E32" t="s">
        <v>1193</v>
      </c>
      <c r="F32" t="str">
        <f>VLOOKUP(E32, 'POS Categories'!$A$1:$B$1999, 2, FALSE)</f>
        <v>Job</v>
      </c>
    </row>
    <row r="33" spans="1:6" x14ac:dyDescent="0.25">
      <c r="A33">
        <v>45092</v>
      </c>
      <c r="B33">
        <v>-13.96</v>
      </c>
      <c r="C33" t="s">
        <v>385</v>
      </c>
      <c r="D33" t="s">
        <v>388</v>
      </c>
      <c r="E33" t="s">
        <v>171</v>
      </c>
      <c r="F33" t="str">
        <f>VLOOKUP(E33, 'POS Categories'!$A$1:$B$1999, 2, FALSE)</f>
        <v>Food</v>
      </c>
    </row>
    <row r="34" spans="1:6" x14ac:dyDescent="0.25">
      <c r="A34">
        <v>45092</v>
      </c>
      <c r="B34">
        <v>-21.37</v>
      </c>
      <c r="C34" t="s">
        <v>385</v>
      </c>
      <c r="D34" t="s">
        <v>388</v>
      </c>
      <c r="E34" t="s">
        <v>315</v>
      </c>
      <c r="F34" t="str">
        <f>VLOOKUP(E34, 'POS Categories'!$A$1:$B$1999, 2, FALSE)</f>
        <v>Food</v>
      </c>
    </row>
    <row r="35" spans="1:6" x14ac:dyDescent="0.25">
      <c r="A35">
        <v>45092</v>
      </c>
      <c r="B35">
        <v>-66.55</v>
      </c>
      <c r="C35" t="s">
        <v>385</v>
      </c>
      <c r="D35" t="s">
        <v>388</v>
      </c>
      <c r="E35" t="s">
        <v>175</v>
      </c>
      <c r="F35" t="str">
        <f>VLOOKUP(E35, 'POS Categories'!$A$1:$B$1999, 2, FALSE)</f>
        <v>Sasktel</v>
      </c>
    </row>
    <row r="36" spans="1:6" x14ac:dyDescent="0.25">
      <c r="A36">
        <v>45092</v>
      </c>
      <c r="B36">
        <v>170</v>
      </c>
      <c r="C36" t="s">
        <v>385</v>
      </c>
      <c r="D36" t="s">
        <v>1259</v>
      </c>
      <c r="E36" t="s">
        <v>280</v>
      </c>
      <c r="F36" t="str">
        <f>VLOOKUP(E36, 'POS Categories'!$A$1:$B$1999, 2, FALSE)</f>
        <v>Government</v>
      </c>
    </row>
    <row r="37" spans="1:6" x14ac:dyDescent="0.25">
      <c r="A37">
        <v>45092</v>
      </c>
      <c r="B37">
        <v>-17.38</v>
      </c>
      <c r="C37" t="s">
        <v>385</v>
      </c>
      <c r="D37" t="s">
        <v>400</v>
      </c>
      <c r="E37" t="s">
        <v>401</v>
      </c>
      <c r="F37" t="str">
        <f>VLOOKUP(E37, 'POS Categories'!$A$1:$B$1999, 2, FALSE)</f>
        <v>Misc</v>
      </c>
    </row>
    <row r="38" spans="1:6" x14ac:dyDescent="0.25">
      <c r="A38">
        <v>45092</v>
      </c>
      <c r="B38">
        <v>-12.18</v>
      </c>
      <c r="C38" t="s">
        <v>385</v>
      </c>
      <c r="D38" t="s">
        <v>388</v>
      </c>
      <c r="E38" t="s">
        <v>317</v>
      </c>
      <c r="F38" t="str">
        <f>VLOOKUP(E38, 'POS Categories'!$A$1:$B$1999, 2, FALSE)</f>
        <v>Food</v>
      </c>
    </row>
    <row r="39" spans="1:6" x14ac:dyDescent="0.25">
      <c r="A39">
        <v>45091</v>
      </c>
      <c r="B39">
        <v>-72.05</v>
      </c>
      <c r="C39" t="s">
        <v>385</v>
      </c>
      <c r="D39" t="s">
        <v>388</v>
      </c>
      <c r="E39" t="s">
        <v>33</v>
      </c>
      <c r="F39" t="str">
        <f>VLOOKUP(E39, 'POS Categories'!$A$1:$B$1999, 2, FALSE)</f>
        <v>Food</v>
      </c>
    </row>
    <row r="40" spans="1:6" x14ac:dyDescent="0.25">
      <c r="A40">
        <v>45091</v>
      </c>
      <c r="B40">
        <v>72.05</v>
      </c>
      <c r="C40" t="s">
        <v>385</v>
      </c>
      <c r="D40" t="s">
        <v>430</v>
      </c>
      <c r="E40" t="s">
        <v>33</v>
      </c>
      <c r="F40" t="str">
        <f>VLOOKUP(E40, 'POS Categories'!$A$1:$B$1999, 2, FALSE)</f>
        <v>Food</v>
      </c>
    </row>
    <row r="41" spans="1:6" x14ac:dyDescent="0.25">
      <c r="A41">
        <v>45091</v>
      </c>
      <c r="B41">
        <v>-72.05</v>
      </c>
      <c r="C41" t="s">
        <v>385</v>
      </c>
      <c r="D41" t="s">
        <v>388</v>
      </c>
      <c r="E41" t="s">
        <v>33</v>
      </c>
      <c r="F41" t="str">
        <f>VLOOKUP(E41, 'POS Categories'!$A$1:$B$1999, 2, FALSE)</f>
        <v>Food</v>
      </c>
    </row>
    <row r="42" spans="1:6" x14ac:dyDescent="0.25">
      <c r="A42">
        <v>45091</v>
      </c>
      <c r="B42">
        <v>-87</v>
      </c>
      <c r="C42" t="s">
        <v>385</v>
      </c>
      <c r="D42" t="s">
        <v>388</v>
      </c>
      <c r="E42" t="s">
        <v>157</v>
      </c>
      <c r="F42" t="str">
        <f>VLOOKUP(E42, 'POS Categories'!$A$1:$B$1999, 2, FALSE)</f>
        <v>Personal</v>
      </c>
    </row>
    <row r="43" spans="1:6" x14ac:dyDescent="0.25">
      <c r="A43">
        <v>45091</v>
      </c>
      <c r="B43">
        <v>-72.790000000000006</v>
      </c>
      <c r="C43" t="s">
        <v>385</v>
      </c>
      <c r="D43" t="s">
        <v>388</v>
      </c>
      <c r="E43" t="s">
        <v>395</v>
      </c>
      <c r="F43" t="str">
        <f>VLOOKUP(E43, 'POS Categories'!$A$1:$B$1999, 2, FALSE)</f>
        <v>Vehicle</v>
      </c>
    </row>
    <row r="44" spans="1:6" x14ac:dyDescent="0.25">
      <c r="A44">
        <v>45091</v>
      </c>
      <c r="B44">
        <v>-21.68</v>
      </c>
      <c r="C44" t="s">
        <v>385</v>
      </c>
      <c r="D44" t="s">
        <v>388</v>
      </c>
      <c r="E44" t="s">
        <v>408</v>
      </c>
      <c r="F44" t="str">
        <f>VLOOKUP(E44, 'POS Categories'!$A$1:$B$1999, 2, FALSE)</f>
        <v>Food</v>
      </c>
    </row>
    <row r="45" spans="1:6" x14ac:dyDescent="0.25">
      <c r="A45">
        <v>45090</v>
      </c>
      <c r="B45">
        <v>-24.4</v>
      </c>
      <c r="C45" t="s">
        <v>385</v>
      </c>
      <c r="D45" t="s">
        <v>388</v>
      </c>
      <c r="E45" t="s">
        <v>142</v>
      </c>
      <c r="F45" t="str">
        <f>VLOOKUP(E45, 'POS Categories'!$A$1:$B$1999, 2, FALSE)</f>
        <v>Food</v>
      </c>
    </row>
    <row r="46" spans="1:6" x14ac:dyDescent="0.25">
      <c r="A46">
        <v>45090</v>
      </c>
      <c r="B46">
        <v>-14.77</v>
      </c>
      <c r="C46" t="s">
        <v>385</v>
      </c>
      <c r="D46" t="s">
        <v>388</v>
      </c>
      <c r="E46" t="s">
        <v>34</v>
      </c>
      <c r="F46" t="str">
        <f>VLOOKUP(E46, 'POS Categories'!$A$1:$B$1999, 2, FALSE)</f>
        <v>Food</v>
      </c>
    </row>
    <row r="47" spans="1:6" x14ac:dyDescent="0.25">
      <c r="A47">
        <v>45089</v>
      </c>
      <c r="B47">
        <v>-30.7</v>
      </c>
      <c r="C47" t="s">
        <v>385</v>
      </c>
      <c r="D47" t="s">
        <v>388</v>
      </c>
      <c r="E47" t="s">
        <v>149</v>
      </c>
      <c r="F47" t="str">
        <f>VLOOKUP(E47, 'POS Categories'!$A$1:$B$1999, 2, FALSE)</f>
        <v>Food</v>
      </c>
    </row>
    <row r="48" spans="1:6" x14ac:dyDescent="0.25">
      <c r="A48">
        <v>45089</v>
      </c>
      <c r="B48">
        <v>-57.8</v>
      </c>
      <c r="C48" t="s">
        <v>385</v>
      </c>
      <c r="D48" t="s">
        <v>388</v>
      </c>
      <c r="E48" t="s">
        <v>1323</v>
      </c>
      <c r="F48" t="str">
        <f>VLOOKUP(E48, 'POS Categories'!$A$1:$B$1999, 2, FALSE)</f>
        <v>Food</v>
      </c>
    </row>
    <row r="49" spans="1:6" x14ac:dyDescent="0.25">
      <c r="A49">
        <v>45089</v>
      </c>
      <c r="B49">
        <v>-42.34</v>
      </c>
      <c r="C49" t="s">
        <v>385</v>
      </c>
      <c r="D49" t="s">
        <v>388</v>
      </c>
      <c r="E49" t="s">
        <v>240</v>
      </c>
      <c r="F49" t="str">
        <f>VLOOKUP(E49, 'POS Categories'!$A$1:$B$1999, 2, FALSE)</f>
        <v>Food</v>
      </c>
    </row>
    <row r="50" spans="1:6" x14ac:dyDescent="0.25">
      <c r="A50">
        <v>45087</v>
      </c>
      <c r="B50">
        <v>-30.59</v>
      </c>
      <c r="C50" t="s">
        <v>385</v>
      </c>
      <c r="D50" t="s">
        <v>388</v>
      </c>
      <c r="E50" t="s">
        <v>171</v>
      </c>
      <c r="F50" t="str">
        <f>VLOOKUP(E50, 'POS Categories'!$A$1:$B$1999, 2, FALSE)</f>
        <v>Food</v>
      </c>
    </row>
    <row r="51" spans="1:6" x14ac:dyDescent="0.25">
      <c r="A51">
        <v>45087</v>
      </c>
      <c r="B51">
        <v>-46.54</v>
      </c>
      <c r="C51" t="s">
        <v>385</v>
      </c>
      <c r="D51" t="s">
        <v>388</v>
      </c>
      <c r="E51" t="s">
        <v>1243</v>
      </c>
      <c r="F51" t="str">
        <f>VLOOKUP(E51, 'POS Categories'!$A$1:$B$1999, 2, FALSE)</f>
        <v>Personal</v>
      </c>
    </row>
    <row r="52" spans="1:6" x14ac:dyDescent="0.25">
      <c r="A52">
        <v>45087</v>
      </c>
      <c r="B52">
        <v>-37.69</v>
      </c>
      <c r="C52" t="s">
        <v>385</v>
      </c>
      <c r="D52" t="s">
        <v>400</v>
      </c>
      <c r="E52" t="s">
        <v>401</v>
      </c>
      <c r="F52" t="str">
        <f>VLOOKUP(E52, 'POS Categories'!$A$1:$B$1999, 2, FALSE)</f>
        <v>Misc</v>
      </c>
    </row>
    <row r="53" spans="1:6" x14ac:dyDescent="0.25">
      <c r="A53">
        <v>45087</v>
      </c>
      <c r="B53">
        <v>-47.95</v>
      </c>
      <c r="C53" t="s">
        <v>385</v>
      </c>
      <c r="D53" t="s">
        <v>388</v>
      </c>
      <c r="E53" t="s">
        <v>1324</v>
      </c>
      <c r="F53" t="str">
        <f>VLOOKUP(E53, 'POS Categories'!$A$1:$B$1999, 2, FALSE)</f>
        <v>Food</v>
      </c>
    </row>
    <row r="54" spans="1:6" x14ac:dyDescent="0.25">
      <c r="A54">
        <v>45087</v>
      </c>
      <c r="B54">
        <v>-60.09</v>
      </c>
      <c r="C54" t="s">
        <v>385</v>
      </c>
      <c r="D54" t="s">
        <v>388</v>
      </c>
      <c r="E54" t="s">
        <v>279</v>
      </c>
      <c r="F54" t="str">
        <f>VLOOKUP(E54, 'POS Categories'!$A$1:$B$1999, 2, FALSE)</f>
        <v>Personal</v>
      </c>
    </row>
    <row r="55" spans="1:6" x14ac:dyDescent="0.25">
      <c r="A55">
        <v>45087</v>
      </c>
      <c r="B55">
        <v>-15.32</v>
      </c>
      <c r="C55" t="s">
        <v>385</v>
      </c>
      <c r="D55" t="s">
        <v>388</v>
      </c>
      <c r="E55" t="s">
        <v>34</v>
      </c>
      <c r="F55" t="str">
        <f>VLOOKUP(E55, 'POS Categories'!$A$1:$B$1999, 2, FALSE)</f>
        <v>Food</v>
      </c>
    </row>
    <row r="56" spans="1:6" x14ac:dyDescent="0.25">
      <c r="A56">
        <v>45087</v>
      </c>
      <c r="B56">
        <v>-10.19</v>
      </c>
      <c r="C56" t="s">
        <v>385</v>
      </c>
      <c r="D56" t="s">
        <v>388</v>
      </c>
      <c r="E56" t="s">
        <v>408</v>
      </c>
      <c r="F56" t="str">
        <f>VLOOKUP(E56, 'POS Categories'!$A$1:$B$1999, 2, FALSE)</f>
        <v>Food</v>
      </c>
    </row>
    <row r="57" spans="1:6" x14ac:dyDescent="0.25">
      <c r="A57">
        <v>45087</v>
      </c>
      <c r="B57">
        <v>-10.53</v>
      </c>
      <c r="C57" t="s">
        <v>385</v>
      </c>
      <c r="D57" t="s">
        <v>388</v>
      </c>
      <c r="E57" t="s">
        <v>317</v>
      </c>
      <c r="F57" t="str">
        <f>VLOOKUP(E57, 'POS Categories'!$A$1:$B$1999, 2, FALSE)</f>
        <v>Food</v>
      </c>
    </row>
    <row r="58" spans="1:6" x14ac:dyDescent="0.25">
      <c r="A58">
        <v>45086</v>
      </c>
      <c r="B58">
        <v>-58.93</v>
      </c>
      <c r="C58" t="s">
        <v>385</v>
      </c>
      <c r="D58" t="s">
        <v>388</v>
      </c>
      <c r="E58" t="s">
        <v>319</v>
      </c>
      <c r="F58" t="str">
        <f>VLOOKUP(E58, 'POS Categories'!$A$1:$B$1999, 2, FALSE)</f>
        <v>Food</v>
      </c>
    </row>
    <row r="59" spans="1:6" x14ac:dyDescent="0.25">
      <c r="A59">
        <v>45086</v>
      </c>
      <c r="B59">
        <v>-4.09</v>
      </c>
      <c r="C59" t="s">
        <v>385</v>
      </c>
      <c r="D59" t="s">
        <v>388</v>
      </c>
      <c r="E59" t="s">
        <v>317</v>
      </c>
      <c r="F59" t="str">
        <f>VLOOKUP(E59, 'POS Categories'!$A$1:$B$1999, 2, FALSE)</f>
        <v>Food</v>
      </c>
    </row>
    <row r="60" spans="1:6" x14ac:dyDescent="0.25">
      <c r="A60">
        <v>45086</v>
      </c>
      <c r="B60">
        <v>-7.54</v>
      </c>
      <c r="C60" t="s">
        <v>385</v>
      </c>
      <c r="D60" t="s">
        <v>388</v>
      </c>
      <c r="E60" t="s">
        <v>408</v>
      </c>
      <c r="F60" t="str">
        <f>VLOOKUP(E60, 'POS Categories'!$A$1:$B$1999, 2, FALSE)</f>
        <v>Food</v>
      </c>
    </row>
    <row r="61" spans="1:6" x14ac:dyDescent="0.25">
      <c r="A61">
        <v>45085</v>
      </c>
      <c r="B61">
        <v>-36.590000000000003</v>
      </c>
      <c r="C61" t="s">
        <v>385</v>
      </c>
      <c r="D61" t="s">
        <v>388</v>
      </c>
      <c r="E61" t="s">
        <v>8</v>
      </c>
      <c r="F61" t="str">
        <f>VLOOKUP(E61, 'POS Categories'!$A$1:$B$1999, 2, FALSE)</f>
        <v>Food</v>
      </c>
    </row>
    <row r="62" spans="1:6" x14ac:dyDescent="0.25">
      <c r="A62">
        <v>45085</v>
      </c>
      <c r="B62">
        <v>-18.05</v>
      </c>
      <c r="C62" t="s">
        <v>385</v>
      </c>
      <c r="D62" t="s">
        <v>388</v>
      </c>
      <c r="E62" t="s">
        <v>408</v>
      </c>
      <c r="F62" t="str">
        <f>VLOOKUP(E62, 'POS Categories'!$A$1:$B$1999, 2, FALSE)</f>
        <v>Food</v>
      </c>
    </row>
    <row r="63" spans="1:6" x14ac:dyDescent="0.25">
      <c r="A63">
        <v>45084</v>
      </c>
      <c r="B63">
        <v>-32.49</v>
      </c>
      <c r="C63" t="s">
        <v>385</v>
      </c>
      <c r="D63" t="s">
        <v>388</v>
      </c>
      <c r="E63" t="s">
        <v>1325</v>
      </c>
      <c r="F63" t="str">
        <f>VLOOKUP(E63, 'POS Categories'!$A$1:$B$1999, 2, FALSE)</f>
        <v>Food</v>
      </c>
    </row>
    <row r="64" spans="1:6" x14ac:dyDescent="0.25">
      <c r="A64">
        <v>45084</v>
      </c>
      <c r="B64">
        <v>-12.88</v>
      </c>
      <c r="C64" t="s">
        <v>385</v>
      </c>
      <c r="D64" t="s">
        <v>388</v>
      </c>
      <c r="E64" t="s">
        <v>1225</v>
      </c>
      <c r="F64" t="str">
        <f>VLOOKUP(E64, 'POS Categories'!$A$1:$B$1999, 2, FALSE)</f>
        <v>Food</v>
      </c>
    </row>
    <row r="65" spans="1:6" x14ac:dyDescent="0.25">
      <c r="A65">
        <v>45084</v>
      </c>
      <c r="B65">
        <v>-75.13</v>
      </c>
      <c r="C65" t="s">
        <v>385</v>
      </c>
      <c r="D65" t="s">
        <v>388</v>
      </c>
      <c r="E65" t="s">
        <v>157</v>
      </c>
      <c r="F65" t="str">
        <f>VLOOKUP(E65, 'POS Categories'!$A$1:$B$1999, 2, FALSE)</f>
        <v>Personal</v>
      </c>
    </row>
    <row r="66" spans="1:6" x14ac:dyDescent="0.25">
      <c r="A66">
        <v>45084</v>
      </c>
      <c r="B66">
        <v>-29.2</v>
      </c>
      <c r="C66" t="s">
        <v>385</v>
      </c>
      <c r="D66" t="s">
        <v>388</v>
      </c>
      <c r="E66" t="s">
        <v>1244</v>
      </c>
      <c r="F66" t="str">
        <f>VLOOKUP(E66, 'POS Categories'!$A$1:$B$1999, 2, FALSE)</f>
        <v>Food</v>
      </c>
    </row>
    <row r="67" spans="1:6" x14ac:dyDescent="0.25">
      <c r="A67">
        <v>45083</v>
      </c>
      <c r="B67">
        <v>-13.08</v>
      </c>
      <c r="C67" t="s">
        <v>385</v>
      </c>
      <c r="D67" t="s">
        <v>388</v>
      </c>
      <c r="E67" t="s">
        <v>171</v>
      </c>
      <c r="F67" t="str">
        <f>VLOOKUP(E67, 'POS Categories'!$A$1:$B$1999, 2, FALSE)</f>
        <v>Food</v>
      </c>
    </row>
    <row r="68" spans="1:6" x14ac:dyDescent="0.25">
      <c r="A68">
        <v>45083</v>
      </c>
      <c r="B68">
        <v>-88.41</v>
      </c>
      <c r="C68" t="s">
        <v>385</v>
      </c>
      <c r="D68" t="s">
        <v>388</v>
      </c>
      <c r="E68" t="s">
        <v>411</v>
      </c>
      <c r="F68" t="str">
        <f>VLOOKUP(E68, 'POS Categories'!$A$1:$B$1999, 2, FALSE)</f>
        <v>Sasktel</v>
      </c>
    </row>
    <row r="69" spans="1:6" x14ac:dyDescent="0.25">
      <c r="A69">
        <v>45083</v>
      </c>
      <c r="B69">
        <v>-29.71</v>
      </c>
      <c r="C69" t="s">
        <v>385</v>
      </c>
      <c r="D69" t="s">
        <v>388</v>
      </c>
      <c r="E69" t="s">
        <v>171</v>
      </c>
      <c r="F69" t="str">
        <f>VLOOKUP(E69, 'POS Categories'!$A$1:$B$1999, 2, FALSE)</f>
        <v>Food</v>
      </c>
    </row>
    <row r="70" spans="1:6" x14ac:dyDescent="0.25">
      <c r="A70">
        <v>45082</v>
      </c>
      <c r="B70">
        <v>-70.040000000000006</v>
      </c>
      <c r="C70" t="s">
        <v>385</v>
      </c>
      <c r="D70" t="s">
        <v>388</v>
      </c>
      <c r="E70" t="s">
        <v>34</v>
      </c>
      <c r="F70" t="str">
        <f>VLOOKUP(E70, 'POS Categories'!$A$1:$B$1999, 2, FALSE)</f>
        <v>Food</v>
      </c>
    </row>
    <row r="71" spans="1:6" x14ac:dyDescent="0.25">
      <c r="A71">
        <v>45082</v>
      </c>
      <c r="B71">
        <v>-15.4</v>
      </c>
      <c r="C71" t="s">
        <v>385</v>
      </c>
      <c r="D71" t="s">
        <v>388</v>
      </c>
      <c r="E71" t="s">
        <v>174</v>
      </c>
      <c r="F71" t="str">
        <f>VLOOKUP(E71, 'POS Categories'!$A$1:$B$1999, 2, FALSE)</f>
        <v>Food</v>
      </c>
    </row>
    <row r="72" spans="1:6" x14ac:dyDescent="0.25">
      <c r="A72">
        <v>45082</v>
      </c>
      <c r="B72">
        <v>-2.44</v>
      </c>
      <c r="C72" t="s">
        <v>385</v>
      </c>
      <c r="D72" t="s">
        <v>388</v>
      </c>
      <c r="E72" t="s">
        <v>1326</v>
      </c>
      <c r="F72" t="str">
        <f>VLOOKUP(E72, 'POS Categories'!$A$1:$B$1999, 2, FALSE)</f>
        <v>Food</v>
      </c>
    </row>
    <row r="73" spans="1:6" x14ac:dyDescent="0.25">
      <c r="A73">
        <v>45082</v>
      </c>
      <c r="B73">
        <v>-29.03</v>
      </c>
      <c r="C73" t="s">
        <v>385</v>
      </c>
      <c r="D73" t="s">
        <v>388</v>
      </c>
      <c r="E73" t="s">
        <v>1327</v>
      </c>
      <c r="F73" t="str">
        <f>VLOOKUP(E73, 'POS Categories'!$A$1:$B$1999, 2, FALSE)</f>
        <v>Vehicle</v>
      </c>
    </row>
    <row r="74" spans="1:6" x14ac:dyDescent="0.25">
      <c r="A74">
        <v>45080</v>
      </c>
      <c r="B74">
        <v>-107.74</v>
      </c>
      <c r="C74" t="s">
        <v>385</v>
      </c>
      <c r="D74" t="s">
        <v>388</v>
      </c>
      <c r="E74" t="s">
        <v>1328</v>
      </c>
      <c r="F74" t="str">
        <f>VLOOKUP(E74, 'POS Categories'!$A$1:$B$1999, 2, FALSE)</f>
        <v>Food</v>
      </c>
    </row>
    <row r="75" spans="1:6" x14ac:dyDescent="0.25">
      <c r="A75">
        <v>45079</v>
      </c>
      <c r="B75">
        <v>-15.5</v>
      </c>
      <c r="C75" t="s">
        <v>385</v>
      </c>
      <c r="D75" t="s">
        <v>388</v>
      </c>
      <c r="E75" t="s">
        <v>1198</v>
      </c>
      <c r="F75" t="str">
        <f>VLOOKUP(E75, 'POS Categories'!$A$1:$B$1999, 2, FALSE)</f>
        <v>Entertainment</v>
      </c>
    </row>
    <row r="76" spans="1:6" x14ac:dyDescent="0.25">
      <c r="A76">
        <v>45079</v>
      </c>
      <c r="B76">
        <v>1986.26</v>
      </c>
      <c r="C76" t="s">
        <v>385</v>
      </c>
      <c r="D76" t="s">
        <v>386</v>
      </c>
      <c r="E76" t="s">
        <v>1193</v>
      </c>
      <c r="F76" t="str">
        <f>VLOOKUP(E76, 'POS Categories'!$A$1:$B$1999, 2, FALSE)</f>
        <v>Job</v>
      </c>
    </row>
    <row r="77" spans="1:6" x14ac:dyDescent="0.25">
      <c r="A77">
        <v>45078</v>
      </c>
      <c r="B77">
        <v>-1325</v>
      </c>
      <c r="C77" t="s">
        <v>385</v>
      </c>
      <c r="D77" t="s">
        <v>414</v>
      </c>
      <c r="E77" t="s">
        <v>1224</v>
      </c>
      <c r="F77" t="str">
        <f>VLOOKUP(E77, 'POS Categories'!$A$1:$B$1999, 2, FALSE)</f>
        <v>Rent</v>
      </c>
    </row>
    <row r="78" spans="1:6" x14ac:dyDescent="0.25">
      <c r="A78">
        <v>45078</v>
      </c>
      <c r="B78">
        <v>-29.9</v>
      </c>
      <c r="C78" t="s">
        <v>385</v>
      </c>
      <c r="D78" t="s">
        <v>388</v>
      </c>
      <c r="E78" t="s">
        <v>1329</v>
      </c>
      <c r="F78" t="str">
        <f>VLOOKUP(E78, 'POS Categories'!$A$1:$B$1999, 2, FALSE)</f>
        <v>Entertainment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21"/>
  <sheetViews>
    <sheetView workbookViewId="0">
      <selection sqref="A1:E500"/>
    </sheetView>
  </sheetViews>
  <sheetFormatPr defaultRowHeight="15" x14ac:dyDescent="0.25"/>
  <sheetData>
    <row r="1" spans="1:6" x14ac:dyDescent="0.25">
      <c r="A1">
        <v>45077</v>
      </c>
      <c r="B1">
        <v>-5.75</v>
      </c>
      <c r="C1" t="s">
        <v>385</v>
      </c>
      <c r="D1" t="s">
        <v>388</v>
      </c>
      <c r="E1" t="s">
        <v>1307</v>
      </c>
      <c r="F1" t="str">
        <f>VLOOKUP(E1, 'POS Categories'!$A$1:$B$1999, 2, FALSE)</f>
        <v>Food</v>
      </c>
    </row>
    <row r="2" spans="1:6" x14ac:dyDescent="0.25">
      <c r="A2">
        <v>45076</v>
      </c>
      <c r="B2">
        <v>-5.76</v>
      </c>
      <c r="C2" t="s">
        <v>385</v>
      </c>
      <c r="D2" t="s">
        <v>388</v>
      </c>
      <c r="E2" t="s">
        <v>1308</v>
      </c>
      <c r="F2" t="str">
        <f>VLOOKUP(E2, 'POS Categories'!$A$1:$B$1999, 2, FALSE)</f>
        <v>Vehicle</v>
      </c>
    </row>
    <row r="3" spans="1:6" x14ac:dyDescent="0.25">
      <c r="A3">
        <v>45076</v>
      </c>
      <c r="B3">
        <v>-28.2</v>
      </c>
      <c r="C3" t="s">
        <v>385</v>
      </c>
      <c r="D3" t="s">
        <v>388</v>
      </c>
      <c r="E3" t="s">
        <v>408</v>
      </c>
      <c r="F3" t="str">
        <f>VLOOKUP(E3, 'POS Categories'!$A$1:$B$1999, 2, FALSE)</f>
        <v>Food</v>
      </c>
    </row>
    <row r="4" spans="1:6" x14ac:dyDescent="0.25">
      <c r="A4">
        <v>45075</v>
      </c>
      <c r="B4">
        <v>-42.74</v>
      </c>
      <c r="C4" t="s">
        <v>385</v>
      </c>
      <c r="D4" t="s">
        <v>388</v>
      </c>
      <c r="E4" t="s">
        <v>452</v>
      </c>
      <c r="F4" t="str">
        <f>VLOOKUP(E4, 'POS Categories'!$A$1:$B$1999, 2, FALSE)</f>
        <v>Food</v>
      </c>
    </row>
    <row r="5" spans="1:6" x14ac:dyDescent="0.25">
      <c r="A5">
        <v>45075</v>
      </c>
      <c r="B5">
        <v>-22.38</v>
      </c>
      <c r="C5" t="s">
        <v>385</v>
      </c>
      <c r="D5" t="s">
        <v>388</v>
      </c>
      <c r="E5" t="s">
        <v>33</v>
      </c>
      <c r="F5" t="str">
        <f>VLOOKUP(E5, 'POS Categories'!$A$1:$B$1999, 2, FALSE)</f>
        <v>Food</v>
      </c>
    </row>
    <row r="6" spans="1:6" x14ac:dyDescent="0.25">
      <c r="A6">
        <v>45075</v>
      </c>
      <c r="B6">
        <v>-39.96</v>
      </c>
      <c r="C6" t="s">
        <v>385</v>
      </c>
      <c r="D6" t="s">
        <v>388</v>
      </c>
      <c r="E6" t="s">
        <v>1309</v>
      </c>
      <c r="F6" t="str">
        <f>VLOOKUP(E6, 'POS Categories'!$A$1:$B$1999, 2, FALSE)</f>
        <v>Vehicle</v>
      </c>
    </row>
    <row r="7" spans="1:6" x14ac:dyDescent="0.25">
      <c r="A7">
        <v>45075</v>
      </c>
      <c r="B7">
        <v>-22.09</v>
      </c>
      <c r="C7" t="s">
        <v>385</v>
      </c>
      <c r="D7" t="s">
        <v>388</v>
      </c>
      <c r="E7" t="s">
        <v>408</v>
      </c>
      <c r="F7" t="str">
        <f>VLOOKUP(E7, 'POS Categories'!$A$1:$B$1999, 2, FALSE)</f>
        <v>Food</v>
      </c>
    </row>
    <row r="8" spans="1:6" x14ac:dyDescent="0.25">
      <c r="A8">
        <v>45075</v>
      </c>
      <c r="B8">
        <v>-31.11</v>
      </c>
      <c r="C8" t="s">
        <v>385</v>
      </c>
      <c r="D8" t="s">
        <v>388</v>
      </c>
      <c r="E8" t="s">
        <v>1310</v>
      </c>
      <c r="F8" t="str">
        <f>VLOOKUP(E8, 'POS Categories'!$A$1:$B$1999, 2, FALSE)</f>
        <v>Food</v>
      </c>
    </row>
    <row r="9" spans="1:6" x14ac:dyDescent="0.25">
      <c r="A9">
        <v>45073</v>
      </c>
      <c r="B9">
        <v>-86.54</v>
      </c>
      <c r="C9" t="s">
        <v>385</v>
      </c>
      <c r="D9" t="s">
        <v>388</v>
      </c>
      <c r="E9" t="s">
        <v>238</v>
      </c>
      <c r="F9" t="str">
        <f>VLOOKUP(E9, 'POS Categories'!$A$1:$B$1999, 2, FALSE)</f>
        <v>Food</v>
      </c>
    </row>
    <row r="10" spans="1:6" x14ac:dyDescent="0.25">
      <c r="A10">
        <v>45073</v>
      </c>
      <c r="B10">
        <v>-73.739999999999995</v>
      </c>
      <c r="C10" t="s">
        <v>385</v>
      </c>
      <c r="D10" t="s">
        <v>388</v>
      </c>
      <c r="E10" t="s">
        <v>395</v>
      </c>
      <c r="F10" t="str">
        <f>VLOOKUP(E10, 'POS Categories'!$A$1:$B$1999, 2, FALSE)</f>
        <v>Vehicle</v>
      </c>
    </row>
    <row r="11" spans="1:6" x14ac:dyDescent="0.25">
      <c r="A11">
        <v>45073</v>
      </c>
      <c r="B11">
        <v>-10.3</v>
      </c>
      <c r="C11" t="s">
        <v>385</v>
      </c>
      <c r="D11" t="s">
        <v>388</v>
      </c>
      <c r="E11" t="s">
        <v>408</v>
      </c>
      <c r="F11" t="str">
        <f>VLOOKUP(E11, 'POS Categories'!$A$1:$B$1999, 2, FALSE)</f>
        <v>Food</v>
      </c>
    </row>
    <row r="12" spans="1:6" x14ac:dyDescent="0.25">
      <c r="A12">
        <v>45073</v>
      </c>
      <c r="B12">
        <v>-7.54</v>
      </c>
      <c r="C12" t="s">
        <v>385</v>
      </c>
      <c r="D12" t="s">
        <v>388</v>
      </c>
      <c r="E12" t="s">
        <v>408</v>
      </c>
      <c r="F12" t="str">
        <f>VLOOKUP(E12, 'POS Categories'!$A$1:$B$1999, 2, FALSE)</f>
        <v>Food</v>
      </c>
    </row>
    <row r="13" spans="1:6" x14ac:dyDescent="0.25">
      <c r="A13">
        <v>45072</v>
      </c>
      <c r="B13">
        <v>-15.85</v>
      </c>
      <c r="C13" t="s">
        <v>385</v>
      </c>
      <c r="D13" t="s">
        <v>388</v>
      </c>
      <c r="E13" t="s">
        <v>185</v>
      </c>
      <c r="F13" t="str">
        <f>VLOOKUP(E13, 'POS Categories'!$A$1:$B$1999, 2, FALSE)</f>
        <v>Food</v>
      </c>
    </row>
    <row r="14" spans="1:6" x14ac:dyDescent="0.25">
      <c r="A14">
        <v>45071</v>
      </c>
      <c r="B14">
        <v>-49.69</v>
      </c>
      <c r="C14" t="s">
        <v>385</v>
      </c>
      <c r="D14" t="s">
        <v>388</v>
      </c>
      <c r="E14" t="s">
        <v>1281</v>
      </c>
      <c r="F14" t="str">
        <f>VLOOKUP(E14, 'POS Categories'!$A$1:$B$1999, 2, FALSE)</f>
        <v>Food</v>
      </c>
    </row>
    <row r="15" spans="1:6" x14ac:dyDescent="0.25">
      <c r="A15">
        <v>45071</v>
      </c>
      <c r="B15">
        <v>-19.96</v>
      </c>
      <c r="C15" t="s">
        <v>385</v>
      </c>
      <c r="D15" t="s">
        <v>388</v>
      </c>
      <c r="E15" t="s">
        <v>8</v>
      </c>
      <c r="F15" t="str">
        <f>VLOOKUP(E15, 'POS Categories'!$A$1:$B$1999, 2, FALSE)</f>
        <v>Food</v>
      </c>
    </row>
    <row r="16" spans="1:6" x14ac:dyDescent="0.25">
      <c r="A16">
        <v>45070</v>
      </c>
      <c r="B16">
        <v>-175</v>
      </c>
      <c r="C16" t="s">
        <v>385</v>
      </c>
      <c r="D16" t="s">
        <v>466</v>
      </c>
      <c r="E16" t="s">
        <v>200</v>
      </c>
      <c r="F16" t="str">
        <f>VLOOKUP(E16, 'POS Categories'!$A$1:$B$1999, 2, FALSE)</f>
        <v>Bills</v>
      </c>
    </row>
    <row r="17" spans="1:6" x14ac:dyDescent="0.25">
      <c r="A17">
        <v>45070</v>
      </c>
      <c r="B17">
        <v>-18.62</v>
      </c>
      <c r="C17" t="s">
        <v>385</v>
      </c>
      <c r="D17" t="s">
        <v>388</v>
      </c>
      <c r="E17" t="s">
        <v>240</v>
      </c>
      <c r="F17" t="str">
        <f>VLOOKUP(E17, 'POS Categories'!$A$1:$B$1999, 2, FALSE)</f>
        <v>Food</v>
      </c>
    </row>
    <row r="18" spans="1:6" x14ac:dyDescent="0.25">
      <c r="A18">
        <v>45069</v>
      </c>
      <c r="B18">
        <v>-16.3</v>
      </c>
      <c r="C18" t="s">
        <v>385</v>
      </c>
      <c r="D18" t="s">
        <v>388</v>
      </c>
      <c r="E18" t="s">
        <v>174</v>
      </c>
      <c r="F18" t="str">
        <f>VLOOKUP(E18, 'POS Categories'!$A$1:$B$1999, 2, FALSE)</f>
        <v>Food</v>
      </c>
    </row>
    <row r="19" spans="1:6" x14ac:dyDescent="0.25">
      <c r="A19">
        <v>45069</v>
      </c>
      <c r="B19">
        <v>-9.3800000000000008</v>
      </c>
      <c r="C19" t="s">
        <v>385</v>
      </c>
      <c r="D19" t="s">
        <v>388</v>
      </c>
      <c r="E19" t="s">
        <v>408</v>
      </c>
      <c r="F19" t="str">
        <f>VLOOKUP(E19, 'POS Categories'!$A$1:$B$1999, 2, FALSE)</f>
        <v>Food</v>
      </c>
    </row>
    <row r="20" spans="1:6" x14ac:dyDescent="0.25">
      <c r="A20">
        <v>45069</v>
      </c>
      <c r="B20">
        <v>-10.14</v>
      </c>
      <c r="C20" t="s">
        <v>385</v>
      </c>
      <c r="D20" t="s">
        <v>388</v>
      </c>
      <c r="E20" t="s">
        <v>183</v>
      </c>
      <c r="F20" t="str">
        <f>VLOOKUP(E20, 'POS Categories'!$A$1:$B$1999, 2, FALSE)</f>
        <v>Food</v>
      </c>
    </row>
    <row r="21" spans="1:6" x14ac:dyDescent="0.25">
      <c r="A21">
        <v>45069</v>
      </c>
      <c r="B21">
        <v>-40.159999999999997</v>
      </c>
      <c r="C21" t="s">
        <v>385</v>
      </c>
      <c r="D21" t="s">
        <v>388</v>
      </c>
      <c r="E21" t="s">
        <v>37</v>
      </c>
      <c r="F21" t="str">
        <f>VLOOKUP(E21, 'POS Categories'!$A$1:$B$1999, 2, FALSE)</f>
        <v>Food</v>
      </c>
    </row>
    <row r="22" spans="1:6" x14ac:dyDescent="0.25">
      <c r="A22">
        <v>45069</v>
      </c>
      <c r="B22">
        <v>-25.22</v>
      </c>
      <c r="C22" t="s">
        <v>385</v>
      </c>
      <c r="D22" t="s">
        <v>388</v>
      </c>
      <c r="E22" t="s">
        <v>314</v>
      </c>
      <c r="F22" t="str">
        <f>VLOOKUP(E22, 'POS Categories'!$A$1:$B$1999, 2, FALSE)</f>
        <v>Personal</v>
      </c>
    </row>
    <row r="23" spans="1:6" x14ac:dyDescent="0.25">
      <c r="A23">
        <v>45069</v>
      </c>
      <c r="B23">
        <v>-57.69</v>
      </c>
      <c r="C23" t="s">
        <v>385</v>
      </c>
      <c r="D23" t="s">
        <v>388</v>
      </c>
      <c r="E23" t="s">
        <v>1311</v>
      </c>
      <c r="F23" t="str">
        <f>VLOOKUP(E23, 'POS Categories'!$A$1:$B$1999, 2, FALSE)</f>
        <v>Home</v>
      </c>
    </row>
    <row r="24" spans="1:6" x14ac:dyDescent="0.25">
      <c r="A24">
        <v>45069</v>
      </c>
      <c r="B24">
        <v>-13.97</v>
      </c>
      <c r="C24" t="s">
        <v>385</v>
      </c>
      <c r="D24" t="s">
        <v>388</v>
      </c>
      <c r="E24" t="s">
        <v>1243</v>
      </c>
      <c r="F24" t="str">
        <f>VLOOKUP(E24, 'POS Categories'!$A$1:$B$1999, 2, FALSE)</f>
        <v>Personal</v>
      </c>
    </row>
    <row r="25" spans="1:6" x14ac:dyDescent="0.25">
      <c r="A25">
        <v>45069</v>
      </c>
      <c r="B25">
        <v>-17.920000000000002</v>
      </c>
      <c r="C25" t="s">
        <v>385</v>
      </c>
      <c r="D25" t="s">
        <v>388</v>
      </c>
      <c r="E25" t="s">
        <v>408</v>
      </c>
      <c r="F25" t="str">
        <f>VLOOKUP(E25, 'POS Categories'!$A$1:$B$1999, 2, FALSE)</f>
        <v>Food</v>
      </c>
    </row>
    <row r="26" spans="1:6" x14ac:dyDescent="0.25">
      <c r="A26">
        <v>45069</v>
      </c>
      <c r="B26">
        <v>-12.11</v>
      </c>
      <c r="C26" t="s">
        <v>385</v>
      </c>
      <c r="D26" t="s">
        <v>388</v>
      </c>
      <c r="E26" t="s">
        <v>33</v>
      </c>
      <c r="F26" t="str">
        <f>VLOOKUP(E26, 'POS Categories'!$A$1:$B$1999, 2, FALSE)</f>
        <v>Food</v>
      </c>
    </row>
    <row r="27" spans="1:6" x14ac:dyDescent="0.25">
      <c r="A27">
        <v>45069</v>
      </c>
      <c r="B27">
        <v>-58.02</v>
      </c>
      <c r="C27" t="s">
        <v>385</v>
      </c>
      <c r="D27" t="s">
        <v>388</v>
      </c>
      <c r="E27" t="s">
        <v>1312</v>
      </c>
      <c r="F27" t="str">
        <f>VLOOKUP(E27, 'POS Categories'!$A$1:$B$1999, 2, FALSE)</f>
        <v>Food</v>
      </c>
    </row>
    <row r="28" spans="1:6" x14ac:dyDescent="0.25">
      <c r="A28">
        <v>45069</v>
      </c>
      <c r="B28">
        <v>-64.31</v>
      </c>
      <c r="C28" t="s">
        <v>385</v>
      </c>
      <c r="D28" t="s">
        <v>435</v>
      </c>
      <c r="E28" t="s">
        <v>1257</v>
      </c>
      <c r="F28" t="str">
        <f>VLOOKUP(E28, 'POS Categories'!$A$1:$B$1999, 2, FALSE)</f>
        <v>Power</v>
      </c>
    </row>
    <row r="29" spans="1:6" x14ac:dyDescent="0.25">
      <c r="A29">
        <v>45069</v>
      </c>
      <c r="B29">
        <v>-5.08</v>
      </c>
      <c r="C29" t="s">
        <v>385</v>
      </c>
      <c r="D29" t="s">
        <v>388</v>
      </c>
      <c r="E29" t="s">
        <v>183</v>
      </c>
      <c r="F29" t="str">
        <f>VLOOKUP(E29, 'POS Categories'!$A$1:$B$1999, 2, FALSE)</f>
        <v>Food</v>
      </c>
    </row>
    <row r="30" spans="1:6" x14ac:dyDescent="0.25">
      <c r="A30">
        <v>45069</v>
      </c>
      <c r="B30">
        <v>-13.87</v>
      </c>
      <c r="C30" t="s">
        <v>385</v>
      </c>
      <c r="D30" t="s">
        <v>388</v>
      </c>
      <c r="E30" t="s">
        <v>157</v>
      </c>
      <c r="F30" t="str">
        <f>VLOOKUP(E30, 'POS Categories'!$A$1:$B$1999, 2, FALSE)</f>
        <v>Personal</v>
      </c>
    </row>
    <row r="31" spans="1:6" x14ac:dyDescent="0.25">
      <c r="A31">
        <v>45069</v>
      </c>
      <c r="B31">
        <v>-26.14</v>
      </c>
      <c r="C31" t="s">
        <v>385</v>
      </c>
      <c r="D31" t="s">
        <v>388</v>
      </c>
      <c r="E31" t="s">
        <v>597</v>
      </c>
      <c r="F31" t="str">
        <f>VLOOKUP(E31, 'POS Categories'!$A$1:$B$1999, 2, FALSE)</f>
        <v>Food</v>
      </c>
    </row>
    <row r="32" spans="1:6" x14ac:dyDescent="0.25">
      <c r="A32">
        <v>45069</v>
      </c>
      <c r="B32">
        <v>-18.29</v>
      </c>
      <c r="C32" t="s">
        <v>385</v>
      </c>
      <c r="D32" t="s">
        <v>388</v>
      </c>
      <c r="E32" t="s">
        <v>1310</v>
      </c>
      <c r="F32" t="str">
        <f>VLOOKUP(E32, 'POS Categories'!$A$1:$B$1999, 2, FALSE)</f>
        <v>Food</v>
      </c>
    </row>
    <row r="33" spans="1:6" x14ac:dyDescent="0.25">
      <c r="A33">
        <v>45066</v>
      </c>
      <c r="B33">
        <v>-15.88</v>
      </c>
      <c r="C33" t="s">
        <v>385</v>
      </c>
      <c r="D33" t="s">
        <v>388</v>
      </c>
      <c r="E33" t="s">
        <v>1313</v>
      </c>
      <c r="F33" t="str">
        <f>VLOOKUP(E33, 'POS Categories'!$A$1:$B$1999, 2, FALSE)</f>
        <v>Food</v>
      </c>
    </row>
    <row r="34" spans="1:6" x14ac:dyDescent="0.25">
      <c r="A34">
        <v>45066</v>
      </c>
      <c r="B34">
        <v>-129.81</v>
      </c>
      <c r="C34" t="s">
        <v>385</v>
      </c>
      <c r="D34" t="s">
        <v>388</v>
      </c>
      <c r="E34" t="s">
        <v>43</v>
      </c>
      <c r="F34" t="str">
        <f>VLOOKUP(E34, 'POS Categories'!$A$1:$B$1999, 2, FALSE)</f>
        <v>Personal</v>
      </c>
    </row>
    <row r="35" spans="1:6" x14ac:dyDescent="0.25">
      <c r="A35">
        <v>45066</v>
      </c>
      <c r="B35">
        <v>-99.89</v>
      </c>
      <c r="C35" t="s">
        <v>385</v>
      </c>
      <c r="D35" t="s">
        <v>388</v>
      </c>
      <c r="E35" t="s">
        <v>173</v>
      </c>
      <c r="F35" t="str">
        <f>VLOOKUP(E35, 'POS Categories'!$A$1:$B$1999, 2, FALSE)</f>
        <v>Entertainment</v>
      </c>
    </row>
    <row r="36" spans="1:6" x14ac:dyDescent="0.25">
      <c r="A36">
        <v>45066</v>
      </c>
      <c r="B36">
        <v>-22.18</v>
      </c>
      <c r="C36" t="s">
        <v>385</v>
      </c>
      <c r="D36" t="s">
        <v>388</v>
      </c>
      <c r="E36" t="s">
        <v>1314</v>
      </c>
      <c r="F36" t="str">
        <f>VLOOKUP(E36, 'POS Categories'!$A$1:$B$1999, 2, FALSE)</f>
        <v>Food</v>
      </c>
    </row>
    <row r="37" spans="1:6" x14ac:dyDescent="0.25">
      <c r="A37">
        <v>45065</v>
      </c>
      <c r="B37">
        <v>-44.08</v>
      </c>
      <c r="C37" t="s">
        <v>385</v>
      </c>
      <c r="D37" t="s">
        <v>388</v>
      </c>
      <c r="E37" t="s">
        <v>452</v>
      </c>
      <c r="F37" t="str">
        <f>VLOOKUP(E37, 'POS Categories'!$A$1:$B$1999, 2, FALSE)</f>
        <v>Food</v>
      </c>
    </row>
    <row r="38" spans="1:6" x14ac:dyDescent="0.25">
      <c r="A38">
        <v>45065</v>
      </c>
      <c r="B38">
        <v>-17.63</v>
      </c>
      <c r="C38" t="s">
        <v>385</v>
      </c>
      <c r="D38" t="s">
        <v>388</v>
      </c>
      <c r="E38" t="s">
        <v>171</v>
      </c>
      <c r="F38" t="str">
        <f>VLOOKUP(E38, 'POS Categories'!$A$1:$B$1999, 2, FALSE)</f>
        <v>Food</v>
      </c>
    </row>
    <row r="39" spans="1:6" x14ac:dyDescent="0.25">
      <c r="A39">
        <v>45065</v>
      </c>
      <c r="B39">
        <v>-43.69</v>
      </c>
      <c r="C39" t="s">
        <v>385</v>
      </c>
      <c r="D39" t="s">
        <v>388</v>
      </c>
      <c r="E39" t="s">
        <v>1310</v>
      </c>
      <c r="F39" t="str">
        <f>VLOOKUP(E39, 'POS Categories'!$A$1:$B$1999, 2, FALSE)</f>
        <v>Food</v>
      </c>
    </row>
    <row r="40" spans="1:6" x14ac:dyDescent="0.25">
      <c r="A40">
        <v>45065</v>
      </c>
      <c r="B40">
        <v>-19.97</v>
      </c>
      <c r="C40" t="s">
        <v>385</v>
      </c>
      <c r="D40" t="s">
        <v>388</v>
      </c>
      <c r="E40" t="s">
        <v>1315</v>
      </c>
      <c r="F40" t="str">
        <f>VLOOKUP(E40, 'POS Categories'!$A$1:$B$1999, 2, FALSE)</f>
        <v>Gifts</v>
      </c>
    </row>
    <row r="41" spans="1:6" x14ac:dyDescent="0.25">
      <c r="A41">
        <v>45065</v>
      </c>
      <c r="B41">
        <v>-4.4400000000000004</v>
      </c>
      <c r="C41" t="s">
        <v>385</v>
      </c>
      <c r="D41" t="s">
        <v>388</v>
      </c>
      <c r="E41" t="s">
        <v>1316</v>
      </c>
      <c r="F41" t="str">
        <f>VLOOKUP(E41, 'POS Categories'!$A$1:$B$1999, 2, FALSE)</f>
        <v>Personal</v>
      </c>
    </row>
    <row r="42" spans="1:6" x14ac:dyDescent="0.25">
      <c r="A42">
        <v>45065</v>
      </c>
      <c r="B42">
        <v>1986.26</v>
      </c>
      <c r="C42" t="s">
        <v>385</v>
      </c>
      <c r="D42" t="s">
        <v>386</v>
      </c>
      <c r="E42" t="s">
        <v>1193</v>
      </c>
      <c r="F42" t="str">
        <f>VLOOKUP(E42, 'POS Categories'!$A$1:$B$1999, 2, FALSE)</f>
        <v>Job</v>
      </c>
    </row>
    <row r="43" spans="1:6" x14ac:dyDescent="0.25">
      <c r="A43">
        <v>45064</v>
      </c>
      <c r="B43">
        <v>-29.06</v>
      </c>
      <c r="C43" t="s">
        <v>385</v>
      </c>
      <c r="D43" t="s">
        <v>388</v>
      </c>
      <c r="E43" t="s">
        <v>1238</v>
      </c>
      <c r="F43" t="str">
        <f>VLOOKUP(E43, 'POS Categories'!$A$1:$B$1999, 2, FALSE)</f>
        <v>Food</v>
      </c>
    </row>
    <row r="44" spans="1:6" x14ac:dyDescent="0.25">
      <c r="A44">
        <v>45064</v>
      </c>
      <c r="B44">
        <v>-16.54</v>
      </c>
      <c r="C44" t="s">
        <v>385</v>
      </c>
      <c r="D44" t="s">
        <v>388</v>
      </c>
      <c r="E44" t="s">
        <v>1209</v>
      </c>
      <c r="F44" t="str">
        <f>VLOOKUP(E44, 'POS Categories'!$A$1:$B$1999, 2, FALSE)</f>
        <v>Food</v>
      </c>
    </row>
    <row r="45" spans="1:6" x14ac:dyDescent="0.25">
      <c r="A45">
        <v>45064</v>
      </c>
      <c r="B45">
        <v>-19.96</v>
      </c>
      <c r="C45" t="s">
        <v>385</v>
      </c>
      <c r="D45" t="s">
        <v>388</v>
      </c>
      <c r="E45" t="s">
        <v>8</v>
      </c>
      <c r="F45" t="str">
        <f>VLOOKUP(E45, 'POS Categories'!$A$1:$B$1999, 2, FALSE)</f>
        <v>Food</v>
      </c>
    </row>
    <row r="46" spans="1:6" x14ac:dyDescent="0.25">
      <c r="A46">
        <v>45064</v>
      </c>
      <c r="B46">
        <v>-37.299999999999997</v>
      </c>
      <c r="C46" t="s">
        <v>385</v>
      </c>
      <c r="D46" t="s">
        <v>388</v>
      </c>
      <c r="E46" t="s">
        <v>1279</v>
      </c>
      <c r="F46" t="str">
        <f>VLOOKUP(E46, 'POS Categories'!$A$1:$B$1999, 2, FALSE)</f>
        <v>Food</v>
      </c>
    </row>
    <row r="47" spans="1:6" x14ac:dyDescent="0.25">
      <c r="A47">
        <v>45064</v>
      </c>
      <c r="B47">
        <v>-3.1</v>
      </c>
      <c r="C47" t="s">
        <v>385</v>
      </c>
      <c r="D47" t="s">
        <v>388</v>
      </c>
      <c r="E47" t="s">
        <v>408</v>
      </c>
      <c r="F47" t="str">
        <f>VLOOKUP(E47, 'POS Categories'!$A$1:$B$1999, 2, FALSE)</f>
        <v>Food</v>
      </c>
    </row>
    <row r="48" spans="1:6" x14ac:dyDescent="0.25">
      <c r="A48">
        <v>45063</v>
      </c>
      <c r="B48">
        <v>-68.37</v>
      </c>
      <c r="C48" t="s">
        <v>385</v>
      </c>
      <c r="D48" t="s">
        <v>388</v>
      </c>
      <c r="E48" t="s">
        <v>1317</v>
      </c>
      <c r="F48" t="str">
        <f>VLOOKUP(E48, 'POS Categories'!$A$1:$B$1999, 2, FALSE)</f>
        <v>Vehicle</v>
      </c>
    </row>
    <row r="49" spans="1:6" x14ac:dyDescent="0.25">
      <c r="A49">
        <v>45063</v>
      </c>
      <c r="B49">
        <v>-44.68</v>
      </c>
      <c r="C49" t="s">
        <v>385</v>
      </c>
      <c r="D49" t="s">
        <v>388</v>
      </c>
      <c r="E49" t="s">
        <v>376</v>
      </c>
      <c r="F49" t="str">
        <f>VLOOKUP(E49, 'POS Categories'!$A$1:$B$1999, 2, FALSE)</f>
        <v>Food</v>
      </c>
    </row>
    <row r="50" spans="1:6" x14ac:dyDescent="0.25">
      <c r="A50">
        <v>45063</v>
      </c>
      <c r="B50">
        <v>-27.11</v>
      </c>
      <c r="C50" t="s">
        <v>385</v>
      </c>
      <c r="D50" t="s">
        <v>388</v>
      </c>
      <c r="E50" t="s">
        <v>408</v>
      </c>
      <c r="F50" t="str">
        <f>VLOOKUP(E50, 'POS Categories'!$A$1:$B$1999, 2, FALSE)</f>
        <v>Food</v>
      </c>
    </row>
    <row r="51" spans="1:6" x14ac:dyDescent="0.25">
      <c r="A51">
        <v>45062</v>
      </c>
      <c r="B51">
        <v>-9.52</v>
      </c>
      <c r="C51" t="s">
        <v>385</v>
      </c>
      <c r="D51" t="s">
        <v>388</v>
      </c>
      <c r="E51" t="s">
        <v>408</v>
      </c>
      <c r="F51" t="str">
        <f>VLOOKUP(E51, 'POS Categories'!$A$1:$B$1999, 2, FALSE)</f>
        <v>Food</v>
      </c>
    </row>
    <row r="52" spans="1:6" x14ac:dyDescent="0.25">
      <c r="A52">
        <v>45062</v>
      </c>
      <c r="B52">
        <v>-28.9</v>
      </c>
      <c r="C52" t="s">
        <v>385</v>
      </c>
      <c r="D52" t="s">
        <v>388</v>
      </c>
      <c r="E52" t="s">
        <v>1244</v>
      </c>
      <c r="F52" t="str">
        <f>VLOOKUP(E52, 'POS Categories'!$A$1:$B$1999, 2, FALSE)</f>
        <v>Food</v>
      </c>
    </row>
    <row r="53" spans="1:6" x14ac:dyDescent="0.25">
      <c r="A53">
        <v>45062</v>
      </c>
      <c r="B53">
        <v>-24</v>
      </c>
      <c r="C53" t="s">
        <v>385</v>
      </c>
      <c r="D53" t="s">
        <v>400</v>
      </c>
      <c r="E53" t="s">
        <v>401</v>
      </c>
      <c r="F53" t="str">
        <f>VLOOKUP(E53, 'POS Categories'!$A$1:$B$1999, 2, FALSE)</f>
        <v>Misc</v>
      </c>
    </row>
    <row r="54" spans="1:6" x14ac:dyDescent="0.25">
      <c r="A54">
        <v>45061</v>
      </c>
      <c r="B54">
        <v>-19.170000000000002</v>
      </c>
      <c r="C54" t="s">
        <v>385</v>
      </c>
      <c r="D54" t="s">
        <v>388</v>
      </c>
      <c r="E54" t="s">
        <v>157</v>
      </c>
      <c r="F54" t="str">
        <f>VLOOKUP(E54, 'POS Categories'!$A$1:$B$1999, 2, FALSE)</f>
        <v>Personal</v>
      </c>
    </row>
    <row r="55" spans="1:6" x14ac:dyDescent="0.25">
      <c r="A55">
        <v>45061</v>
      </c>
      <c r="B55">
        <v>-14.77</v>
      </c>
      <c r="C55" t="s">
        <v>385</v>
      </c>
      <c r="D55" t="s">
        <v>388</v>
      </c>
      <c r="E55" t="s">
        <v>1225</v>
      </c>
      <c r="F55" t="str">
        <f>VLOOKUP(E55, 'POS Categories'!$A$1:$B$1999, 2, FALSE)</f>
        <v>Food</v>
      </c>
    </row>
    <row r="56" spans="1:6" x14ac:dyDescent="0.25">
      <c r="A56">
        <v>45061</v>
      </c>
      <c r="B56">
        <v>-3.5</v>
      </c>
      <c r="C56" t="s">
        <v>385</v>
      </c>
      <c r="D56" t="s">
        <v>388</v>
      </c>
      <c r="E56" t="s">
        <v>330</v>
      </c>
      <c r="F56" t="str">
        <f>VLOOKUP(E56, 'POS Categories'!$A$1:$B$1999, 2, FALSE)</f>
        <v>Vehicle</v>
      </c>
    </row>
    <row r="57" spans="1:6" x14ac:dyDescent="0.25">
      <c r="A57">
        <v>45061</v>
      </c>
      <c r="B57">
        <v>-66.55</v>
      </c>
      <c r="C57" t="s">
        <v>385</v>
      </c>
      <c r="D57" t="s">
        <v>388</v>
      </c>
      <c r="E57" t="s">
        <v>175</v>
      </c>
      <c r="F57" t="str">
        <f>VLOOKUP(E57, 'POS Categories'!$A$1:$B$1999, 2, FALSE)</f>
        <v>Sasktel</v>
      </c>
    </row>
    <row r="58" spans="1:6" x14ac:dyDescent="0.25">
      <c r="A58">
        <v>45061</v>
      </c>
      <c r="B58">
        <v>-10.86</v>
      </c>
      <c r="C58" t="s">
        <v>385</v>
      </c>
      <c r="D58" t="s">
        <v>388</v>
      </c>
      <c r="E58" t="s">
        <v>171</v>
      </c>
      <c r="F58" t="str">
        <f>VLOOKUP(E58, 'POS Categories'!$A$1:$B$1999, 2, FALSE)</f>
        <v>Food</v>
      </c>
    </row>
    <row r="59" spans="1:6" x14ac:dyDescent="0.25">
      <c r="A59">
        <v>45061</v>
      </c>
      <c r="B59">
        <v>-7.8</v>
      </c>
      <c r="C59" t="s">
        <v>385</v>
      </c>
      <c r="D59" t="s">
        <v>388</v>
      </c>
      <c r="E59" t="s">
        <v>157</v>
      </c>
      <c r="F59" t="str">
        <f>VLOOKUP(E59, 'POS Categories'!$A$1:$B$1999, 2, FALSE)</f>
        <v>Personal</v>
      </c>
    </row>
    <row r="60" spans="1:6" x14ac:dyDescent="0.25">
      <c r="A60">
        <v>45061</v>
      </c>
      <c r="B60">
        <v>-36.26</v>
      </c>
      <c r="C60" t="s">
        <v>385</v>
      </c>
      <c r="D60" t="s">
        <v>388</v>
      </c>
      <c r="E60" t="s">
        <v>344</v>
      </c>
      <c r="F60" t="str">
        <f>VLOOKUP(E60, 'POS Categories'!$A$1:$B$1999, 2, FALSE)</f>
        <v>Food</v>
      </c>
    </row>
    <row r="61" spans="1:6" x14ac:dyDescent="0.25">
      <c r="A61">
        <v>45061</v>
      </c>
      <c r="B61">
        <v>-20.81</v>
      </c>
      <c r="C61" t="s">
        <v>385</v>
      </c>
      <c r="D61" t="s">
        <v>388</v>
      </c>
      <c r="E61" t="s">
        <v>1225</v>
      </c>
      <c r="F61" t="str">
        <f>VLOOKUP(E61, 'POS Categories'!$A$1:$B$1999, 2, FALSE)</f>
        <v>Food</v>
      </c>
    </row>
    <row r="62" spans="1:6" x14ac:dyDescent="0.25">
      <c r="A62">
        <v>45061</v>
      </c>
      <c r="B62">
        <v>-7.54</v>
      </c>
      <c r="C62" t="s">
        <v>385</v>
      </c>
      <c r="D62" t="s">
        <v>388</v>
      </c>
      <c r="E62" t="s">
        <v>408</v>
      </c>
      <c r="F62" t="str">
        <f>VLOOKUP(E62, 'POS Categories'!$A$1:$B$1999, 2, FALSE)</f>
        <v>Food</v>
      </c>
    </row>
    <row r="63" spans="1:6" x14ac:dyDescent="0.25">
      <c r="A63">
        <v>45061</v>
      </c>
      <c r="B63">
        <v>-10.85</v>
      </c>
      <c r="C63" t="s">
        <v>385</v>
      </c>
      <c r="D63" t="s">
        <v>388</v>
      </c>
      <c r="E63" t="s">
        <v>317</v>
      </c>
      <c r="F63" t="str">
        <f>VLOOKUP(E63, 'POS Categories'!$A$1:$B$1999, 2, FALSE)</f>
        <v>Food</v>
      </c>
    </row>
    <row r="64" spans="1:6" x14ac:dyDescent="0.25">
      <c r="A64">
        <v>45059</v>
      </c>
      <c r="B64">
        <v>-8.85</v>
      </c>
      <c r="C64" t="s">
        <v>385</v>
      </c>
      <c r="D64" t="s">
        <v>388</v>
      </c>
      <c r="E64" t="s">
        <v>1217</v>
      </c>
      <c r="F64" t="str">
        <f>VLOOKUP(E64, 'POS Categories'!$A$1:$B$1999, 2, FALSE)</f>
        <v>Entertainment</v>
      </c>
    </row>
    <row r="65" spans="1:6" x14ac:dyDescent="0.25">
      <c r="A65">
        <v>45059</v>
      </c>
      <c r="B65">
        <v>-17.690000000000001</v>
      </c>
      <c r="C65" t="s">
        <v>385</v>
      </c>
      <c r="D65" t="s">
        <v>388</v>
      </c>
      <c r="E65" t="s">
        <v>1217</v>
      </c>
      <c r="F65" t="str">
        <f>VLOOKUP(E65, 'POS Categories'!$A$1:$B$1999, 2, FALSE)</f>
        <v>Entertainment</v>
      </c>
    </row>
    <row r="66" spans="1:6" x14ac:dyDescent="0.25">
      <c r="A66">
        <v>45059</v>
      </c>
      <c r="B66">
        <v>-18.850000000000001</v>
      </c>
      <c r="C66" t="s">
        <v>385</v>
      </c>
      <c r="D66" t="s">
        <v>388</v>
      </c>
      <c r="E66" t="s">
        <v>597</v>
      </c>
      <c r="F66" t="str">
        <f>VLOOKUP(E66, 'POS Categories'!$A$1:$B$1999, 2, FALSE)</f>
        <v>Food</v>
      </c>
    </row>
    <row r="67" spans="1:6" x14ac:dyDescent="0.25">
      <c r="A67">
        <v>45059</v>
      </c>
      <c r="B67">
        <v>-12.62</v>
      </c>
      <c r="C67" t="s">
        <v>385</v>
      </c>
      <c r="D67" t="s">
        <v>388</v>
      </c>
      <c r="E67" t="s">
        <v>1318</v>
      </c>
      <c r="F67" t="str">
        <f>VLOOKUP(E67, 'POS Categories'!$A$1:$B$1999, 2, FALSE)</f>
        <v>Food</v>
      </c>
    </row>
    <row r="68" spans="1:6" x14ac:dyDescent="0.25">
      <c r="A68">
        <v>45059</v>
      </c>
      <c r="B68">
        <v>-14.76</v>
      </c>
      <c r="C68" t="s">
        <v>385</v>
      </c>
      <c r="D68" t="s">
        <v>388</v>
      </c>
      <c r="E68" t="s">
        <v>1225</v>
      </c>
      <c r="F68" t="str">
        <f>VLOOKUP(E68, 'POS Categories'!$A$1:$B$1999, 2, FALSE)</f>
        <v>Food</v>
      </c>
    </row>
    <row r="69" spans="1:6" x14ac:dyDescent="0.25">
      <c r="A69">
        <v>45059</v>
      </c>
      <c r="B69">
        <v>-9.52</v>
      </c>
      <c r="C69" t="s">
        <v>385</v>
      </c>
      <c r="D69" t="s">
        <v>388</v>
      </c>
      <c r="E69" t="s">
        <v>202</v>
      </c>
      <c r="F69" t="str">
        <f>VLOOKUP(E69, 'POS Categories'!$A$1:$B$1999, 2, FALSE)</f>
        <v>Food</v>
      </c>
    </row>
    <row r="70" spans="1:6" x14ac:dyDescent="0.25">
      <c r="A70">
        <v>45058</v>
      </c>
      <c r="B70">
        <v>-115</v>
      </c>
      <c r="C70" t="s">
        <v>385</v>
      </c>
      <c r="D70" t="s">
        <v>388</v>
      </c>
      <c r="E70" t="s">
        <v>1231</v>
      </c>
      <c r="F70" t="str">
        <f>VLOOKUP(E70, 'POS Categories'!$A$1:$B$1999, 2, FALSE)</f>
        <v>Entertainment</v>
      </c>
    </row>
    <row r="71" spans="1:6" x14ac:dyDescent="0.25">
      <c r="A71">
        <v>45058</v>
      </c>
      <c r="B71">
        <v>-17.86</v>
      </c>
      <c r="C71" t="s">
        <v>385</v>
      </c>
      <c r="D71" t="s">
        <v>388</v>
      </c>
      <c r="E71" t="s">
        <v>1238</v>
      </c>
      <c r="F71" t="str">
        <f>VLOOKUP(E71, 'POS Categories'!$A$1:$B$1999, 2, FALSE)</f>
        <v>Food</v>
      </c>
    </row>
    <row r="72" spans="1:6" x14ac:dyDescent="0.25">
      <c r="A72">
        <v>45058</v>
      </c>
      <c r="B72">
        <v>-12.62</v>
      </c>
      <c r="C72" t="s">
        <v>385</v>
      </c>
      <c r="D72" t="s">
        <v>388</v>
      </c>
      <c r="E72" t="s">
        <v>1315</v>
      </c>
      <c r="F72" t="str">
        <f>VLOOKUP(E72, 'POS Categories'!$A$1:$B$1999, 2, FALSE)</f>
        <v>Gifts</v>
      </c>
    </row>
    <row r="73" spans="1:6" x14ac:dyDescent="0.25">
      <c r="A73">
        <v>45058</v>
      </c>
      <c r="B73">
        <v>-20.32</v>
      </c>
      <c r="C73" t="s">
        <v>385</v>
      </c>
      <c r="D73" t="s">
        <v>388</v>
      </c>
      <c r="E73" t="s">
        <v>408</v>
      </c>
      <c r="F73" t="str">
        <f>VLOOKUP(E73, 'POS Categories'!$A$1:$B$1999, 2, FALSE)</f>
        <v>Food</v>
      </c>
    </row>
    <row r="74" spans="1:6" x14ac:dyDescent="0.25">
      <c r="A74">
        <v>45057</v>
      </c>
      <c r="B74">
        <v>-4.96</v>
      </c>
      <c r="C74" t="s">
        <v>385</v>
      </c>
      <c r="D74" t="s">
        <v>388</v>
      </c>
      <c r="E74" t="s">
        <v>201</v>
      </c>
      <c r="F74" t="str">
        <f>VLOOKUP(E74, 'POS Categories'!$A$1:$B$1999, 2, FALSE)</f>
        <v>Personal</v>
      </c>
    </row>
    <row r="75" spans="1:6" x14ac:dyDescent="0.25">
      <c r="A75">
        <v>45057</v>
      </c>
      <c r="B75">
        <v>-28.9</v>
      </c>
      <c r="C75" t="s">
        <v>385</v>
      </c>
      <c r="D75" t="s">
        <v>388</v>
      </c>
      <c r="E75" t="s">
        <v>1244</v>
      </c>
      <c r="F75" t="str">
        <f>VLOOKUP(E75, 'POS Categories'!$A$1:$B$1999, 2, FALSE)</f>
        <v>Food</v>
      </c>
    </row>
    <row r="76" spans="1:6" x14ac:dyDescent="0.25">
      <c r="A76">
        <v>45057</v>
      </c>
      <c r="B76">
        <v>-24.27</v>
      </c>
      <c r="C76" t="s">
        <v>385</v>
      </c>
      <c r="D76" t="s">
        <v>388</v>
      </c>
      <c r="E76" t="s">
        <v>149</v>
      </c>
      <c r="F76" t="str">
        <f>VLOOKUP(E76, 'POS Categories'!$A$1:$B$1999, 2, FALSE)</f>
        <v>Food</v>
      </c>
    </row>
    <row r="77" spans="1:6" x14ac:dyDescent="0.25">
      <c r="A77">
        <v>45057</v>
      </c>
      <c r="B77">
        <v>-14.77</v>
      </c>
      <c r="C77" t="s">
        <v>385</v>
      </c>
      <c r="D77" t="s">
        <v>388</v>
      </c>
      <c r="E77" t="s">
        <v>1225</v>
      </c>
      <c r="F77" t="str">
        <f>VLOOKUP(E77, 'POS Categories'!$A$1:$B$1999, 2, FALSE)</f>
        <v>Food</v>
      </c>
    </row>
    <row r="78" spans="1:6" x14ac:dyDescent="0.25">
      <c r="A78">
        <v>45056</v>
      </c>
      <c r="B78">
        <v>-29.95</v>
      </c>
      <c r="C78" t="s">
        <v>385</v>
      </c>
      <c r="D78" t="s">
        <v>388</v>
      </c>
      <c r="E78" t="s">
        <v>142</v>
      </c>
      <c r="F78" t="str">
        <f>VLOOKUP(E78, 'POS Categories'!$A$1:$B$1999, 2, FALSE)</f>
        <v>Food</v>
      </c>
    </row>
    <row r="79" spans="1:6" x14ac:dyDescent="0.25">
      <c r="A79">
        <v>45056</v>
      </c>
      <c r="B79">
        <v>-20.16</v>
      </c>
      <c r="C79" t="s">
        <v>385</v>
      </c>
      <c r="D79" t="s">
        <v>388</v>
      </c>
      <c r="E79" t="s">
        <v>157</v>
      </c>
      <c r="F79" t="str">
        <f>VLOOKUP(E79, 'POS Categories'!$A$1:$B$1999, 2, FALSE)</f>
        <v>Personal</v>
      </c>
    </row>
    <row r="80" spans="1:6" x14ac:dyDescent="0.25">
      <c r="A80">
        <v>45056</v>
      </c>
      <c r="B80">
        <v>-61.33</v>
      </c>
      <c r="C80" t="s">
        <v>385</v>
      </c>
      <c r="D80" t="s">
        <v>388</v>
      </c>
      <c r="E80" t="s">
        <v>452</v>
      </c>
      <c r="F80" t="str">
        <f>VLOOKUP(E80, 'POS Categories'!$A$1:$B$1999, 2, FALSE)</f>
        <v>Food</v>
      </c>
    </row>
    <row r="81" spans="1:6" x14ac:dyDescent="0.25">
      <c r="A81">
        <v>45056</v>
      </c>
      <c r="B81">
        <v>-1.5</v>
      </c>
      <c r="C81" t="s">
        <v>385</v>
      </c>
      <c r="D81" t="s">
        <v>388</v>
      </c>
      <c r="E81" t="s">
        <v>1203</v>
      </c>
      <c r="F81" t="str">
        <f>VLOOKUP(E81, 'POS Categories'!$A$1:$B$1999, 2, FALSE)</f>
        <v>Vehicle</v>
      </c>
    </row>
    <row r="82" spans="1:6" x14ac:dyDescent="0.25">
      <c r="A82">
        <v>45056</v>
      </c>
      <c r="B82">
        <v>-28.82</v>
      </c>
      <c r="C82" t="s">
        <v>385</v>
      </c>
      <c r="D82" t="s">
        <v>388</v>
      </c>
      <c r="E82" t="s">
        <v>171</v>
      </c>
      <c r="F82" t="str">
        <f>VLOOKUP(E82, 'POS Categories'!$A$1:$B$1999, 2, FALSE)</f>
        <v>Food</v>
      </c>
    </row>
    <row r="83" spans="1:6" x14ac:dyDescent="0.25">
      <c r="A83">
        <v>45056</v>
      </c>
      <c r="B83">
        <v>-18.54</v>
      </c>
      <c r="C83" t="s">
        <v>385</v>
      </c>
      <c r="D83" t="s">
        <v>388</v>
      </c>
      <c r="E83" t="s">
        <v>408</v>
      </c>
      <c r="F83" t="str">
        <f>VLOOKUP(E83, 'POS Categories'!$A$1:$B$1999, 2, FALSE)</f>
        <v>Food</v>
      </c>
    </row>
    <row r="84" spans="1:6" x14ac:dyDescent="0.25">
      <c r="A84">
        <v>45055</v>
      </c>
      <c r="B84">
        <v>-72.69</v>
      </c>
      <c r="C84" t="s">
        <v>385</v>
      </c>
      <c r="D84" t="s">
        <v>388</v>
      </c>
      <c r="E84" t="s">
        <v>395</v>
      </c>
      <c r="F84" t="str">
        <f>VLOOKUP(E84, 'POS Categories'!$A$1:$B$1999, 2, FALSE)</f>
        <v>Vehicle</v>
      </c>
    </row>
    <row r="85" spans="1:6" x14ac:dyDescent="0.25">
      <c r="A85">
        <v>45055</v>
      </c>
      <c r="B85">
        <v>5504.75</v>
      </c>
      <c r="C85" t="s">
        <v>385</v>
      </c>
      <c r="D85" t="s">
        <v>604</v>
      </c>
      <c r="E85" t="s">
        <v>280</v>
      </c>
      <c r="F85" t="str">
        <f>VLOOKUP(E85, 'POS Categories'!$A$1:$B$1999, 2, FALSE)</f>
        <v>Government</v>
      </c>
    </row>
    <row r="86" spans="1:6" x14ac:dyDescent="0.25">
      <c r="A86">
        <v>45054</v>
      </c>
      <c r="B86">
        <v>-18.78</v>
      </c>
      <c r="C86" t="s">
        <v>385</v>
      </c>
      <c r="D86" t="s">
        <v>388</v>
      </c>
      <c r="E86" t="s">
        <v>1245</v>
      </c>
      <c r="F86" t="str">
        <f>VLOOKUP(E86, 'POS Categories'!$A$1:$B$1999, 2, FALSE)</f>
        <v>Food</v>
      </c>
    </row>
    <row r="87" spans="1:6" x14ac:dyDescent="0.25">
      <c r="A87">
        <v>45054</v>
      </c>
      <c r="B87">
        <v>-18.68</v>
      </c>
      <c r="C87" t="s">
        <v>385</v>
      </c>
      <c r="D87" t="s">
        <v>388</v>
      </c>
      <c r="E87" t="s">
        <v>157</v>
      </c>
      <c r="F87" t="str">
        <f>VLOOKUP(E87, 'POS Categories'!$A$1:$B$1999, 2, FALSE)</f>
        <v>Personal</v>
      </c>
    </row>
    <row r="88" spans="1:6" x14ac:dyDescent="0.25">
      <c r="A88">
        <v>45054</v>
      </c>
      <c r="B88">
        <v>-36.22</v>
      </c>
      <c r="C88" t="s">
        <v>385</v>
      </c>
      <c r="D88" t="s">
        <v>388</v>
      </c>
      <c r="E88" t="s">
        <v>35</v>
      </c>
      <c r="F88" t="str">
        <f>VLOOKUP(E88, 'POS Categories'!$A$1:$B$1999, 2, FALSE)</f>
        <v>Personal</v>
      </c>
    </row>
    <row r="89" spans="1:6" x14ac:dyDescent="0.25">
      <c r="A89">
        <v>45054</v>
      </c>
      <c r="B89">
        <v>-55.33</v>
      </c>
      <c r="C89" t="s">
        <v>385</v>
      </c>
      <c r="D89" t="s">
        <v>388</v>
      </c>
      <c r="E89" t="s">
        <v>411</v>
      </c>
      <c r="F89" t="str">
        <f>VLOOKUP(E89, 'POS Categories'!$A$1:$B$1999, 2, FALSE)</f>
        <v>Sasktel</v>
      </c>
    </row>
    <row r="90" spans="1:6" x14ac:dyDescent="0.25">
      <c r="A90">
        <v>45054</v>
      </c>
      <c r="B90">
        <v>-3.87</v>
      </c>
      <c r="C90" t="s">
        <v>385</v>
      </c>
      <c r="D90" t="s">
        <v>388</v>
      </c>
      <c r="E90" t="s">
        <v>408</v>
      </c>
      <c r="F90" t="str">
        <f>VLOOKUP(E90, 'POS Categories'!$A$1:$B$1999, 2, FALSE)</f>
        <v>Food</v>
      </c>
    </row>
    <row r="91" spans="1:6" x14ac:dyDescent="0.25">
      <c r="A91">
        <v>45054</v>
      </c>
      <c r="B91">
        <v>-45</v>
      </c>
      <c r="C91" t="s">
        <v>385</v>
      </c>
      <c r="D91" t="s">
        <v>388</v>
      </c>
      <c r="E91" t="s">
        <v>343</v>
      </c>
      <c r="F91" t="str">
        <f>VLOOKUP(E91, 'POS Categories'!$A$1:$B$1999, 2, FALSE)</f>
        <v>Sports</v>
      </c>
    </row>
    <row r="92" spans="1:6" x14ac:dyDescent="0.25">
      <c r="A92">
        <v>45052</v>
      </c>
      <c r="B92">
        <v>-166.68</v>
      </c>
      <c r="C92" t="s">
        <v>385</v>
      </c>
      <c r="D92" t="s">
        <v>388</v>
      </c>
      <c r="E92" t="s">
        <v>1297</v>
      </c>
      <c r="F92" t="str">
        <f>VLOOKUP(E92, 'POS Categories'!$A$1:$B$1999, 2, FALSE)</f>
        <v>Personal</v>
      </c>
    </row>
    <row r="93" spans="1:6" x14ac:dyDescent="0.25">
      <c r="A93">
        <v>45052</v>
      </c>
      <c r="B93">
        <v>-12.02</v>
      </c>
      <c r="C93" t="s">
        <v>385</v>
      </c>
      <c r="D93" t="s">
        <v>388</v>
      </c>
      <c r="E93" t="s">
        <v>157</v>
      </c>
      <c r="F93" t="str">
        <f>VLOOKUP(E93, 'POS Categories'!$A$1:$B$1999, 2, FALSE)</f>
        <v>Personal</v>
      </c>
    </row>
    <row r="94" spans="1:6" x14ac:dyDescent="0.25">
      <c r="A94">
        <v>45052</v>
      </c>
      <c r="B94">
        <v>-43.25</v>
      </c>
      <c r="C94" t="s">
        <v>385</v>
      </c>
      <c r="D94" t="s">
        <v>388</v>
      </c>
      <c r="E94" t="s">
        <v>1319</v>
      </c>
      <c r="F94" t="str">
        <f>VLOOKUP(E94, 'POS Categories'!$A$1:$B$1999, 2, FALSE)</f>
        <v>Home</v>
      </c>
    </row>
    <row r="95" spans="1:6" x14ac:dyDescent="0.25">
      <c r="A95">
        <v>45052</v>
      </c>
      <c r="B95">
        <v>-55.5</v>
      </c>
      <c r="C95" t="s">
        <v>385</v>
      </c>
      <c r="D95" t="s">
        <v>388</v>
      </c>
      <c r="E95" t="s">
        <v>1219</v>
      </c>
      <c r="F95" t="str">
        <f>VLOOKUP(E95, 'POS Categories'!$A$1:$B$1999, 2, FALSE)</f>
        <v>Personal</v>
      </c>
    </row>
    <row r="96" spans="1:6" x14ac:dyDescent="0.25">
      <c r="A96">
        <v>45052</v>
      </c>
      <c r="B96">
        <v>-7.75</v>
      </c>
      <c r="C96" t="s">
        <v>385</v>
      </c>
      <c r="D96" t="s">
        <v>388</v>
      </c>
      <c r="E96" t="s">
        <v>408</v>
      </c>
      <c r="F96" t="str">
        <f>VLOOKUP(E96, 'POS Categories'!$A$1:$B$1999, 2, FALSE)</f>
        <v>Food</v>
      </c>
    </row>
    <row r="97" spans="1:6" x14ac:dyDescent="0.25">
      <c r="A97">
        <v>45051</v>
      </c>
      <c r="B97">
        <v>-14.32</v>
      </c>
      <c r="C97" t="s">
        <v>385</v>
      </c>
      <c r="D97" t="s">
        <v>388</v>
      </c>
      <c r="E97" t="s">
        <v>1225</v>
      </c>
      <c r="F97" t="str">
        <f>VLOOKUP(E97, 'POS Categories'!$A$1:$B$1999, 2, FALSE)</f>
        <v>Food</v>
      </c>
    </row>
    <row r="98" spans="1:6" x14ac:dyDescent="0.25">
      <c r="A98">
        <v>45051</v>
      </c>
      <c r="B98">
        <v>-174.21</v>
      </c>
      <c r="C98" t="s">
        <v>385</v>
      </c>
      <c r="D98" t="s">
        <v>388</v>
      </c>
      <c r="E98" t="s">
        <v>33</v>
      </c>
      <c r="F98" t="str">
        <f>VLOOKUP(E98, 'POS Categories'!$A$1:$B$1999, 2, FALSE)</f>
        <v>Food</v>
      </c>
    </row>
    <row r="99" spans="1:6" x14ac:dyDescent="0.25">
      <c r="A99">
        <v>45051</v>
      </c>
      <c r="B99">
        <v>-1.5</v>
      </c>
      <c r="C99" t="s">
        <v>385</v>
      </c>
      <c r="D99" t="s">
        <v>388</v>
      </c>
      <c r="E99" t="s">
        <v>1203</v>
      </c>
      <c r="F99" t="str">
        <f>VLOOKUP(E99, 'POS Categories'!$A$1:$B$1999, 2, FALSE)</f>
        <v>Vehicle</v>
      </c>
    </row>
    <row r="100" spans="1:6" x14ac:dyDescent="0.25">
      <c r="A100">
        <v>45051</v>
      </c>
      <c r="B100">
        <v>-154.27000000000001</v>
      </c>
      <c r="C100" t="s">
        <v>385</v>
      </c>
      <c r="D100" t="s">
        <v>388</v>
      </c>
      <c r="E100" t="s">
        <v>1320</v>
      </c>
      <c r="F100" t="str">
        <f>VLOOKUP(E100, 'POS Categories'!$A$1:$B$1999, 2, FALSE)</f>
        <v>Sports</v>
      </c>
    </row>
    <row r="101" spans="1:6" x14ac:dyDescent="0.25">
      <c r="A101">
        <v>45051</v>
      </c>
      <c r="B101">
        <v>-2.21</v>
      </c>
      <c r="C101" t="s">
        <v>385</v>
      </c>
      <c r="D101" t="s">
        <v>388</v>
      </c>
      <c r="E101" t="s">
        <v>1314</v>
      </c>
      <c r="F101" t="str">
        <f>VLOOKUP(E101, 'POS Categories'!$A$1:$B$1999, 2, FALSE)</f>
        <v>Food</v>
      </c>
    </row>
    <row r="102" spans="1:6" x14ac:dyDescent="0.25">
      <c r="A102">
        <v>45051</v>
      </c>
      <c r="B102">
        <v>-22.2</v>
      </c>
      <c r="C102" t="s">
        <v>385</v>
      </c>
      <c r="D102" t="s">
        <v>388</v>
      </c>
      <c r="E102" t="s">
        <v>1314</v>
      </c>
      <c r="F102" t="str">
        <f>VLOOKUP(E102, 'POS Categories'!$A$1:$B$1999, 2, FALSE)</f>
        <v>Food</v>
      </c>
    </row>
    <row r="103" spans="1:6" x14ac:dyDescent="0.25">
      <c r="A103">
        <v>45051</v>
      </c>
      <c r="B103">
        <v>1946.59</v>
      </c>
      <c r="C103" t="s">
        <v>385</v>
      </c>
      <c r="D103" t="s">
        <v>386</v>
      </c>
      <c r="E103" t="s">
        <v>1193</v>
      </c>
      <c r="F103" t="str">
        <f>VLOOKUP(E103, 'POS Categories'!$A$1:$B$1999, 2, FALSE)</f>
        <v>Job</v>
      </c>
    </row>
    <row r="104" spans="1:6" x14ac:dyDescent="0.25">
      <c r="A104">
        <v>45051</v>
      </c>
      <c r="B104">
        <v>-11.3</v>
      </c>
      <c r="C104" t="s">
        <v>385</v>
      </c>
      <c r="D104" t="s">
        <v>388</v>
      </c>
      <c r="E104" t="s">
        <v>1318</v>
      </c>
      <c r="F104" t="str">
        <f>VLOOKUP(E104, 'POS Categories'!$A$1:$B$1999, 2, FALSE)</f>
        <v>Food</v>
      </c>
    </row>
    <row r="105" spans="1:6" x14ac:dyDescent="0.25">
      <c r="A105">
        <v>45050</v>
      </c>
      <c r="B105">
        <v>-11.41</v>
      </c>
      <c r="C105" t="s">
        <v>385</v>
      </c>
      <c r="D105" t="s">
        <v>388</v>
      </c>
      <c r="E105" t="s">
        <v>183</v>
      </c>
      <c r="F105" t="str">
        <f>VLOOKUP(E105, 'POS Categories'!$A$1:$B$1999, 2, FALSE)</f>
        <v>Food</v>
      </c>
    </row>
    <row r="106" spans="1:6" x14ac:dyDescent="0.25">
      <c r="A106">
        <v>45050</v>
      </c>
      <c r="B106">
        <v>-34.78</v>
      </c>
      <c r="C106" t="s">
        <v>385</v>
      </c>
      <c r="D106" t="s">
        <v>388</v>
      </c>
      <c r="E106" t="s">
        <v>1281</v>
      </c>
      <c r="F106" t="str">
        <f>VLOOKUP(E106, 'POS Categories'!$A$1:$B$1999, 2, FALSE)</f>
        <v>Food</v>
      </c>
    </row>
    <row r="107" spans="1:6" x14ac:dyDescent="0.25">
      <c r="A107">
        <v>45050</v>
      </c>
      <c r="B107">
        <v>-4.8099999999999996</v>
      </c>
      <c r="C107" t="s">
        <v>385</v>
      </c>
      <c r="D107" t="s">
        <v>388</v>
      </c>
      <c r="E107" t="s">
        <v>148</v>
      </c>
      <c r="F107" t="str">
        <f>VLOOKUP(E107, 'POS Categories'!$A$1:$B$1999, 2, FALSE)</f>
        <v>Personal</v>
      </c>
    </row>
    <row r="108" spans="1:6" x14ac:dyDescent="0.25">
      <c r="A108">
        <v>45050</v>
      </c>
      <c r="B108">
        <v>-26.98</v>
      </c>
      <c r="C108" t="s">
        <v>385</v>
      </c>
      <c r="D108" t="s">
        <v>388</v>
      </c>
      <c r="E108" t="s">
        <v>408</v>
      </c>
      <c r="F108" t="str">
        <f>VLOOKUP(E108, 'POS Categories'!$A$1:$B$1999, 2, FALSE)</f>
        <v>Food</v>
      </c>
    </row>
    <row r="109" spans="1:6" x14ac:dyDescent="0.25">
      <c r="A109">
        <v>45050</v>
      </c>
      <c r="B109">
        <v>-8.19</v>
      </c>
      <c r="C109" t="s">
        <v>385</v>
      </c>
      <c r="D109" t="s">
        <v>388</v>
      </c>
      <c r="E109" t="s">
        <v>317</v>
      </c>
      <c r="F109" t="str">
        <f>VLOOKUP(E109, 'POS Categories'!$A$1:$B$1999, 2, FALSE)</f>
        <v>Food</v>
      </c>
    </row>
    <row r="110" spans="1:6" x14ac:dyDescent="0.25">
      <c r="A110">
        <v>45049</v>
      </c>
      <c r="B110">
        <v>-37.799999999999997</v>
      </c>
      <c r="C110" t="s">
        <v>385</v>
      </c>
      <c r="D110" t="s">
        <v>388</v>
      </c>
      <c r="E110" t="s">
        <v>142</v>
      </c>
      <c r="F110" t="str">
        <f>VLOOKUP(E110, 'POS Categories'!$A$1:$B$1999, 2, FALSE)</f>
        <v>Food</v>
      </c>
    </row>
    <row r="111" spans="1:6" x14ac:dyDescent="0.25">
      <c r="A111">
        <v>45049</v>
      </c>
      <c r="B111">
        <v>40</v>
      </c>
      <c r="C111" t="s">
        <v>385</v>
      </c>
      <c r="D111" t="s">
        <v>467</v>
      </c>
      <c r="E111" t="s">
        <v>200</v>
      </c>
      <c r="F111" t="str">
        <f>VLOOKUP(E111, 'POS Categories'!$A$1:$B$1999, 2, FALSE)</f>
        <v>Bills</v>
      </c>
    </row>
    <row r="112" spans="1:6" x14ac:dyDescent="0.25">
      <c r="A112">
        <v>45048</v>
      </c>
      <c r="B112">
        <v>-16.75</v>
      </c>
      <c r="C112" t="s">
        <v>385</v>
      </c>
      <c r="D112" t="s">
        <v>388</v>
      </c>
      <c r="E112" t="s">
        <v>171</v>
      </c>
      <c r="F112" t="str">
        <f>VLOOKUP(E112, 'POS Categories'!$A$1:$B$1999, 2, FALSE)</f>
        <v>Food</v>
      </c>
    </row>
    <row r="113" spans="1:6" x14ac:dyDescent="0.25">
      <c r="A113">
        <v>45048</v>
      </c>
      <c r="B113">
        <v>-35.869999999999997</v>
      </c>
      <c r="C113" t="s">
        <v>385</v>
      </c>
      <c r="D113" t="s">
        <v>388</v>
      </c>
      <c r="E113" t="s">
        <v>1245</v>
      </c>
      <c r="F113" t="str">
        <f>VLOOKUP(E113, 'POS Categories'!$A$1:$B$1999, 2, FALSE)</f>
        <v>Food</v>
      </c>
    </row>
    <row r="114" spans="1:6" x14ac:dyDescent="0.25">
      <c r="A114">
        <v>45048</v>
      </c>
      <c r="B114">
        <v>-15.05</v>
      </c>
      <c r="C114" t="s">
        <v>385</v>
      </c>
      <c r="D114" t="s">
        <v>388</v>
      </c>
      <c r="E114" t="s">
        <v>1198</v>
      </c>
      <c r="F114" t="str">
        <f>VLOOKUP(E114, 'POS Categories'!$A$1:$B$1999, 2, FALSE)</f>
        <v>Entertainment</v>
      </c>
    </row>
    <row r="115" spans="1:6" x14ac:dyDescent="0.25">
      <c r="A115">
        <v>45047</v>
      </c>
      <c r="B115">
        <v>-1325</v>
      </c>
      <c r="C115" t="s">
        <v>385</v>
      </c>
      <c r="D115" t="s">
        <v>414</v>
      </c>
      <c r="E115" t="s">
        <v>1224</v>
      </c>
      <c r="F115" t="str">
        <f>VLOOKUP(E115, 'POS Categories'!$A$1:$B$1999, 2, FALSE)</f>
        <v>Rent</v>
      </c>
    </row>
    <row r="116" spans="1:6" x14ac:dyDescent="0.25">
      <c r="A116">
        <v>45047</v>
      </c>
      <c r="B116">
        <v>-28.86</v>
      </c>
      <c r="C116" t="s">
        <v>385</v>
      </c>
      <c r="D116" t="s">
        <v>388</v>
      </c>
      <c r="E116" t="s">
        <v>1196</v>
      </c>
      <c r="F116" t="str">
        <f>VLOOKUP(E116, 'POS Categories'!$A$1:$B$1999, 2, FALSE)</f>
        <v>Food</v>
      </c>
    </row>
    <row r="117" spans="1:6" x14ac:dyDescent="0.25">
      <c r="A117">
        <v>45047</v>
      </c>
      <c r="B117">
        <v>-35.479999999999997</v>
      </c>
      <c r="C117" t="s">
        <v>385</v>
      </c>
      <c r="D117" t="s">
        <v>388</v>
      </c>
      <c r="E117" t="s">
        <v>8</v>
      </c>
      <c r="F117" t="str">
        <f>VLOOKUP(E117, 'POS Categories'!$A$1:$B$1999, 2, FALSE)</f>
        <v>Food</v>
      </c>
    </row>
    <row r="118" spans="1:6" x14ac:dyDescent="0.25">
      <c r="A118">
        <v>45047</v>
      </c>
      <c r="B118">
        <v>-4.26</v>
      </c>
      <c r="C118" t="s">
        <v>385</v>
      </c>
      <c r="D118" t="s">
        <v>388</v>
      </c>
      <c r="E118" t="s">
        <v>1318</v>
      </c>
      <c r="F118" t="str">
        <f>VLOOKUP(E118, 'POS Categories'!$A$1:$B$1999, 2, FALSE)</f>
        <v>Food</v>
      </c>
    </row>
    <row r="119" spans="1:6" x14ac:dyDescent="0.25">
      <c r="A119">
        <v>45047</v>
      </c>
      <c r="B119">
        <v>-9.85</v>
      </c>
      <c r="C119" t="s">
        <v>385</v>
      </c>
      <c r="D119" t="s">
        <v>388</v>
      </c>
      <c r="E119" t="s">
        <v>408</v>
      </c>
      <c r="F119" t="str">
        <f>VLOOKUP(E119, 'POS Categories'!$A$1:$B$1999, 2, FALSE)</f>
        <v>Food</v>
      </c>
    </row>
    <row r="120" spans="1:6" x14ac:dyDescent="0.25">
      <c r="A120">
        <v>45047</v>
      </c>
      <c r="B120">
        <v>-21.87</v>
      </c>
      <c r="C120" t="s">
        <v>385</v>
      </c>
      <c r="D120" t="s">
        <v>388</v>
      </c>
      <c r="E120" t="s">
        <v>1321</v>
      </c>
      <c r="F120" t="str">
        <f>VLOOKUP(E120, 'POS Categories'!$A$1:$B$1999, 2, FALSE)</f>
        <v>Entertainment</v>
      </c>
    </row>
    <row r="121" spans="1:6" x14ac:dyDescent="0.25">
      <c r="A121">
        <v>45047</v>
      </c>
      <c r="B121">
        <v>-14.32</v>
      </c>
      <c r="C121" t="s">
        <v>385</v>
      </c>
      <c r="D121" t="s">
        <v>388</v>
      </c>
      <c r="E121" t="s">
        <v>1225</v>
      </c>
      <c r="F121" t="str">
        <f>VLOOKUP(E121, 'POS Categories'!$A$1:$B$1999, 2, FALSE)</f>
        <v>Food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81"/>
  <sheetViews>
    <sheetView workbookViewId="0">
      <selection sqref="A1:E500"/>
    </sheetView>
  </sheetViews>
  <sheetFormatPr defaultRowHeight="15" x14ac:dyDescent="0.25"/>
  <sheetData>
    <row r="1" spans="1:6" x14ac:dyDescent="0.25">
      <c r="A1">
        <v>45045</v>
      </c>
      <c r="B1">
        <v>-11.66</v>
      </c>
      <c r="C1" t="s">
        <v>385</v>
      </c>
      <c r="D1" t="s">
        <v>388</v>
      </c>
      <c r="E1" t="s">
        <v>1225</v>
      </c>
      <c r="F1" t="str">
        <f>VLOOKUP(E1, 'POS Categories'!$A$1:$B$1999, 2, FALSE)</f>
        <v>Food</v>
      </c>
    </row>
    <row r="2" spans="1:6" x14ac:dyDescent="0.25">
      <c r="A2">
        <v>45045</v>
      </c>
      <c r="B2">
        <v>-72.3</v>
      </c>
      <c r="C2" t="s">
        <v>385</v>
      </c>
      <c r="D2" t="s">
        <v>435</v>
      </c>
      <c r="E2" t="s">
        <v>1257</v>
      </c>
      <c r="F2" t="str">
        <f>VLOOKUP(E2, 'POS Categories'!$A$1:$B$1999, 2, FALSE)</f>
        <v>Power</v>
      </c>
    </row>
    <row r="3" spans="1:6" x14ac:dyDescent="0.25">
      <c r="A3">
        <v>45044</v>
      </c>
      <c r="B3">
        <v>-238.87</v>
      </c>
      <c r="C3" t="s">
        <v>385</v>
      </c>
      <c r="D3" t="s">
        <v>388</v>
      </c>
      <c r="E3" t="s">
        <v>1297</v>
      </c>
      <c r="F3" t="str">
        <f>VLOOKUP(E3, 'POS Categories'!$A$1:$B$1999, 2, FALSE)</f>
        <v>Personal</v>
      </c>
    </row>
    <row r="4" spans="1:6" x14ac:dyDescent="0.25">
      <c r="A4">
        <v>45044</v>
      </c>
      <c r="B4">
        <v>-54.89</v>
      </c>
      <c r="C4" t="s">
        <v>385</v>
      </c>
      <c r="D4" t="s">
        <v>388</v>
      </c>
      <c r="E4" t="s">
        <v>1298</v>
      </c>
      <c r="F4" t="str">
        <f>VLOOKUP(E4, 'POS Categories'!$A$1:$B$1999, 2, FALSE)</f>
        <v>Food</v>
      </c>
    </row>
    <row r="5" spans="1:6" x14ac:dyDescent="0.25">
      <c r="A5">
        <v>45044</v>
      </c>
      <c r="B5">
        <v>-12.82</v>
      </c>
      <c r="C5" t="s">
        <v>385</v>
      </c>
      <c r="D5" t="s">
        <v>388</v>
      </c>
      <c r="E5" t="s">
        <v>408</v>
      </c>
      <c r="F5" t="str">
        <f>VLOOKUP(E5, 'POS Categories'!$A$1:$B$1999, 2, FALSE)</f>
        <v>Food</v>
      </c>
    </row>
    <row r="6" spans="1:6" x14ac:dyDescent="0.25">
      <c r="A6">
        <v>45043</v>
      </c>
      <c r="B6">
        <v>-22</v>
      </c>
      <c r="C6" t="s">
        <v>385</v>
      </c>
      <c r="D6" t="s">
        <v>388</v>
      </c>
      <c r="E6" t="s">
        <v>1281</v>
      </c>
      <c r="F6" t="str">
        <f>VLOOKUP(E6, 'POS Categories'!$A$1:$B$1999, 2, FALSE)</f>
        <v>Food</v>
      </c>
    </row>
    <row r="7" spans="1:6" x14ac:dyDescent="0.25">
      <c r="A7">
        <v>45043</v>
      </c>
      <c r="B7">
        <v>-15.85</v>
      </c>
      <c r="C7" t="s">
        <v>385</v>
      </c>
      <c r="D7" t="s">
        <v>388</v>
      </c>
      <c r="E7" t="s">
        <v>185</v>
      </c>
      <c r="F7" t="str">
        <f>VLOOKUP(E7, 'POS Categories'!$A$1:$B$1999, 2, FALSE)</f>
        <v>Food</v>
      </c>
    </row>
    <row r="8" spans="1:6" x14ac:dyDescent="0.25">
      <c r="A8">
        <v>45042</v>
      </c>
      <c r="B8">
        <v>-11.86</v>
      </c>
      <c r="C8" t="s">
        <v>385</v>
      </c>
      <c r="D8" t="s">
        <v>388</v>
      </c>
      <c r="E8" t="s">
        <v>174</v>
      </c>
      <c r="F8" t="str">
        <f>VLOOKUP(E8, 'POS Categories'!$A$1:$B$1999, 2, FALSE)</f>
        <v>Food</v>
      </c>
    </row>
    <row r="9" spans="1:6" x14ac:dyDescent="0.25">
      <c r="A9">
        <v>45042</v>
      </c>
      <c r="B9">
        <v>-56.47</v>
      </c>
      <c r="C9" t="s">
        <v>385</v>
      </c>
      <c r="D9" t="s">
        <v>388</v>
      </c>
      <c r="E9" t="s">
        <v>330</v>
      </c>
      <c r="F9" t="str">
        <f>VLOOKUP(E9, 'POS Categories'!$A$1:$B$1999, 2, FALSE)</f>
        <v>Vehicle</v>
      </c>
    </row>
    <row r="10" spans="1:6" x14ac:dyDescent="0.25">
      <c r="A10">
        <v>45041</v>
      </c>
      <c r="B10">
        <v>-5.63</v>
      </c>
      <c r="C10" t="s">
        <v>385</v>
      </c>
      <c r="D10" t="s">
        <v>388</v>
      </c>
      <c r="E10" t="s">
        <v>408</v>
      </c>
      <c r="F10" t="str">
        <f>VLOOKUP(E10, 'POS Categories'!$A$1:$B$1999, 2, FALSE)</f>
        <v>Food</v>
      </c>
    </row>
    <row r="11" spans="1:6" x14ac:dyDescent="0.25">
      <c r="A11">
        <v>45041</v>
      </c>
      <c r="B11">
        <v>-71.84</v>
      </c>
      <c r="C11" t="s">
        <v>385</v>
      </c>
      <c r="D11" t="s">
        <v>388</v>
      </c>
      <c r="E11" t="s">
        <v>395</v>
      </c>
      <c r="F11" t="str">
        <f>VLOOKUP(E11, 'POS Categories'!$A$1:$B$1999, 2, FALSE)</f>
        <v>Vehicle</v>
      </c>
    </row>
    <row r="12" spans="1:6" x14ac:dyDescent="0.25">
      <c r="A12">
        <v>45040</v>
      </c>
      <c r="B12">
        <v>-9.67</v>
      </c>
      <c r="C12" t="s">
        <v>385</v>
      </c>
      <c r="D12" t="s">
        <v>388</v>
      </c>
      <c r="E12" t="s">
        <v>33</v>
      </c>
      <c r="F12" t="str">
        <f>VLOOKUP(E12, 'POS Categories'!$A$1:$B$1999, 2, FALSE)</f>
        <v>Food</v>
      </c>
    </row>
    <row r="13" spans="1:6" x14ac:dyDescent="0.25">
      <c r="A13">
        <v>45040</v>
      </c>
      <c r="B13">
        <v>-14.32</v>
      </c>
      <c r="C13" t="s">
        <v>385</v>
      </c>
      <c r="D13" t="s">
        <v>388</v>
      </c>
      <c r="E13" t="s">
        <v>1225</v>
      </c>
      <c r="F13" t="str">
        <f>VLOOKUP(E13, 'POS Categories'!$A$1:$B$1999, 2, FALSE)</f>
        <v>Food</v>
      </c>
    </row>
    <row r="14" spans="1:6" x14ac:dyDescent="0.25">
      <c r="A14">
        <v>45038</v>
      </c>
      <c r="B14">
        <v>-14.87</v>
      </c>
      <c r="C14" t="s">
        <v>385</v>
      </c>
      <c r="D14" t="s">
        <v>388</v>
      </c>
      <c r="E14" t="s">
        <v>1225</v>
      </c>
      <c r="F14" t="str">
        <f>VLOOKUP(E14, 'POS Categories'!$A$1:$B$1999, 2, FALSE)</f>
        <v>Food</v>
      </c>
    </row>
    <row r="15" spans="1:6" x14ac:dyDescent="0.25">
      <c r="A15">
        <v>45037</v>
      </c>
      <c r="B15">
        <v>-10.74</v>
      </c>
      <c r="C15" t="s">
        <v>385</v>
      </c>
      <c r="D15" t="s">
        <v>388</v>
      </c>
      <c r="E15" t="s">
        <v>157</v>
      </c>
      <c r="F15" t="str">
        <f>VLOOKUP(E15, 'POS Categories'!$A$1:$B$1999, 2, FALSE)</f>
        <v>Personal</v>
      </c>
    </row>
    <row r="16" spans="1:6" x14ac:dyDescent="0.25">
      <c r="A16">
        <v>45037</v>
      </c>
      <c r="B16">
        <v>-3.3</v>
      </c>
      <c r="C16" t="s">
        <v>385</v>
      </c>
      <c r="D16" t="s">
        <v>388</v>
      </c>
      <c r="E16" t="s">
        <v>157</v>
      </c>
      <c r="F16" t="str">
        <f>VLOOKUP(E16, 'POS Categories'!$A$1:$B$1999, 2, FALSE)</f>
        <v>Personal</v>
      </c>
    </row>
    <row r="17" spans="1:6" x14ac:dyDescent="0.25">
      <c r="A17">
        <v>45037</v>
      </c>
      <c r="B17">
        <v>-14.1</v>
      </c>
      <c r="C17" t="s">
        <v>385</v>
      </c>
      <c r="D17" t="s">
        <v>388</v>
      </c>
      <c r="E17" t="s">
        <v>1225</v>
      </c>
      <c r="F17" t="str">
        <f>VLOOKUP(E17, 'POS Categories'!$A$1:$B$1999, 2, FALSE)</f>
        <v>Food</v>
      </c>
    </row>
    <row r="18" spans="1:6" x14ac:dyDescent="0.25">
      <c r="A18">
        <v>45037</v>
      </c>
      <c r="B18">
        <v>-27.81</v>
      </c>
      <c r="C18" t="s">
        <v>385</v>
      </c>
      <c r="D18" t="s">
        <v>388</v>
      </c>
      <c r="E18" t="s">
        <v>149</v>
      </c>
      <c r="F18" t="str">
        <f>VLOOKUP(E18, 'POS Categories'!$A$1:$B$1999, 2, FALSE)</f>
        <v>Food</v>
      </c>
    </row>
    <row r="19" spans="1:6" x14ac:dyDescent="0.25">
      <c r="A19">
        <v>45037</v>
      </c>
      <c r="B19">
        <v>2052.9499999999998</v>
      </c>
      <c r="C19" t="s">
        <v>385</v>
      </c>
      <c r="D19" t="s">
        <v>386</v>
      </c>
      <c r="E19" t="s">
        <v>1193</v>
      </c>
      <c r="F19" t="str">
        <f>VLOOKUP(E19, 'POS Categories'!$A$1:$B$1999, 2, FALSE)</f>
        <v>Job</v>
      </c>
    </row>
    <row r="20" spans="1:6" x14ac:dyDescent="0.25">
      <c r="A20">
        <v>45036</v>
      </c>
      <c r="B20">
        <v>-63.48</v>
      </c>
      <c r="C20" t="s">
        <v>385</v>
      </c>
      <c r="D20" t="s">
        <v>388</v>
      </c>
      <c r="E20" t="s">
        <v>163</v>
      </c>
      <c r="F20" t="str">
        <f>VLOOKUP(E20, 'POS Categories'!$A$1:$B$1999, 2, FALSE)</f>
        <v>Vehicle</v>
      </c>
    </row>
    <row r="21" spans="1:6" x14ac:dyDescent="0.25">
      <c r="A21">
        <v>45036</v>
      </c>
      <c r="B21">
        <v>-56.47</v>
      </c>
      <c r="C21" t="s">
        <v>385</v>
      </c>
      <c r="D21" t="s">
        <v>388</v>
      </c>
      <c r="E21" t="s">
        <v>1299</v>
      </c>
      <c r="F21" t="str">
        <f>VLOOKUP(E21, 'POS Categories'!$A$1:$B$1999, 2, FALSE)</f>
        <v>Food</v>
      </c>
    </row>
    <row r="22" spans="1:6" x14ac:dyDescent="0.25">
      <c r="A22">
        <v>45036</v>
      </c>
      <c r="B22">
        <v>-3.52</v>
      </c>
      <c r="C22" t="s">
        <v>385</v>
      </c>
      <c r="D22" t="s">
        <v>388</v>
      </c>
      <c r="E22" t="s">
        <v>1300</v>
      </c>
      <c r="F22" t="str">
        <f>VLOOKUP(E22, 'POS Categories'!$A$1:$B$1999, 2, FALSE)</f>
        <v>Food</v>
      </c>
    </row>
    <row r="23" spans="1:6" x14ac:dyDescent="0.25">
      <c r="A23">
        <v>45036</v>
      </c>
      <c r="B23">
        <v>-42</v>
      </c>
      <c r="C23" t="s">
        <v>385</v>
      </c>
      <c r="D23" t="s">
        <v>388</v>
      </c>
      <c r="E23" t="s">
        <v>1300</v>
      </c>
      <c r="F23" t="str">
        <f>VLOOKUP(E23, 'POS Categories'!$A$1:$B$1999, 2, FALSE)</f>
        <v>Food</v>
      </c>
    </row>
    <row r="24" spans="1:6" x14ac:dyDescent="0.25">
      <c r="A24">
        <v>45036</v>
      </c>
      <c r="B24">
        <v>-13.51</v>
      </c>
      <c r="C24" t="s">
        <v>385</v>
      </c>
      <c r="D24" t="s">
        <v>388</v>
      </c>
      <c r="E24" t="s">
        <v>457</v>
      </c>
      <c r="F24" t="str">
        <f>VLOOKUP(E24, 'POS Categories'!$A$1:$B$1999, 2, FALSE)</f>
        <v>Food</v>
      </c>
    </row>
    <row r="25" spans="1:6" x14ac:dyDescent="0.25">
      <c r="A25">
        <v>45036</v>
      </c>
      <c r="B25">
        <v>-21.29</v>
      </c>
      <c r="C25" t="s">
        <v>385</v>
      </c>
      <c r="D25" t="s">
        <v>388</v>
      </c>
      <c r="E25" t="s">
        <v>369</v>
      </c>
      <c r="F25" t="str">
        <f>VLOOKUP(E25, 'POS Categories'!$A$1:$B$1999, 2, FALSE)</f>
        <v>Food</v>
      </c>
    </row>
    <row r="26" spans="1:6" x14ac:dyDescent="0.25">
      <c r="A26">
        <v>45035</v>
      </c>
      <c r="B26">
        <v>-55</v>
      </c>
      <c r="C26" t="s">
        <v>385</v>
      </c>
      <c r="D26" t="s">
        <v>388</v>
      </c>
      <c r="E26" t="s">
        <v>1301</v>
      </c>
      <c r="F26" t="str">
        <f>VLOOKUP(E26, 'POS Categories'!$A$1:$B$1999, 2, FALSE)</f>
        <v>Sports</v>
      </c>
    </row>
    <row r="27" spans="1:6" x14ac:dyDescent="0.25">
      <c r="A27">
        <v>45035</v>
      </c>
      <c r="B27">
        <v>-14.36</v>
      </c>
      <c r="C27" t="s">
        <v>385</v>
      </c>
      <c r="D27" t="s">
        <v>388</v>
      </c>
      <c r="E27" t="s">
        <v>395</v>
      </c>
      <c r="F27" t="str">
        <f>VLOOKUP(E27, 'POS Categories'!$A$1:$B$1999, 2, FALSE)</f>
        <v>Vehicle</v>
      </c>
    </row>
    <row r="28" spans="1:6" x14ac:dyDescent="0.25">
      <c r="A28">
        <v>45035</v>
      </c>
      <c r="B28">
        <v>-42.64</v>
      </c>
      <c r="C28" t="s">
        <v>385</v>
      </c>
      <c r="D28" t="s">
        <v>388</v>
      </c>
      <c r="E28" t="s">
        <v>395</v>
      </c>
      <c r="F28" t="str">
        <f>VLOOKUP(E28, 'POS Categories'!$A$1:$B$1999, 2, FALSE)</f>
        <v>Vehicle</v>
      </c>
    </row>
    <row r="29" spans="1:6" x14ac:dyDescent="0.25">
      <c r="A29">
        <v>45034</v>
      </c>
      <c r="B29">
        <v>-19.98</v>
      </c>
      <c r="C29" t="s">
        <v>385</v>
      </c>
      <c r="D29" t="s">
        <v>388</v>
      </c>
      <c r="E29" t="s">
        <v>33</v>
      </c>
      <c r="F29" t="str">
        <f>VLOOKUP(E29, 'POS Categories'!$A$1:$B$1999, 2, FALSE)</f>
        <v>Food</v>
      </c>
    </row>
    <row r="30" spans="1:6" x14ac:dyDescent="0.25">
      <c r="A30">
        <v>45034</v>
      </c>
      <c r="B30">
        <v>-6.19</v>
      </c>
      <c r="C30" t="s">
        <v>385</v>
      </c>
      <c r="D30" t="s">
        <v>388</v>
      </c>
      <c r="E30" t="s">
        <v>408</v>
      </c>
      <c r="F30" t="str">
        <f>VLOOKUP(E30, 'POS Categories'!$A$1:$B$1999, 2, FALSE)</f>
        <v>Food</v>
      </c>
    </row>
    <row r="31" spans="1:6" x14ac:dyDescent="0.25">
      <c r="A31">
        <v>45033</v>
      </c>
      <c r="B31">
        <v>-0.46</v>
      </c>
      <c r="C31" t="s">
        <v>385</v>
      </c>
      <c r="D31" t="s">
        <v>388</v>
      </c>
      <c r="E31" t="s">
        <v>378</v>
      </c>
      <c r="F31" t="str">
        <f>VLOOKUP(E31, 'POS Categories'!$A$1:$B$1999, 2, FALSE)</f>
        <v>Food</v>
      </c>
    </row>
    <row r="32" spans="1:6" x14ac:dyDescent="0.25">
      <c r="A32">
        <v>45033</v>
      </c>
      <c r="B32">
        <v>-50.09</v>
      </c>
      <c r="C32" t="s">
        <v>385</v>
      </c>
      <c r="D32" t="s">
        <v>388</v>
      </c>
      <c r="E32" t="s">
        <v>378</v>
      </c>
      <c r="F32" t="str">
        <f>VLOOKUP(E32, 'POS Categories'!$A$1:$B$1999, 2, FALSE)</f>
        <v>Food</v>
      </c>
    </row>
    <row r="33" spans="1:6" x14ac:dyDescent="0.25">
      <c r="A33">
        <v>45033</v>
      </c>
      <c r="B33">
        <v>-5.25</v>
      </c>
      <c r="C33" t="s">
        <v>385</v>
      </c>
      <c r="D33" t="s">
        <v>388</v>
      </c>
      <c r="E33" t="s">
        <v>408</v>
      </c>
      <c r="F33" t="str">
        <f>VLOOKUP(E33, 'POS Categories'!$A$1:$B$1999, 2, FALSE)</f>
        <v>Food</v>
      </c>
    </row>
    <row r="34" spans="1:6" x14ac:dyDescent="0.25">
      <c r="A34">
        <v>45033</v>
      </c>
      <c r="B34">
        <v>-85.05</v>
      </c>
      <c r="C34" t="s">
        <v>385</v>
      </c>
      <c r="D34" t="s">
        <v>388</v>
      </c>
      <c r="E34" t="s">
        <v>33</v>
      </c>
      <c r="F34" t="str">
        <f>VLOOKUP(E34, 'POS Categories'!$A$1:$B$1999, 2, FALSE)</f>
        <v>Food</v>
      </c>
    </row>
    <row r="35" spans="1:6" x14ac:dyDescent="0.25">
      <c r="A35">
        <v>45033</v>
      </c>
      <c r="B35">
        <v>-14.41</v>
      </c>
      <c r="C35" t="s">
        <v>385</v>
      </c>
      <c r="D35" t="s">
        <v>388</v>
      </c>
      <c r="E35" t="s">
        <v>171</v>
      </c>
      <c r="F35" t="str">
        <f>VLOOKUP(E35, 'POS Categories'!$A$1:$B$1999, 2, FALSE)</f>
        <v>Food</v>
      </c>
    </row>
    <row r="36" spans="1:6" x14ac:dyDescent="0.25">
      <c r="A36">
        <v>45033</v>
      </c>
      <c r="B36">
        <v>-113.25</v>
      </c>
      <c r="C36" t="s">
        <v>385</v>
      </c>
      <c r="D36" t="s">
        <v>388</v>
      </c>
      <c r="E36" t="s">
        <v>320</v>
      </c>
      <c r="F36" t="str">
        <f>VLOOKUP(E36, 'POS Categories'!$A$1:$B$1999, 2, FALSE)</f>
        <v>Sports</v>
      </c>
    </row>
    <row r="37" spans="1:6" x14ac:dyDescent="0.25">
      <c r="A37">
        <v>45033</v>
      </c>
      <c r="B37">
        <v>-9.4</v>
      </c>
      <c r="C37" t="s">
        <v>385</v>
      </c>
      <c r="D37" t="s">
        <v>388</v>
      </c>
      <c r="E37" t="s">
        <v>408</v>
      </c>
      <c r="F37" t="str">
        <f>VLOOKUP(E37, 'POS Categories'!$A$1:$B$1999, 2, FALSE)</f>
        <v>Food</v>
      </c>
    </row>
    <row r="38" spans="1:6" x14ac:dyDescent="0.25">
      <c r="A38">
        <v>45031</v>
      </c>
      <c r="B38">
        <v>-14.5</v>
      </c>
      <c r="C38" t="s">
        <v>385</v>
      </c>
      <c r="D38" t="s">
        <v>388</v>
      </c>
      <c r="E38" t="s">
        <v>408</v>
      </c>
      <c r="F38" t="str">
        <f>VLOOKUP(E38, 'POS Categories'!$A$1:$B$1999, 2, FALSE)</f>
        <v>Food</v>
      </c>
    </row>
    <row r="39" spans="1:6" x14ac:dyDescent="0.25">
      <c r="A39">
        <v>45031</v>
      </c>
      <c r="B39">
        <v>-35.11</v>
      </c>
      <c r="C39" t="s">
        <v>385</v>
      </c>
      <c r="D39" t="s">
        <v>400</v>
      </c>
      <c r="E39" t="s">
        <v>401</v>
      </c>
      <c r="F39" t="str">
        <f>VLOOKUP(E39, 'POS Categories'!$A$1:$B$1999, 2, FALSE)</f>
        <v>Misc</v>
      </c>
    </row>
    <row r="40" spans="1:6" x14ac:dyDescent="0.25">
      <c r="A40">
        <v>45031</v>
      </c>
      <c r="B40">
        <v>-66.55</v>
      </c>
      <c r="C40" t="s">
        <v>385</v>
      </c>
      <c r="D40" t="s">
        <v>388</v>
      </c>
      <c r="E40" t="s">
        <v>175</v>
      </c>
      <c r="F40" t="str">
        <f>VLOOKUP(E40, 'POS Categories'!$A$1:$B$1999, 2, FALSE)</f>
        <v>Sasktel</v>
      </c>
    </row>
    <row r="41" spans="1:6" x14ac:dyDescent="0.25">
      <c r="A41">
        <v>45030</v>
      </c>
      <c r="B41">
        <v>-14.32</v>
      </c>
      <c r="C41" t="s">
        <v>385</v>
      </c>
      <c r="D41" t="s">
        <v>388</v>
      </c>
      <c r="E41" t="s">
        <v>1225</v>
      </c>
      <c r="F41" t="str">
        <f>VLOOKUP(E41, 'POS Categories'!$A$1:$B$1999, 2, FALSE)</f>
        <v>Food</v>
      </c>
    </row>
    <row r="42" spans="1:6" x14ac:dyDescent="0.25">
      <c r="A42">
        <v>45029</v>
      </c>
      <c r="B42">
        <v>-26.27</v>
      </c>
      <c r="C42" t="s">
        <v>385</v>
      </c>
      <c r="D42" t="s">
        <v>388</v>
      </c>
      <c r="E42" t="s">
        <v>33</v>
      </c>
      <c r="F42" t="str">
        <f>VLOOKUP(E42, 'POS Categories'!$A$1:$B$1999, 2, FALSE)</f>
        <v>Food</v>
      </c>
    </row>
    <row r="43" spans="1:6" x14ac:dyDescent="0.25">
      <c r="A43">
        <v>45029</v>
      </c>
      <c r="B43">
        <v>-65.010000000000005</v>
      </c>
      <c r="C43" t="s">
        <v>385</v>
      </c>
      <c r="D43" t="s">
        <v>388</v>
      </c>
      <c r="E43" t="s">
        <v>1302</v>
      </c>
      <c r="F43" t="str">
        <f>VLOOKUP(E43, 'POS Categories'!$A$1:$B$1999, 2, FALSE)</f>
        <v>Sports</v>
      </c>
    </row>
    <row r="44" spans="1:6" x14ac:dyDescent="0.25">
      <c r="A44">
        <v>45029</v>
      </c>
      <c r="B44">
        <v>-17.07</v>
      </c>
      <c r="C44" t="s">
        <v>385</v>
      </c>
      <c r="D44" t="s">
        <v>388</v>
      </c>
      <c r="E44" t="s">
        <v>1245</v>
      </c>
      <c r="F44" t="str">
        <f>VLOOKUP(E44, 'POS Categories'!$A$1:$B$1999, 2, FALSE)</f>
        <v>Food</v>
      </c>
    </row>
    <row r="45" spans="1:6" x14ac:dyDescent="0.25">
      <c r="A45">
        <v>45028</v>
      </c>
      <c r="B45">
        <v>-4.76</v>
      </c>
      <c r="C45" t="s">
        <v>385</v>
      </c>
      <c r="D45" t="s">
        <v>388</v>
      </c>
      <c r="E45" t="s">
        <v>408</v>
      </c>
      <c r="F45" t="str">
        <f>VLOOKUP(E45, 'POS Categories'!$A$1:$B$1999, 2, FALSE)</f>
        <v>Food</v>
      </c>
    </row>
    <row r="46" spans="1:6" x14ac:dyDescent="0.25">
      <c r="A46">
        <v>45028</v>
      </c>
      <c r="B46">
        <v>-10.16</v>
      </c>
      <c r="C46" t="s">
        <v>385</v>
      </c>
      <c r="D46" t="s">
        <v>388</v>
      </c>
      <c r="E46" t="s">
        <v>408</v>
      </c>
      <c r="F46" t="str">
        <f>VLOOKUP(E46, 'POS Categories'!$A$1:$B$1999, 2, FALSE)</f>
        <v>Food</v>
      </c>
    </row>
    <row r="47" spans="1:6" x14ac:dyDescent="0.25">
      <c r="A47">
        <v>45027</v>
      </c>
      <c r="B47">
        <v>-50.16</v>
      </c>
      <c r="C47" t="s">
        <v>385</v>
      </c>
      <c r="D47" t="s">
        <v>388</v>
      </c>
      <c r="E47" t="s">
        <v>33</v>
      </c>
      <c r="F47" t="str">
        <f>VLOOKUP(E47, 'POS Categories'!$A$1:$B$1999, 2, FALSE)</f>
        <v>Food</v>
      </c>
    </row>
    <row r="48" spans="1:6" x14ac:dyDescent="0.25">
      <c r="A48">
        <v>45027</v>
      </c>
      <c r="B48">
        <v>-7.16</v>
      </c>
      <c r="C48" t="s">
        <v>385</v>
      </c>
      <c r="D48" t="s">
        <v>388</v>
      </c>
      <c r="E48" t="s">
        <v>1225</v>
      </c>
      <c r="F48" t="str">
        <f>VLOOKUP(E48, 'POS Categories'!$A$1:$B$1999, 2, FALSE)</f>
        <v>Food</v>
      </c>
    </row>
    <row r="49" spans="1:6" x14ac:dyDescent="0.25">
      <c r="A49">
        <v>45027</v>
      </c>
      <c r="B49">
        <v>-18.62</v>
      </c>
      <c r="C49" t="s">
        <v>385</v>
      </c>
      <c r="D49" t="s">
        <v>388</v>
      </c>
      <c r="E49" t="s">
        <v>240</v>
      </c>
      <c r="F49" t="str">
        <f>VLOOKUP(E49, 'POS Categories'!$A$1:$B$1999, 2, FALSE)</f>
        <v>Food</v>
      </c>
    </row>
    <row r="50" spans="1:6" x14ac:dyDescent="0.25">
      <c r="A50">
        <v>45027</v>
      </c>
      <c r="B50">
        <v>-7.16</v>
      </c>
      <c r="C50" t="s">
        <v>385</v>
      </c>
      <c r="D50" t="s">
        <v>388</v>
      </c>
      <c r="E50" t="s">
        <v>1225</v>
      </c>
      <c r="F50" t="str">
        <f>VLOOKUP(E50, 'POS Categories'!$A$1:$B$1999, 2, FALSE)</f>
        <v>Food</v>
      </c>
    </row>
    <row r="51" spans="1:6" x14ac:dyDescent="0.25">
      <c r="A51">
        <v>45026</v>
      </c>
      <c r="B51">
        <v>-69.02</v>
      </c>
      <c r="C51" t="s">
        <v>385</v>
      </c>
      <c r="D51" t="s">
        <v>388</v>
      </c>
      <c r="E51" t="s">
        <v>395</v>
      </c>
      <c r="F51" t="str">
        <f>VLOOKUP(E51, 'POS Categories'!$A$1:$B$1999, 2, FALSE)</f>
        <v>Vehicle</v>
      </c>
    </row>
    <row r="52" spans="1:6" x14ac:dyDescent="0.25">
      <c r="A52">
        <v>45026</v>
      </c>
      <c r="B52">
        <v>-29.95</v>
      </c>
      <c r="C52" t="s">
        <v>385</v>
      </c>
      <c r="D52" t="s">
        <v>388</v>
      </c>
      <c r="E52" t="s">
        <v>1295</v>
      </c>
      <c r="F52" t="str">
        <f>VLOOKUP(E52, 'POS Categories'!$A$1:$B$1999, 2, FALSE)</f>
        <v>Food</v>
      </c>
    </row>
    <row r="53" spans="1:6" x14ac:dyDescent="0.25">
      <c r="A53">
        <v>45026</v>
      </c>
      <c r="B53">
        <v>-34.369999999999997</v>
      </c>
      <c r="C53" t="s">
        <v>385</v>
      </c>
      <c r="D53" t="s">
        <v>388</v>
      </c>
      <c r="E53" t="s">
        <v>8</v>
      </c>
      <c r="F53" t="str">
        <f>VLOOKUP(E53, 'POS Categories'!$A$1:$B$1999, 2, FALSE)</f>
        <v>Food</v>
      </c>
    </row>
    <row r="54" spans="1:6" x14ac:dyDescent="0.25">
      <c r="A54">
        <v>45026</v>
      </c>
      <c r="B54">
        <v>-7.54</v>
      </c>
      <c r="C54" t="s">
        <v>385</v>
      </c>
      <c r="D54" t="s">
        <v>388</v>
      </c>
      <c r="E54" t="s">
        <v>408</v>
      </c>
      <c r="F54" t="str">
        <f>VLOOKUP(E54, 'POS Categories'!$A$1:$B$1999, 2, FALSE)</f>
        <v>Food</v>
      </c>
    </row>
    <row r="55" spans="1:6" x14ac:dyDescent="0.25">
      <c r="A55">
        <v>45026</v>
      </c>
      <c r="B55">
        <v>-10.18</v>
      </c>
      <c r="C55" t="s">
        <v>385</v>
      </c>
      <c r="D55" t="s">
        <v>388</v>
      </c>
      <c r="E55" t="s">
        <v>408</v>
      </c>
      <c r="F55" t="str">
        <f>VLOOKUP(E55, 'POS Categories'!$A$1:$B$1999, 2, FALSE)</f>
        <v>Food</v>
      </c>
    </row>
    <row r="56" spans="1:6" x14ac:dyDescent="0.25">
      <c r="A56">
        <v>45024</v>
      </c>
      <c r="B56">
        <v>-12.65</v>
      </c>
      <c r="C56" t="s">
        <v>385</v>
      </c>
      <c r="D56" t="s">
        <v>388</v>
      </c>
      <c r="E56" t="s">
        <v>1225</v>
      </c>
      <c r="F56" t="str">
        <f>VLOOKUP(E56, 'POS Categories'!$A$1:$B$1999, 2, FALSE)</f>
        <v>Food</v>
      </c>
    </row>
    <row r="57" spans="1:6" x14ac:dyDescent="0.25">
      <c r="A57">
        <v>45024</v>
      </c>
      <c r="B57">
        <v>-12.65</v>
      </c>
      <c r="C57" t="s">
        <v>385</v>
      </c>
      <c r="D57" t="s">
        <v>388</v>
      </c>
      <c r="E57" t="s">
        <v>1225</v>
      </c>
      <c r="F57" t="str">
        <f>VLOOKUP(E57, 'POS Categories'!$A$1:$B$1999, 2, FALSE)</f>
        <v>Food</v>
      </c>
    </row>
    <row r="58" spans="1:6" x14ac:dyDescent="0.25">
      <c r="A58">
        <v>45024</v>
      </c>
      <c r="B58">
        <v>-57.59</v>
      </c>
      <c r="C58" t="s">
        <v>385</v>
      </c>
      <c r="D58" t="s">
        <v>388</v>
      </c>
      <c r="E58" t="s">
        <v>33</v>
      </c>
      <c r="F58" t="str">
        <f>VLOOKUP(E58, 'POS Categories'!$A$1:$B$1999, 2, FALSE)</f>
        <v>Food</v>
      </c>
    </row>
    <row r="59" spans="1:6" x14ac:dyDescent="0.25">
      <c r="A59">
        <v>45024</v>
      </c>
      <c r="B59">
        <v>-10.87</v>
      </c>
      <c r="C59" t="s">
        <v>385</v>
      </c>
      <c r="D59" t="s">
        <v>388</v>
      </c>
      <c r="E59" t="s">
        <v>174</v>
      </c>
      <c r="F59" t="str">
        <f>VLOOKUP(E59, 'POS Categories'!$A$1:$B$1999, 2, FALSE)</f>
        <v>Food</v>
      </c>
    </row>
    <row r="60" spans="1:6" x14ac:dyDescent="0.25">
      <c r="A60">
        <v>45022</v>
      </c>
      <c r="B60">
        <v>-28.14</v>
      </c>
      <c r="C60" t="s">
        <v>385</v>
      </c>
      <c r="D60" t="s">
        <v>388</v>
      </c>
      <c r="E60" t="s">
        <v>1281</v>
      </c>
      <c r="F60" t="str">
        <f>VLOOKUP(E60, 'POS Categories'!$A$1:$B$1999, 2, FALSE)</f>
        <v>Food</v>
      </c>
    </row>
    <row r="61" spans="1:6" x14ac:dyDescent="0.25">
      <c r="A61">
        <v>45022</v>
      </c>
      <c r="B61">
        <v>-19.739999999999998</v>
      </c>
      <c r="C61" t="s">
        <v>385</v>
      </c>
      <c r="D61" t="s">
        <v>388</v>
      </c>
      <c r="E61" t="s">
        <v>171</v>
      </c>
      <c r="F61" t="str">
        <f>VLOOKUP(E61, 'POS Categories'!$A$1:$B$1999, 2, FALSE)</f>
        <v>Food</v>
      </c>
    </row>
    <row r="62" spans="1:6" x14ac:dyDescent="0.25">
      <c r="A62">
        <v>45022</v>
      </c>
      <c r="B62">
        <v>-77.180000000000007</v>
      </c>
      <c r="C62" t="s">
        <v>385</v>
      </c>
      <c r="D62" t="s">
        <v>388</v>
      </c>
      <c r="E62" t="s">
        <v>411</v>
      </c>
      <c r="F62" t="str">
        <f>VLOOKUP(E62, 'POS Categories'!$A$1:$B$1999, 2, FALSE)</f>
        <v>Sasktel</v>
      </c>
    </row>
    <row r="63" spans="1:6" x14ac:dyDescent="0.25">
      <c r="A63">
        <v>45022</v>
      </c>
      <c r="B63">
        <v>-39.92</v>
      </c>
      <c r="C63" t="s">
        <v>385</v>
      </c>
      <c r="D63" t="s">
        <v>388</v>
      </c>
      <c r="E63" t="s">
        <v>8</v>
      </c>
      <c r="F63" t="str">
        <f>VLOOKUP(E63, 'POS Categories'!$A$1:$B$1999, 2, FALSE)</f>
        <v>Food</v>
      </c>
    </row>
    <row r="64" spans="1:6" x14ac:dyDescent="0.25">
      <c r="A64">
        <v>45022</v>
      </c>
      <c r="B64">
        <v>1986.26</v>
      </c>
      <c r="C64" t="s">
        <v>385</v>
      </c>
      <c r="D64" t="s">
        <v>386</v>
      </c>
      <c r="E64" t="s">
        <v>1193</v>
      </c>
      <c r="F64" t="str">
        <f>VLOOKUP(E64, 'POS Categories'!$A$1:$B$1999, 2, FALSE)</f>
        <v>Job</v>
      </c>
    </row>
    <row r="65" spans="1:6" x14ac:dyDescent="0.25">
      <c r="A65">
        <v>45021</v>
      </c>
      <c r="B65">
        <v>-14.32</v>
      </c>
      <c r="C65" t="s">
        <v>385</v>
      </c>
      <c r="D65" t="s">
        <v>388</v>
      </c>
      <c r="E65" t="s">
        <v>1225</v>
      </c>
      <c r="F65" t="str">
        <f>VLOOKUP(E65, 'POS Categories'!$A$1:$B$1999, 2, FALSE)</f>
        <v>Food</v>
      </c>
    </row>
    <row r="66" spans="1:6" x14ac:dyDescent="0.25">
      <c r="A66">
        <v>45020</v>
      </c>
      <c r="B66">
        <v>-1085.57</v>
      </c>
      <c r="C66" t="s">
        <v>385</v>
      </c>
      <c r="D66" t="s">
        <v>400</v>
      </c>
      <c r="E66" t="s">
        <v>401</v>
      </c>
      <c r="F66" t="str">
        <f>VLOOKUP(E66, 'POS Categories'!$A$1:$B$1999, 2, FALSE)</f>
        <v>Misc</v>
      </c>
    </row>
    <row r="67" spans="1:6" x14ac:dyDescent="0.25">
      <c r="A67">
        <v>45019</v>
      </c>
      <c r="B67">
        <v>-1325</v>
      </c>
      <c r="C67" t="s">
        <v>385</v>
      </c>
      <c r="D67" t="s">
        <v>414</v>
      </c>
      <c r="E67" t="s">
        <v>1224</v>
      </c>
      <c r="F67" t="str">
        <f>VLOOKUP(E67, 'POS Categories'!$A$1:$B$1999, 2, FALSE)</f>
        <v>Rent</v>
      </c>
    </row>
    <row r="68" spans="1:6" x14ac:dyDescent="0.25">
      <c r="A68">
        <v>45019</v>
      </c>
      <c r="B68">
        <v>-6.19</v>
      </c>
      <c r="C68" t="s">
        <v>385</v>
      </c>
      <c r="D68" t="s">
        <v>388</v>
      </c>
      <c r="E68" t="s">
        <v>408</v>
      </c>
      <c r="F68" t="str">
        <f>VLOOKUP(E68, 'POS Categories'!$A$1:$B$1999, 2, FALSE)</f>
        <v>Food</v>
      </c>
    </row>
    <row r="69" spans="1:6" x14ac:dyDescent="0.25">
      <c r="A69">
        <v>45019</v>
      </c>
      <c r="B69">
        <v>-41.9</v>
      </c>
      <c r="C69" t="s">
        <v>385</v>
      </c>
      <c r="D69" t="s">
        <v>388</v>
      </c>
      <c r="E69" t="s">
        <v>33</v>
      </c>
      <c r="F69" t="str">
        <f>VLOOKUP(E69, 'POS Categories'!$A$1:$B$1999, 2, FALSE)</f>
        <v>Food</v>
      </c>
    </row>
    <row r="70" spans="1:6" x14ac:dyDescent="0.25">
      <c r="A70">
        <v>45019</v>
      </c>
      <c r="B70">
        <v>-15.67</v>
      </c>
      <c r="C70" t="s">
        <v>385</v>
      </c>
      <c r="D70" t="s">
        <v>388</v>
      </c>
      <c r="E70" t="s">
        <v>1198</v>
      </c>
      <c r="F70" t="str">
        <f>VLOOKUP(E70, 'POS Categories'!$A$1:$B$1999, 2, FALSE)</f>
        <v>Entertainment</v>
      </c>
    </row>
    <row r="71" spans="1:6" x14ac:dyDescent="0.25">
      <c r="A71">
        <v>45019</v>
      </c>
      <c r="B71">
        <v>-29.06</v>
      </c>
      <c r="C71" t="s">
        <v>385</v>
      </c>
      <c r="D71" t="s">
        <v>388</v>
      </c>
      <c r="E71" t="s">
        <v>184</v>
      </c>
      <c r="F71" t="str">
        <f>VLOOKUP(E71, 'POS Categories'!$A$1:$B$1999, 2, FALSE)</f>
        <v>Food</v>
      </c>
    </row>
    <row r="72" spans="1:6" x14ac:dyDescent="0.25">
      <c r="A72">
        <v>45019</v>
      </c>
      <c r="B72">
        <v>-62.15</v>
      </c>
      <c r="C72" t="s">
        <v>385</v>
      </c>
      <c r="D72" t="s">
        <v>388</v>
      </c>
      <c r="E72" t="s">
        <v>1303</v>
      </c>
      <c r="F72" t="str">
        <f>VLOOKUP(E72, 'POS Categories'!$A$1:$B$1999, 2, FALSE)</f>
        <v>Entertainment</v>
      </c>
    </row>
    <row r="73" spans="1:6" x14ac:dyDescent="0.25">
      <c r="A73">
        <v>45019</v>
      </c>
      <c r="B73">
        <v>-14.32</v>
      </c>
      <c r="C73" t="s">
        <v>385</v>
      </c>
      <c r="D73" t="s">
        <v>388</v>
      </c>
      <c r="E73" t="s">
        <v>1225</v>
      </c>
      <c r="F73" t="str">
        <f>VLOOKUP(E73, 'POS Categories'!$A$1:$B$1999, 2, FALSE)</f>
        <v>Food</v>
      </c>
    </row>
    <row r="74" spans="1:6" x14ac:dyDescent="0.25">
      <c r="A74">
        <v>45019</v>
      </c>
      <c r="B74">
        <v>-73.58</v>
      </c>
      <c r="C74" t="s">
        <v>385</v>
      </c>
      <c r="D74" t="s">
        <v>388</v>
      </c>
      <c r="E74" t="s">
        <v>33</v>
      </c>
      <c r="F74" t="str">
        <f>VLOOKUP(E74, 'POS Categories'!$A$1:$B$1999, 2, FALSE)</f>
        <v>Food</v>
      </c>
    </row>
    <row r="75" spans="1:6" x14ac:dyDescent="0.25">
      <c r="A75">
        <v>45017</v>
      </c>
      <c r="B75">
        <v>-15.1</v>
      </c>
      <c r="C75" t="s">
        <v>385</v>
      </c>
      <c r="D75" t="s">
        <v>388</v>
      </c>
      <c r="E75" t="s">
        <v>183</v>
      </c>
      <c r="F75" t="str">
        <f>VLOOKUP(E75, 'POS Categories'!$A$1:$B$1999, 2, FALSE)</f>
        <v>Food</v>
      </c>
    </row>
    <row r="76" spans="1:6" x14ac:dyDescent="0.25">
      <c r="A76">
        <v>45017</v>
      </c>
      <c r="B76">
        <v>-18.850000000000001</v>
      </c>
      <c r="C76" t="s">
        <v>385</v>
      </c>
      <c r="D76" t="s">
        <v>388</v>
      </c>
      <c r="E76" t="s">
        <v>8</v>
      </c>
      <c r="F76" t="str">
        <f>VLOOKUP(E76, 'POS Categories'!$A$1:$B$1999, 2, FALSE)</f>
        <v>Food</v>
      </c>
    </row>
    <row r="77" spans="1:6" x14ac:dyDescent="0.25">
      <c r="A77">
        <v>45017</v>
      </c>
      <c r="B77">
        <v>-12.16</v>
      </c>
      <c r="C77" t="s">
        <v>385</v>
      </c>
      <c r="D77" t="s">
        <v>388</v>
      </c>
      <c r="E77" t="s">
        <v>1304</v>
      </c>
      <c r="F77" t="str">
        <f>VLOOKUP(E77, 'POS Categories'!$A$1:$B$1999, 2, FALSE)</f>
        <v>Food</v>
      </c>
    </row>
    <row r="78" spans="1:6" x14ac:dyDescent="0.25">
      <c r="A78">
        <v>45017</v>
      </c>
      <c r="B78">
        <v>-29.46</v>
      </c>
      <c r="C78" t="s">
        <v>385</v>
      </c>
      <c r="D78" t="s">
        <v>388</v>
      </c>
      <c r="E78" t="s">
        <v>259</v>
      </c>
      <c r="F78" t="str">
        <f>VLOOKUP(E78, 'POS Categories'!$A$1:$B$1999, 2, FALSE)</f>
        <v>Personal</v>
      </c>
    </row>
    <row r="79" spans="1:6" x14ac:dyDescent="0.25">
      <c r="A79">
        <v>45017</v>
      </c>
      <c r="B79">
        <v>-32.799999999999997</v>
      </c>
      <c r="C79" t="s">
        <v>385</v>
      </c>
      <c r="D79" t="s">
        <v>388</v>
      </c>
      <c r="E79" t="s">
        <v>1305</v>
      </c>
      <c r="F79" t="str">
        <f>VLOOKUP(E79, 'POS Categories'!$A$1:$B$1999, 2, FALSE)</f>
        <v>Food</v>
      </c>
    </row>
    <row r="80" spans="1:6" x14ac:dyDescent="0.25">
      <c r="A80">
        <v>45017</v>
      </c>
      <c r="B80">
        <v>-7.5</v>
      </c>
      <c r="C80" t="s">
        <v>385</v>
      </c>
      <c r="D80" t="s">
        <v>388</v>
      </c>
      <c r="E80" t="s">
        <v>1306</v>
      </c>
      <c r="F80" t="str">
        <f>VLOOKUP(E80, 'POS Categories'!$A$1:$B$1999, 2, FALSE)</f>
        <v>Personal</v>
      </c>
    </row>
    <row r="81" spans="1:6" x14ac:dyDescent="0.25">
      <c r="A81">
        <v>45017</v>
      </c>
      <c r="B81">
        <v>-14.32</v>
      </c>
      <c r="C81" t="s">
        <v>385</v>
      </c>
      <c r="D81" t="s">
        <v>388</v>
      </c>
      <c r="E81" t="s">
        <v>1225</v>
      </c>
      <c r="F81" t="str">
        <f>VLOOKUP(E81, 'POS Categories'!$A$1:$B$1999, 2, FALSE)</f>
        <v>Food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99"/>
  <sheetViews>
    <sheetView topLeftCell="A57" workbookViewId="0">
      <selection activeCell="E72" sqref="E72"/>
    </sheetView>
  </sheetViews>
  <sheetFormatPr defaultRowHeight="15" x14ac:dyDescent="0.25"/>
  <cols>
    <col min="5" max="5" width="36.140625" bestFit="1" customWidth="1"/>
  </cols>
  <sheetData>
    <row r="1" spans="1:6" x14ac:dyDescent="0.25">
      <c r="A1">
        <v>45016</v>
      </c>
      <c r="B1">
        <v>-35.74</v>
      </c>
      <c r="C1" t="s">
        <v>385</v>
      </c>
      <c r="D1" t="s">
        <v>388</v>
      </c>
      <c r="E1" t="s">
        <v>1196</v>
      </c>
      <c r="F1" t="str">
        <f>VLOOKUP(E1, 'POS Categories'!$A$1:$B$1999, 2, FALSE)</f>
        <v>Food</v>
      </c>
    </row>
    <row r="2" spans="1:6" x14ac:dyDescent="0.25">
      <c r="A2">
        <v>45016</v>
      </c>
      <c r="B2">
        <v>-18.32</v>
      </c>
      <c r="C2" t="s">
        <v>385</v>
      </c>
      <c r="D2" t="s">
        <v>388</v>
      </c>
      <c r="E2" t="s">
        <v>266</v>
      </c>
      <c r="F2" t="str">
        <f>VLOOKUP(E2, 'POS Categories'!$A$1:$B$1999, 2, FALSE)</f>
        <v>Food</v>
      </c>
    </row>
    <row r="3" spans="1:6" x14ac:dyDescent="0.25">
      <c r="A3">
        <v>45016</v>
      </c>
      <c r="B3">
        <v>-30.5</v>
      </c>
      <c r="C3" t="s">
        <v>385</v>
      </c>
      <c r="D3" t="s">
        <v>388</v>
      </c>
      <c r="E3" t="s">
        <v>142</v>
      </c>
      <c r="F3" t="str">
        <f>VLOOKUP(E3, 'POS Categories'!$A$1:$B$1999, 2, FALSE)</f>
        <v>Food</v>
      </c>
    </row>
    <row r="4" spans="1:6" x14ac:dyDescent="0.25">
      <c r="A4">
        <v>45016</v>
      </c>
      <c r="B4">
        <v>-194.08</v>
      </c>
      <c r="C4" t="s">
        <v>385</v>
      </c>
      <c r="D4" t="s">
        <v>388</v>
      </c>
      <c r="E4" t="s">
        <v>1207</v>
      </c>
      <c r="F4" t="str">
        <f>VLOOKUP(E4, 'POS Categories'!$A$1:$B$1999, 2, FALSE)</f>
        <v>Entertainment</v>
      </c>
    </row>
    <row r="5" spans="1:6" x14ac:dyDescent="0.25">
      <c r="A5">
        <v>45016</v>
      </c>
      <c r="B5">
        <v>-11.06</v>
      </c>
      <c r="C5" t="s">
        <v>385</v>
      </c>
      <c r="D5" t="s">
        <v>388</v>
      </c>
      <c r="E5" t="s">
        <v>408</v>
      </c>
      <c r="F5" t="str">
        <f>VLOOKUP(E5, 'POS Categories'!$A$1:$B$1999, 2, FALSE)</f>
        <v>Food</v>
      </c>
    </row>
    <row r="6" spans="1:6" x14ac:dyDescent="0.25">
      <c r="A6">
        <v>45015</v>
      </c>
      <c r="B6">
        <v>-66.97</v>
      </c>
      <c r="C6" t="s">
        <v>385</v>
      </c>
      <c r="D6" t="s">
        <v>388</v>
      </c>
      <c r="E6" t="s">
        <v>395</v>
      </c>
      <c r="F6" t="str">
        <f>VLOOKUP(E6, 'POS Categories'!$A$1:$B$1999, 2, FALSE)</f>
        <v>Vehicle</v>
      </c>
    </row>
    <row r="7" spans="1:6" x14ac:dyDescent="0.25">
      <c r="A7">
        <v>45015</v>
      </c>
      <c r="B7">
        <v>-31.44</v>
      </c>
      <c r="C7" t="s">
        <v>385</v>
      </c>
      <c r="D7" t="s">
        <v>388</v>
      </c>
      <c r="E7" t="s">
        <v>1279</v>
      </c>
      <c r="F7" t="str">
        <f>VLOOKUP(E7, 'POS Categories'!$A$1:$B$1999, 2, FALSE)</f>
        <v>Food</v>
      </c>
    </row>
    <row r="8" spans="1:6" x14ac:dyDescent="0.25">
      <c r="A8">
        <v>45015</v>
      </c>
      <c r="B8">
        <v>-14.74</v>
      </c>
      <c r="C8" t="s">
        <v>385</v>
      </c>
      <c r="D8" t="s">
        <v>388</v>
      </c>
      <c r="E8" t="s">
        <v>240</v>
      </c>
      <c r="F8" t="str">
        <f>VLOOKUP(E8, 'POS Categories'!$A$1:$B$1999, 2, FALSE)</f>
        <v>Food</v>
      </c>
    </row>
    <row r="9" spans="1:6" x14ac:dyDescent="0.25">
      <c r="A9">
        <v>45015</v>
      </c>
      <c r="B9">
        <v>-14.32</v>
      </c>
      <c r="C9" t="s">
        <v>385</v>
      </c>
      <c r="D9" t="s">
        <v>388</v>
      </c>
      <c r="E9" t="s">
        <v>1225</v>
      </c>
      <c r="F9" t="str">
        <f>VLOOKUP(E9, 'POS Categories'!$A$1:$B$1999, 2, FALSE)</f>
        <v>Food</v>
      </c>
    </row>
    <row r="10" spans="1:6" x14ac:dyDescent="0.25">
      <c r="A10">
        <v>45014</v>
      </c>
      <c r="B10">
        <v>-10.07</v>
      </c>
      <c r="C10" t="s">
        <v>385</v>
      </c>
      <c r="D10" t="s">
        <v>388</v>
      </c>
      <c r="E10" t="s">
        <v>408</v>
      </c>
      <c r="F10" t="str">
        <f>VLOOKUP(E10, 'POS Categories'!$A$1:$B$1999, 2, FALSE)</f>
        <v>Food</v>
      </c>
    </row>
    <row r="11" spans="1:6" x14ac:dyDescent="0.25">
      <c r="A11">
        <v>45014</v>
      </c>
      <c r="B11">
        <v>-35.869999999999997</v>
      </c>
      <c r="C11" t="s">
        <v>385</v>
      </c>
      <c r="D11" t="s">
        <v>388</v>
      </c>
      <c r="E11" t="s">
        <v>1288</v>
      </c>
      <c r="F11" t="str">
        <f>VLOOKUP(E11, 'POS Categories'!$A$1:$B$1999, 2, FALSE)</f>
        <v>Food</v>
      </c>
    </row>
    <row r="12" spans="1:6" x14ac:dyDescent="0.25">
      <c r="A12">
        <v>45014</v>
      </c>
      <c r="B12">
        <v>-5.83</v>
      </c>
      <c r="C12" t="s">
        <v>385</v>
      </c>
      <c r="D12" t="s">
        <v>388</v>
      </c>
      <c r="E12" t="s">
        <v>377</v>
      </c>
      <c r="F12" t="str">
        <f>VLOOKUP(E12, 'POS Categories'!$A$1:$B$1999, 2, FALSE)</f>
        <v>Personal</v>
      </c>
    </row>
    <row r="13" spans="1:6" x14ac:dyDescent="0.25">
      <c r="A13">
        <v>45014</v>
      </c>
      <c r="B13">
        <v>-31.06</v>
      </c>
      <c r="C13" t="s">
        <v>385</v>
      </c>
      <c r="D13" t="s">
        <v>388</v>
      </c>
      <c r="E13" t="s">
        <v>1243</v>
      </c>
      <c r="F13" t="str">
        <f>VLOOKUP(E13, 'POS Categories'!$A$1:$B$1999, 2, FALSE)</f>
        <v>Personal</v>
      </c>
    </row>
    <row r="14" spans="1:6" x14ac:dyDescent="0.25">
      <c r="A14">
        <v>45014</v>
      </c>
      <c r="B14">
        <v>-40.68</v>
      </c>
      <c r="C14" t="s">
        <v>385</v>
      </c>
      <c r="D14" t="s">
        <v>388</v>
      </c>
      <c r="E14" t="s">
        <v>171</v>
      </c>
      <c r="F14" t="str">
        <f>VLOOKUP(E14, 'POS Categories'!$A$1:$B$1999, 2, FALSE)</f>
        <v>Food</v>
      </c>
    </row>
    <row r="15" spans="1:6" x14ac:dyDescent="0.25">
      <c r="A15">
        <v>45013</v>
      </c>
      <c r="B15">
        <v>-139.19999999999999</v>
      </c>
      <c r="C15" t="s">
        <v>385</v>
      </c>
      <c r="D15" t="s">
        <v>388</v>
      </c>
      <c r="E15" t="s">
        <v>1207</v>
      </c>
      <c r="F15" t="str">
        <f>VLOOKUP(E15, 'POS Categories'!$A$1:$B$1999, 2, FALSE)</f>
        <v>Entertainment</v>
      </c>
    </row>
    <row r="16" spans="1:6" x14ac:dyDescent="0.25">
      <c r="A16">
        <v>45013</v>
      </c>
      <c r="B16">
        <v>-96.46</v>
      </c>
      <c r="C16" t="s">
        <v>385</v>
      </c>
      <c r="D16" t="s">
        <v>388</v>
      </c>
      <c r="E16" t="s">
        <v>1289</v>
      </c>
      <c r="F16" t="str">
        <f>VLOOKUP(E16, 'POS Categories'!$A$1:$B$1999, 2, FALSE)</f>
        <v>Entertainment</v>
      </c>
    </row>
    <row r="17" spans="1:6" x14ac:dyDescent="0.25">
      <c r="A17">
        <v>45013</v>
      </c>
      <c r="B17">
        <v>-74</v>
      </c>
      <c r="C17" t="s">
        <v>385</v>
      </c>
      <c r="D17" t="s">
        <v>388</v>
      </c>
      <c r="E17" t="s">
        <v>1204</v>
      </c>
      <c r="F17" t="str">
        <f>VLOOKUP(E17, 'POS Categories'!$A$1:$B$1999, 2, FALSE)</f>
        <v>Entertainment</v>
      </c>
    </row>
    <row r="18" spans="1:6" x14ac:dyDescent="0.25">
      <c r="A18">
        <v>45013</v>
      </c>
      <c r="B18">
        <v>-21.18</v>
      </c>
      <c r="C18" t="s">
        <v>385</v>
      </c>
      <c r="D18" t="s">
        <v>388</v>
      </c>
      <c r="E18" t="s">
        <v>288</v>
      </c>
      <c r="F18" t="str">
        <f>VLOOKUP(E18, 'POS Categories'!$A$1:$B$1999, 2, FALSE)</f>
        <v>Food</v>
      </c>
    </row>
    <row r="19" spans="1:6" x14ac:dyDescent="0.25">
      <c r="A19">
        <v>45013</v>
      </c>
      <c r="B19">
        <v>-18.399999999999999</v>
      </c>
      <c r="C19" t="s">
        <v>385</v>
      </c>
      <c r="D19" t="s">
        <v>388</v>
      </c>
      <c r="E19" t="s">
        <v>1290</v>
      </c>
      <c r="F19" t="str">
        <f>VLOOKUP(E19, 'POS Categories'!$A$1:$B$1999, 2, FALSE)</f>
        <v>Food</v>
      </c>
    </row>
    <row r="20" spans="1:6" x14ac:dyDescent="0.25">
      <c r="A20">
        <v>45013</v>
      </c>
      <c r="B20">
        <v>-33.03</v>
      </c>
      <c r="C20" t="s">
        <v>385</v>
      </c>
      <c r="D20" t="s">
        <v>388</v>
      </c>
      <c r="E20" t="s">
        <v>149</v>
      </c>
      <c r="F20" t="str">
        <f>VLOOKUP(E20, 'POS Categories'!$A$1:$B$1999, 2, FALSE)</f>
        <v>Food</v>
      </c>
    </row>
    <row r="21" spans="1:6" x14ac:dyDescent="0.25">
      <c r="A21">
        <v>45012</v>
      </c>
      <c r="B21">
        <v>-31.08</v>
      </c>
      <c r="C21" t="s">
        <v>385</v>
      </c>
      <c r="D21" t="s">
        <v>388</v>
      </c>
      <c r="E21" t="s">
        <v>1196</v>
      </c>
      <c r="F21" t="str">
        <f>VLOOKUP(E21, 'POS Categories'!$A$1:$B$1999, 2, FALSE)</f>
        <v>Food</v>
      </c>
    </row>
    <row r="22" spans="1:6" x14ac:dyDescent="0.25">
      <c r="A22">
        <v>45012</v>
      </c>
      <c r="B22">
        <v>-26.23</v>
      </c>
      <c r="C22" t="s">
        <v>385</v>
      </c>
      <c r="D22" t="s">
        <v>388</v>
      </c>
      <c r="E22" t="s">
        <v>408</v>
      </c>
      <c r="F22" t="str">
        <f>VLOOKUP(E22, 'POS Categories'!$A$1:$B$1999, 2, FALSE)</f>
        <v>Food</v>
      </c>
    </row>
    <row r="23" spans="1:6" x14ac:dyDescent="0.25">
      <c r="A23">
        <v>45012</v>
      </c>
      <c r="B23">
        <v>-35.92</v>
      </c>
      <c r="C23" t="s">
        <v>385</v>
      </c>
      <c r="D23" t="s">
        <v>388</v>
      </c>
      <c r="E23" t="s">
        <v>1238</v>
      </c>
      <c r="F23" t="str">
        <f>VLOOKUP(E23, 'POS Categories'!$A$1:$B$1999, 2, FALSE)</f>
        <v>Food</v>
      </c>
    </row>
    <row r="24" spans="1:6" x14ac:dyDescent="0.25">
      <c r="A24">
        <v>45012</v>
      </c>
      <c r="B24">
        <v>-19.739999999999998</v>
      </c>
      <c r="C24" t="s">
        <v>385</v>
      </c>
      <c r="D24" t="s">
        <v>388</v>
      </c>
      <c r="E24" t="s">
        <v>171</v>
      </c>
      <c r="F24" t="str">
        <f>VLOOKUP(E24, 'POS Categories'!$A$1:$B$1999, 2, FALSE)</f>
        <v>Food</v>
      </c>
    </row>
    <row r="25" spans="1:6" x14ac:dyDescent="0.25">
      <c r="A25">
        <v>45012</v>
      </c>
      <c r="B25">
        <v>-7.72</v>
      </c>
      <c r="C25" t="s">
        <v>385</v>
      </c>
      <c r="D25" t="s">
        <v>388</v>
      </c>
      <c r="E25" t="s">
        <v>1225</v>
      </c>
      <c r="F25" t="str">
        <f>VLOOKUP(E25, 'POS Categories'!$A$1:$B$1999, 2, FALSE)</f>
        <v>Food</v>
      </c>
    </row>
    <row r="26" spans="1:6" x14ac:dyDescent="0.25">
      <c r="A26">
        <v>45012</v>
      </c>
      <c r="B26">
        <v>-18.62</v>
      </c>
      <c r="C26" t="s">
        <v>385</v>
      </c>
      <c r="D26" t="s">
        <v>388</v>
      </c>
      <c r="E26" t="s">
        <v>240</v>
      </c>
      <c r="F26" t="str">
        <f>VLOOKUP(E26, 'POS Categories'!$A$1:$B$1999, 2, FALSE)</f>
        <v>Food</v>
      </c>
    </row>
    <row r="27" spans="1:6" x14ac:dyDescent="0.25">
      <c r="A27">
        <v>45010</v>
      </c>
      <c r="B27">
        <v>-18.850000000000001</v>
      </c>
      <c r="C27" t="s">
        <v>385</v>
      </c>
      <c r="D27" t="s">
        <v>388</v>
      </c>
      <c r="E27" t="s">
        <v>171</v>
      </c>
      <c r="F27" t="str">
        <f>VLOOKUP(E27, 'POS Categories'!$A$1:$B$1999, 2, FALSE)</f>
        <v>Food</v>
      </c>
    </row>
    <row r="28" spans="1:6" x14ac:dyDescent="0.25">
      <c r="A28">
        <v>45010</v>
      </c>
      <c r="B28">
        <v>-11.1</v>
      </c>
      <c r="C28" t="s">
        <v>385</v>
      </c>
      <c r="D28" t="s">
        <v>388</v>
      </c>
      <c r="E28" t="s">
        <v>408</v>
      </c>
      <c r="F28" t="str">
        <f>VLOOKUP(E28, 'POS Categories'!$A$1:$B$1999, 2, FALSE)</f>
        <v>Food</v>
      </c>
    </row>
    <row r="29" spans="1:6" x14ac:dyDescent="0.25">
      <c r="A29">
        <v>45009</v>
      </c>
      <c r="B29">
        <v>-2.4300000000000002</v>
      </c>
      <c r="C29" t="s">
        <v>385</v>
      </c>
      <c r="D29" t="s">
        <v>388</v>
      </c>
      <c r="E29" t="s">
        <v>408</v>
      </c>
      <c r="F29" t="str">
        <f>VLOOKUP(E29, 'POS Categories'!$A$1:$B$1999, 2, FALSE)</f>
        <v>Food</v>
      </c>
    </row>
    <row r="30" spans="1:6" x14ac:dyDescent="0.25">
      <c r="A30">
        <v>45009</v>
      </c>
      <c r="B30">
        <v>-14.63</v>
      </c>
      <c r="C30" t="s">
        <v>385</v>
      </c>
      <c r="D30" t="s">
        <v>388</v>
      </c>
      <c r="E30" t="s">
        <v>174</v>
      </c>
      <c r="F30" t="str">
        <f>VLOOKUP(E30, 'POS Categories'!$A$1:$B$1999, 2, FALSE)</f>
        <v>Food</v>
      </c>
    </row>
    <row r="31" spans="1:6" x14ac:dyDescent="0.25">
      <c r="A31">
        <v>45009</v>
      </c>
      <c r="B31">
        <v>1986.26</v>
      </c>
      <c r="C31" t="s">
        <v>385</v>
      </c>
      <c r="D31" t="s">
        <v>386</v>
      </c>
      <c r="E31" t="s">
        <v>1193</v>
      </c>
      <c r="F31" t="str">
        <f>VLOOKUP(E31, 'POS Categories'!$A$1:$B$1999, 2, FALSE)</f>
        <v>Job</v>
      </c>
    </row>
    <row r="32" spans="1:6" x14ac:dyDescent="0.25">
      <c r="A32">
        <v>45008</v>
      </c>
      <c r="B32">
        <v>-28.68</v>
      </c>
      <c r="C32" t="s">
        <v>385</v>
      </c>
      <c r="D32" t="s">
        <v>388</v>
      </c>
      <c r="E32" t="s">
        <v>1281</v>
      </c>
      <c r="F32" t="str">
        <f>VLOOKUP(E32, 'POS Categories'!$A$1:$B$1999, 2, FALSE)</f>
        <v>Food</v>
      </c>
    </row>
    <row r="33" spans="1:6" x14ac:dyDescent="0.25">
      <c r="A33">
        <v>45008</v>
      </c>
      <c r="B33">
        <v>-15.74</v>
      </c>
      <c r="C33" t="s">
        <v>385</v>
      </c>
      <c r="D33" t="s">
        <v>388</v>
      </c>
      <c r="E33" t="s">
        <v>149</v>
      </c>
      <c r="F33" t="str">
        <f>VLOOKUP(E33, 'POS Categories'!$A$1:$B$1999, 2, FALSE)</f>
        <v>Food</v>
      </c>
    </row>
    <row r="34" spans="1:6" x14ac:dyDescent="0.25">
      <c r="A34">
        <v>45008</v>
      </c>
      <c r="B34">
        <v>-57.88</v>
      </c>
      <c r="C34" t="s">
        <v>385</v>
      </c>
      <c r="D34" t="s">
        <v>435</v>
      </c>
      <c r="E34" t="s">
        <v>1257</v>
      </c>
      <c r="F34" t="str">
        <f>VLOOKUP(E34, 'POS Categories'!$A$1:$B$1999, 2, FALSE)</f>
        <v>Power</v>
      </c>
    </row>
    <row r="35" spans="1:6" x14ac:dyDescent="0.25">
      <c r="A35">
        <v>45007</v>
      </c>
      <c r="B35">
        <v>-14.41</v>
      </c>
      <c r="C35" t="s">
        <v>385</v>
      </c>
      <c r="D35" t="s">
        <v>388</v>
      </c>
      <c r="E35" t="s">
        <v>171</v>
      </c>
      <c r="F35" t="str">
        <f>VLOOKUP(E35, 'POS Categories'!$A$1:$B$1999, 2, FALSE)</f>
        <v>Food</v>
      </c>
    </row>
    <row r="36" spans="1:6" x14ac:dyDescent="0.25">
      <c r="A36">
        <v>45007</v>
      </c>
      <c r="B36">
        <v>-8.75</v>
      </c>
      <c r="C36" t="s">
        <v>385</v>
      </c>
      <c r="D36" t="s">
        <v>388</v>
      </c>
      <c r="E36" t="s">
        <v>1238</v>
      </c>
      <c r="F36" t="str">
        <f>VLOOKUP(E36, 'POS Categories'!$A$1:$B$1999, 2, FALSE)</f>
        <v>Food</v>
      </c>
    </row>
    <row r="37" spans="1:6" x14ac:dyDescent="0.25">
      <c r="A37">
        <v>45006</v>
      </c>
      <c r="B37">
        <v>-12.26</v>
      </c>
      <c r="C37" t="s">
        <v>385</v>
      </c>
      <c r="D37" t="s">
        <v>388</v>
      </c>
      <c r="E37" t="s">
        <v>408</v>
      </c>
      <c r="F37" t="str">
        <f>VLOOKUP(E37, 'POS Categories'!$A$1:$B$1999, 2, FALSE)</f>
        <v>Food</v>
      </c>
    </row>
    <row r="38" spans="1:6" x14ac:dyDescent="0.25">
      <c r="A38">
        <v>45006</v>
      </c>
      <c r="B38">
        <v>-19.96</v>
      </c>
      <c r="C38" t="s">
        <v>385</v>
      </c>
      <c r="D38" t="s">
        <v>388</v>
      </c>
      <c r="E38" t="s">
        <v>8</v>
      </c>
      <c r="F38" t="str">
        <f>VLOOKUP(E38, 'POS Categories'!$A$1:$B$1999, 2, FALSE)</f>
        <v>Food</v>
      </c>
    </row>
    <row r="39" spans="1:6" x14ac:dyDescent="0.25">
      <c r="A39">
        <v>45006</v>
      </c>
      <c r="B39">
        <v>88</v>
      </c>
      <c r="C39" t="s">
        <v>385</v>
      </c>
      <c r="D39" t="s">
        <v>467</v>
      </c>
      <c r="E39" t="s">
        <v>200</v>
      </c>
      <c r="F39" t="str">
        <f>VLOOKUP(E39, 'POS Categories'!$A$1:$B$1999, 2, FALSE)</f>
        <v>Bills</v>
      </c>
    </row>
    <row r="40" spans="1:6" x14ac:dyDescent="0.25">
      <c r="A40">
        <v>45005</v>
      </c>
      <c r="B40">
        <v>-6.98</v>
      </c>
      <c r="C40" t="s">
        <v>385</v>
      </c>
      <c r="D40" t="s">
        <v>388</v>
      </c>
      <c r="E40" t="s">
        <v>408</v>
      </c>
      <c r="F40" t="str">
        <f>VLOOKUP(E40, 'POS Categories'!$A$1:$B$1999, 2, FALSE)</f>
        <v>Food</v>
      </c>
    </row>
    <row r="41" spans="1:6" x14ac:dyDescent="0.25">
      <c r="A41">
        <v>45005</v>
      </c>
      <c r="B41">
        <v>-176.74</v>
      </c>
      <c r="C41" t="s">
        <v>385</v>
      </c>
      <c r="D41" t="s">
        <v>388</v>
      </c>
      <c r="E41" t="s">
        <v>1207</v>
      </c>
      <c r="F41" t="str">
        <f>VLOOKUP(E41, 'POS Categories'!$A$1:$B$1999, 2, FALSE)</f>
        <v>Entertainment</v>
      </c>
    </row>
    <row r="42" spans="1:6" x14ac:dyDescent="0.25">
      <c r="A42">
        <v>45005</v>
      </c>
      <c r="B42">
        <v>-15.4</v>
      </c>
      <c r="C42" t="s">
        <v>385</v>
      </c>
      <c r="D42" t="s">
        <v>388</v>
      </c>
      <c r="E42" t="s">
        <v>174</v>
      </c>
      <c r="F42" t="str">
        <f>VLOOKUP(E42, 'POS Categories'!$A$1:$B$1999, 2, FALSE)</f>
        <v>Food</v>
      </c>
    </row>
    <row r="43" spans="1:6" x14ac:dyDescent="0.25">
      <c r="A43">
        <v>45005</v>
      </c>
      <c r="B43">
        <v>-14.97</v>
      </c>
      <c r="C43" t="s">
        <v>385</v>
      </c>
      <c r="D43" t="s">
        <v>388</v>
      </c>
      <c r="E43" t="s">
        <v>142</v>
      </c>
      <c r="F43" t="str">
        <f>VLOOKUP(E43, 'POS Categories'!$A$1:$B$1999, 2, FALSE)</f>
        <v>Food</v>
      </c>
    </row>
    <row r="44" spans="1:6" x14ac:dyDescent="0.25">
      <c r="A44">
        <v>45005</v>
      </c>
      <c r="B44">
        <v>-18.29</v>
      </c>
      <c r="C44" t="s">
        <v>385</v>
      </c>
      <c r="D44" t="s">
        <v>388</v>
      </c>
      <c r="E44" t="s">
        <v>284</v>
      </c>
      <c r="F44" t="str">
        <f>VLOOKUP(E44, 'POS Categories'!$A$1:$B$1999, 2, FALSE)</f>
        <v>Food</v>
      </c>
    </row>
    <row r="45" spans="1:6" x14ac:dyDescent="0.25">
      <c r="A45">
        <v>45005</v>
      </c>
      <c r="B45">
        <v>-7.81</v>
      </c>
      <c r="C45" t="s">
        <v>385</v>
      </c>
      <c r="D45" t="s">
        <v>388</v>
      </c>
      <c r="E45" t="s">
        <v>408</v>
      </c>
      <c r="F45" t="str">
        <f>VLOOKUP(E45, 'POS Categories'!$A$1:$B$1999, 2, FALSE)</f>
        <v>Food</v>
      </c>
    </row>
    <row r="46" spans="1:6" x14ac:dyDescent="0.25">
      <c r="A46">
        <v>45003</v>
      </c>
      <c r="B46">
        <v>-7.94</v>
      </c>
      <c r="C46" t="s">
        <v>385</v>
      </c>
      <c r="D46" t="s">
        <v>388</v>
      </c>
      <c r="E46" t="s">
        <v>1225</v>
      </c>
      <c r="F46" t="str">
        <f>VLOOKUP(E46, 'POS Categories'!$A$1:$B$1999, 2, FALSE)</f>
        <v>Food</v>
      </c>
    </row>
    <row r="47" spans="1:6" x14ac:dyDescent="0.25">
      <c r="A47">
        <v>45003</v>
      </c>
      <c r="B47">
        <v>-18.62</v>
      </c>
      <c r="C47" t="s">
        <v>385</v>
      </c>
      <c r="D47" t="s">
        <v>388</v>
      </c>
      <c r="E47" t="s">
        <v>240</v>
      </c>
      <c r="F47" t="str">
        <f>VLOOKUP(E47, 'POS Categories'!$A$1:$B$1999, 2, FALSE)</f>
        <v>Food</v>
      </c>
    </row>
    <row r="48" spans="1:6" x14ac:dyDescent="0.25">
      <c r="A48">
        <v>45002</v>
      </c>
      <c r="B48">
        <v>-71.12</v>
      </c>
      <c r="C48" t="s">
        <v>385</v>
      </c>
      <c r="D48" t="s">
        <v>388</v>
      </c>
      <c r="E48" t="s">
        <v>395</v>
      </c>
      <c r="F48" t="str">
        <f>VLOOKUP(E48, 'POS Categories'!$A$1:$B$1999, 2, FALSE)</f>
        <v>Vehicle</v>
      </c>
    </row>
    <row r="49" spans="1:6" x14ac:dyDescent="0.25">
      <c r="A49">
        <v>45002</v>
      </c>
      <c r="B49">
        <v>-14.41</v>
      </c>
      <c r="C49" t="s">
        <v>385</v>
      </c>
      <c r="D49" t="s">
        <v>388</v>
      </c>
      <c r="E49" t="s">
        <v>171</v>
      </c>
      <c r="F49" t="str">
        <f>VLOOKUP(E49, 'POS Categories'!$A$1:$B$1999, 2, FALSE)</f>
        <v>Food</v>
      </c>
    </row>
    <row r="50" spans="1:6" x14ac:dyDescent="0.25">
      <c r="A50">
        <v>45002</v>
      </c>
      <c r="B50">
        <v>-15.4</v>
      </c>
      <c r="C50" t="s">
        <v>385</v>
      </c>
      <c r="D50" t="s">
        <v>388</v>
      </c>
      <c r="E50" t="s">
        <v>174</v>
      </c>
      <c r="F50" t="str">
        <f>VLOOKUP(E50, 'POS Categories'!$A$1:$B$1999, 2, FALSE)</f>
        <v>Food</v>
      </c>
    </row>
    <row r="51" spans="1:6" x14ac:dyDescent="0.25">
      <c r="A51">
        <v>45001</v>
      </c>
      <c r="B51">
        <v>-229.99</v>
      </c>
      <c r="C51" t="s">
        <v>385</v>
      </c>
      <c r="D51" t="s">
        <v>388</v>
      </c>
      <c r="E51" t="s">
        <v>1291</v>
      </c>
      <c r="F51" t="str">
        <f>VLOOKUP(E51, 'POS Categories'!$A$1:$B$1999, 2, FALSE)</f>
        <v>Entertainment</v>
      </c>
    </row>
    <row r="52" spans="1:6" x14ac:dyDescent="0.25">
      <c r="A52">
        <v>45001</v>
      </c>
      <c r="B52">
        <v>-9.75</v>
      </c>
      <c r="C52" t="s">
        <v>385</v>
      </c>
      <c r="D52" t="s">
        <v>388</v>
      </c>
      <c r="E52" t="s">
        <v>408</v>
      </c>
      <c r="F52" t="str">
        <f>VLOOKUP(E52, 'POS Categories'!$A$1:$B$1999, 2, FALSE)</f>
        <v>Food</v>
      </c>
    </row>
    <row r="53" spans="1:6" x14ac:dyDescent="0.25">
      <c r="A53">
        <v>45001</v>
      </c>
      <c r="B53">
        <v>-14.32</v>
      </c>
      <c r="C53" t="s">
        <v>385</v>
      </c>
      <c r="D53" t="s">
        <v>388</v>
      </c>
      <c r="E53" t="s">
        <v>1225</v>
      </c>
      <c r="F53" t="str">
        <f>VLOOKUP(E53, 'POS Categories'!$A$1:$B$1999, 2, FALSE)</f>
        <v>Food</v>
      </c>
    </row>
    <row r="54" spans="1:6" x14ac:dyDescent="0.25">
      <c r="A54">
        <v>45000</v>
      </c>
      <c r="B54">
        <v>-37.700000000000003</v>
      </c>
      <c r="C54" t="s">
        <v>385</v>
      </c>
      <c r="D54" t="s">
        <v>388</v>
      </c>
      <c r="E54" t="s">
        <v>8</v>
      </c>
      <c r="F54" t="str">
        <f>VLOOKUP(E54, 'POS Categories'!$A$1:$B$1999, 2, FALSE)</f>
        <v>Food</v>
      </c>
    </row>
    <row r="55" spans="1:6" x14ac:dyDescent="0.25">
      <c r="A55">
        <v>45000</v>
      </c>
      <c r="B55">
        <v>-27.87</v>
      </c>
      <c r="C55" t="s">
        <v>385</v>
      </c>
      <c r="D55" t="s">
        <v>388</v>
      </c>
      <c r="E55" t="s">
        <v>408</v>
      </c>
      <c r="F55" t="str">
        <f>VLOOKUP(E55, 'POS Categories'!$A$1:$B$1999, 2, FALSE)</f>
        <v>Food</v>
      </c>
    </row>
    <row r="56" spans="1:6" x14ac:dyDescent="0.25">
      <c r="A56">
        <v>45000</v>
      </c>
      <c r="B56">
        <v>-66.55</v>
      </c>
      <c r="C56" t="s">
        <v>385</v>
      </c>
      <c r="D56" t="s">
        <v>388</v>
      </c>
      <c r="E56" t="s">
        <v>175</v>
      </c>
      <c r="F56" t="str">
        <f>VLOOKUP(E56, 'POS Categories'!$A$1:$B$1999, 2, FALSE)</f>
        <v>Sasktel</v>
      </c>
    </row>
    <row r="57" spans="1:6" x14ac:dyDescent="0.25">
      <c r="A57">
        <v>44999</v>
      </c>
      <c r="B57">
        <v>-54.89</v>
      </c>
      <c r="C57" t="s">
        <v>385</v>
      </c>
      <c r="D57" t="s">
        <v>388</v>
      </c>
      <c r="E57" t="s">
        <v>1160</v>
      </c>
      <c r="F57" t="str">
        <f>VLOOKUP(E57, 'POS Categories'!$A$1:$B$1999, 2, FALSE)</f>
        <v>Food</v>
      </c>
    </row>
    <row r="58" spans="1:6" x14ac:dyDescent="0.25">
      <c r="A58">
        <v>44999</v>
      </c>
      <c r="B58">
        <v>-12.65</v>
      </c>
      <c r="C58" t="s">
        <v>385</v>
      </c>
      <c r="D58" t="s">
        <v>388</v>
      </c>
      <c r="E58" t="s">
        <v>1225</v>
      </c>
      <c r="F58" t="str">
        <f>VLOOKUP(E58, 'POS Categories'!$A$1:$B$1999, 2, FALSE)</f>
        <v>Food</v>
      </c>
    </row>
    <row r="59" spans="1:6" x14ac:dyDescent="0.25">
      <c r="A59">
        <v>44999</v>
      </c>
      <c r="B59">
        <v>-13.85</v>
      </c>
      <c r="C59" t="s">
        <v>385</v>
      </c>
      <c r="D59" t="s">
        <v>388</v>
      </c>
      <c r="E59" t="s">
        <v>240</v>
      </c>
      <c r="F59" t="str">
        <f>VLOOKUP(E59, 'POS Categories'!$A$1:$B$1999, 2, FALSE)</f>
        <v>Food</v>
      </c>
    </row>
    <row r="60" spans="1:6" x14ac:dyDescent="0.25">
      <c r="A60">
        <v>44998</v>
      </c>
      <c r="B60">
        <v>-12.75</v>
      </c>
      <c r="C60" t="s">
        <v>385</v>
      </c>
      <c r="D60" t="s">
        <v>388</v>
      </c>
      <c r="E60" t="s">
        <v>183</v>
      </c>
      <c r="F60" t="str">
        <f>VLOOKUP(E60, 'POS Categories'!$A$1:$B$1999, 2, FALSE)</f>
        <v>Food</v>
      </c>
    </row>
    <row r="61" spans="1:6" x14ac:dyDescent="0.25">
      <c r="A61">
        <v>44998</v>
      </c>
      <c r="B61">
        <v>-43.96</v>
      </c>
      <c r="C61" t="s">
        <v>385</v>
      </c>
      <c r="D61" t="s">
        <v>388</v>
      </c>
      <c r="E61" t="s">
        <v>376</v>
      </c>
      <c r="F61" t="str">
        <f>VLOOKUP(E61, 'POS Categories'!$A$1:$B$1999, 2, FALSE)</f>
        <v>Food</v>
      </c>
    </row>
    <row r="62" spans="1:6" x14ac:dyDescent="0.25">
      <c r="A62">
        <v>44998</v>
      </c>
      <c r="B62">
        <v>-70.73</v>
      </c>
      <c r="C62" t="s">
        <v>385</v>
      </c>
      <c r="D62" t="s">
        <v>388</v>
      </c>
      <c r="E62" t="s">
        <v>1279</v>
      </c>
      <c r="F62" t="str">
        <f>VLOOKUP(E62, 'POS Categories'!$A$1:$B$1999, 2, FALSE)</f>
        <v>Food</v>
      </c>
    </row>
    <row r="63" spans="1:6" x14ac:dyDescent="0.25">
      <c r="A63">
        <v>44998</v>
      </c>
      <c r="B63">
        <v>-27.74</v>
      </c>
      <c r="C63" t="s">
        <v>385</v>
      </c>
      <c r="D63" t="s">
        <v>466</v>
      </c>
      <c r="E63" t="s">
        <v>200</v>
      </c>
      <c r="F63" t="str">
        <f>VLOOKUP(E63, 'POS Categories'!$A$1:$B$1999, 2, FALSE)</f>
        <v>Bills</v>
      </c>
    </row>
    <row r="64" spans="1:6" x14ac:dyDescent="0.25">
      <c r="A64">
        <v>44998</v>
      </c>
      <c r="B64">
        <v>-25.3</v>
      </c>
      <c r="C64" t="s">
        <v>385</v>
      </c>
      <c r="D64" t="s">
        <v>388</v>
      </c>
      <c r="E64" t="s">
        <v>22</v>
      </c>
      <c r="F64" t="str">
        <f>VLOOKUP(E64, 'POS Categories'!$A$1:$B$1999, 2, FALSE)</f>
        <v>Entertainment</v>
      </c>
    </row>
    <row r="65" spans="1:6" x14ac:dyDescent="0.25">
      <c r="A65">
        <v>44998</v>
      </c>
      <c r="B65">
        <v>-22.19</v>
      </c>
      <c r="C65" t="s">
        <v>385</v>
      </c>
      <c r="D65" t="s">
        <v>388</v>
      </c>
      <c r="E65" t="s">
        <v>261</v>
      </c>
      <c r="F65" t="str">
        <f>VLOOKUP(E65, 'POS Categories'!$A$1:$B$1999, 2, FALSE)</f>
        <v>Home</v>
      </c>
    </row>
    <row r="66" spans="1:6" x14ac:dyDescent="0.25">
      <c r="A66">
        <v>44998</v>
      </c>
      <c r="B66">
        <v>-16.690000000000001</v>
      </c>
      <c r="C66" t="s">
        <v>385</v>
      </c>
      <c r="D66" t="s">
        <v>388</v>
      </c>
      <c r="E66" t="s">
        <v>408</v>
      </c>
      <c r="F66" t="str">
        <f>VLOOKUP(E66, 'POS Categories'!$A$1:$B$1999, 2, FALSE)</f>
        <v>Food</v>
      </c>
    </row>
    <row r="67" spans="1:6" x14ac:dyDescent="0.25">
      <c r="A67">
        <v>44996</v>
      </c>
      <c r="B67">
        <v>-35.479999999999997</v>
      </c>
      <c r="C67" t="s">
        <v>385</v>
      </c>
      <c r="D67" t="s">
        <v>388</v>
      </c>
      <c r="E67" t="s">
        <v>8</v>
      </c>
      <c r="F67" t="str">
        <f>VLOOKUP(E67, 'POS Categories'!$A$1:$B$1999, 2, FALSE)</f>
        <v>Food</v>
      </c>
    </row>
    <row r="68" spans="1:6" x14ac:dyDescent="0.25">
      <c r="A68">
        <v>44996</v>
      </c>
      <c r="B68">
        <v>-31.06</v>
      </c>
      <c r="C68" t="s">
        <v>385</v>
      </c>
      <c r="D68" t="s">
        <v>388</v>
      </c>
      <c r="E68" t="s">
        <v>1292</v>
      </c>
      <c r="F68" t="str">
        <f>VLOOKUP(E68, 'POS Categories'!$A$1:$B$1999, 2, FALSE)</f>
        <v>Food</v>
      </c>
    </row>
    <row r="69" spans="1:6" x14ac:dyDescent="0.25">
      <c r="A69">
        <v>44995</v>
      </c>
      <c r="B69">
        <v>-59.25</v>
      </c>
      <c r="C69" t="s">
        <v>385</v>
      </c>
      <c r="D69" t="s">
        <v>388</v>
      </c>
      <c r="E69" t="s">
        <v>378</v>
      </c>
      <c r="F69" t="str">
        <f>VLOOKUP(E69, 'POS Categories'!$A$1:$B$1999, 2, FALSE)</f>
        <v>Food</v>
      </c>
    </row>
    <row r="70" spans="1:6" x14ac:dyDescent="0.25">
      <c r="A70">
        <v>44995</v>
      </c>
      <c r="B70">
        <v>-12.65</v>
      </c>
      <c r="C70" t="s">
        <v>385</v>
      </c>
      <c r="D70" t="s">
        <v>388</v>
      </c>
      <c r="E70" t="s">
        <v>1225</v>
      </c>
      <c r="F70" t="str">
        <f>VLOOKUP(E70, 'POS Categories'!$A$1:$B$1999, 2, FALSE)</f>
        <v>Food</v>
      </c>
    </row>
    <row r="71" spans="1:6" x14ac:dyDescent="0.25">
      <c r="A71">
        <v>44995</v>
      </c>
      <c r="B71">
        <v>-30.5</v>
      </c>
      <c r="C71" t="s">
        <v>385</v>
      </c>
      <c r="D71" t="s">
        <v>388</v>
      </c>
      <c r="E71" t="s">
        <v>142</v>
      </c>
      <c r="F71" t="str">
        <f>VLOOKUP(E71, 'POS Categories'!$A$1:$B$1999, 2, FALSE)</f>
        <v>Food</v>
      </c>
    </row>
    <row r="72" spans="1:6" x14ac:dyDescent="0.25">
      <c r="A72">
        <v>44995</v>
      </c>
      <c r="B72">
        <v>1986.26</v>
      </c>
      <c r="C72" t="s">
        <v>385</v>
      </c>
      <c r="D72" t="s">
        <v>386</v>
      </c>
      <c r="E72" t="s">
        <v>1193</v>
      </c>
      <c r="F72" t="str">
        <f>VLOOKUP(E72, 'POS Categories'!$A$1:$B$1999, 2, FALSE)</f>
        <v>Job</v>
      </c>
    </row>
    <row r="73" spans="1:6" x14ac:dyDescent="0.25">
      <c r="A73">
        <v>44994</v>
      </c>
      <c r="B73">
        <v>-26.84</v>
      </c>
      <c r="C73" t="s">
        <v>385</v>
      </c>
      <c r="D73" t="s">
        <v>388</v>
      </c>
      <c r="E73" t="s">
        <v>1238</v>
      </c>
      <c r="F73" t="str">
        <f>VLOOKUP(E73, 'POS Categories'!$A$1:$B$1999, 2, FALSE)</f>
        <v>Food</v>
      </c>
    </row>
    <row r="74" spans="1:6" x14ac:dyDescent="0.25">
      <c r="A74">
        <v>44994</v>
      </c>
      <c r="B74">
        <v>-105</v>
      </c>
      <c r="C74" t="s">
        <v>385</v>
      </c>
      <c r="D74" t="s">
        <v>388</v>
      </c>
      <c r="E74" t="s">
        <v>1293</v>
      </c>
      <c r="F74" t="str">
        <f>VLOOKUP(E74, 'POS Categories'!$A$1:$B$1999, 2, FALSE)</f>
        <v>Entertainment</v>
      </c>
    </row>
    <row r="75" spans="1:6" x14ac:dyDescent="0.25">
      <c r="A75">
        <v>44994</v>
      </c>
      <c r="B75">
        <v>-66.64</v>
      </c>
      <c r="C75" t="s">
        <v>385</v>
      </c>
      <c r="D75" t="s">
        <v>388</v>
      </c>
      <c r="E75" t="s">
        <v>1294</v>
      </c>
      <c r="F75" t="str">
        <f>VLOOKUP(E75, 'POS Categories'!$A$1:$B$1999, 2, FALSE)</f>
        <v>Food</v>
      </c>
    </row>
    <row r="76" spans="1:6" x14ac:dyDescent="0.25">
      <c r="A76">
        <v>44994</v>
      </c>
      <c r="B76">
        <v>-54.98</v>
      </c>
      <c r="C76" t="s">
        <v>385</v>
      </c>
      <c r="D76" t="s">
        <v>388</v>
      </c>
      <c r="E76" t="s">
        <v>411</v>
      </c>
      <c r="F76" t="str">
        <f>VLOOKUP(E76, 'POS Categories'!$A$1:$B$1999, 2, FALSE)</f>
        <v>Sasktel</v>
      </c>
    </row>
    <row r="77" spans="1:6" x14ac:dyDescent="0.25">
      <c r="A77">
        <v>44993</v>
      </c>
      <c r="B77">
        <v>-37.92</v>
      </c>
      <c r="C77" t="s">
        <v>385</v>
      </c>
      <c r="D77" t="s">
        <v>388</v>
      </c>
      <c r="E77" t="s">
        <v>171</v>
      </c>
      <c r="F77" t="str">
        <f>VLOOKUP(E77, 'POS Categories'!$A$1:$B$1999, 2, FALSE)</f>
        <v>Food</v>
      </c>
    </row>
    <row r="78" spans="1:6" x14ac:dyDescent="0.25">
      <c r="A78">
        <v>44993</v>
      </c>
      <c r="B78">
        <v>-19.72</v>
      </c>
      <c r="C78" t="s">
        <v>385</v>
      </c>
      <c r="D78" t="s">
        <v>388</v>
      </c>
      <c r="E78" t="s">
        <v>185</v>
      </c>
      <c r="F78" t="str">
        <f>VLOOKUP(E78, 'POS Categories'!$A$1:$B$1999, 2, FALSE)</f>
        <v>Food</v>
      </c>
    </row>
    <row r="79" spans="1:6" x14ac:dyDescent="0.25">
      <c r="A79">
        <v>44992</v>
      </c>
      <c r="B79">
        <v>-51.65</v>
      </c>
      <c r="C79" t="s">
        <v>385</v>
      </c>
      <c r="D79" t="s">
        <v>388</v>
      </c>
      <c r="E79" t="s">
        <v>247</v>
      </c>
      <c r="F79" t="str">
        <f>VLOOKUP(E79, 'POS Categories'!$A$1:$B$1999, 2, FALSE)</f>
        <v>Food</v>
      </c>
    </row>
    <row r="80" spans="1:6" x14ac:dyDescent="0.25">
      <c r="A80">
        <v>44992</v>
      </c>
      <c r="B80">
        <v>-28.06</v>
      </c>
      <c r="C80" t="s">
        <v>385</v>
      </c>
      <c r="D80" t="s">
        <v>388</v>
      </c>
      <c r="E80" t="s">
        <v>149</v>
      </c>
      <c r="F80" t="str">
        <f>VLOOKUP(E80, 'POS Categories'!$A$1:$B$1999, 2, FALSE)</f>
        <v>Food</v>
      </c>
    </row>
    <row r="81" spans="1:6" x14ac:dyDescent="0.25">
      <c r="A81">
        <v>44992</v>
      </c>
      <c r="B81">
        <v>-74.14</v>
      </c>
      <c r="C81" t="s">
        <v>385</v>
      </c>
      <c r="D81" t="s">
        <v>388</v>
      </c>
      <c r="E81" t="s">
        <v>463</v>
      </c>
      <c r="F81" t="str">
        <f>VLOOKUP(E81, 'POS Categories'!$A$1:$B$1999, 2, FALSE)</f>
        <v>Vehicle</v>
      </c>
    </row>
    <row r="82" spans="1:6" x14ac:dyDescent="0.25">
      <c r="A82">
        <v>44991</v>
      </c>
      <c r="B82">
        <v>-41.29</v>
      </c>
      <c r="C82" t="s">
        <v>385</v>
      </c>
      <c r="D82" t="s">
        <v>388</v>
      </c>
      <c r="E82" t="s">
        <v>1196</v>
      </c>
      <c r="F82" t="str">
        <f>VLOOKUP(E82, 'POS Categories'!$A$1:$B$1999, 2, FALSE)</f>
        <v>Food</v>
      </c>
    </row>
    <row r="83" spans="1:6" x14ac:dyDescent="0.25">
      <c r="A83">
        <v>44991</v>
      </c>
      <c r="B83">
        <v>-20.02</v>
      </c>
      <c r="C83" t="s">
        <v>385</v>
      </c>
      <c r="D83" t="s">
        <v>388</v>
      </c>
      <c r="E83" t="s">
        <v>408</v>
      </c>
      <c r="F83" t="str">
        <f>VLOOKUP(E83, 'POS Categories'!$A$1:$B$1999, 2, FALSE)</f>
        <v>Food</v>
      </c>
    </row>
    <row r="84" spans="1:6" x14ac:dyDescent="0.25">
      <c r="A84">
        <v>44991</v>
      </c>
      <c r="B84">
        <v>-32.26</v>
      </c>
      <c r="C84" t="s">
        <v>385</v>
      </c>
      <c r="D84" t="s">
        <v>388</v>
      </c>
      <c r="E84" t="s">
        <v>171</v>
      </c>
      <c r="F84" t="str">
        <f>VLOOKUP(E84, 'POS Categories'!$A$1:$B$1999, 2, FALSE)</f>
        <v>Food</v>
      </c>
    </row>
    <row r="85" spans="1:6" x14ac:dyDescent="0.25">
      <c r="A85">
        <v>44991</v>
      </c>
      <c r="B85">
        <v>-6.94</v>
      </c>
      <c r="C85" t="s">
        <v>385</v>
      </c>
      <c r="D85" t="s">
        <v>388</v>
      </c>
      <c r="E85" t="s">
        <v>1225</v>
      </c>
      <c r="F85" t="str">
        <f>VLOOKUP(E85, 'POS Categories'!$A$1:$B$1999, 2, FALSE)</f>
        <v>Food</v>
      </c>
    </row>
    <row r="86" spans="1:6" x14ac:dyDescent="0.25">
      <c r="A86">
        <v>44989</v>
      </c>
      <c r="B86">
        <v>-10.32</v>
      </c>
      <c r="C86" t="s">
        <v>385</v>
      </c>
      <c r="D86" t="s">
        <v>388</v>
      </c>
      <c r="E86" t="s">
        <v>183</v>
      </c>
      <c r="F86" t="str">
        <f>VLOOKUP(E86, 'POS Categories'!$A$1:$B$1999, 2, FALSE)</f>
        <v>Food</v>
      </c>
    </row>
    <row r="87" spans="1:6" x14ac:dyDescent="0.25">
      <c r="A87">
        <v>44989</v>
      </c>
      <c r="B87">
        <v>-29.95</v>
      </c>
      <c r="C87" t="s">
        <v>385</v>
      </c>
      <c r="D87" t="s">
        <v>388</v>
      </c>
      <c r="E87" t="s">
        <v>1295</v>
      </c>
      <c r="F87" t="str">
        <f>VLOOKUP(E87, 'POS Categories'!$A$1:$B$1999, 2, FALSE)</f>
        <v>Food</v>
      </c>
    </row>
    <row r="88" spans="1:6" x14ac:dyDescent="0.25">
      <c r="A88">
        <v>44989</v>
      </c>
      <c r="B88">
        <v>-64.34</v>
      </c>
      <c r="C88" t="s">
        <v>385</v>
      </c>
      <c r="D88" t="s">
        <v>388</v>
      </c>
      <c r="E88" t="s">
        <v>243</v>
      </c>
      <c r="F88" t="str">
        <f>VLOOKUP(E88, 'POS Categories'!$A$1:$B$1999, 2, FALSE)</f>
        <v>Food</v>
      </c>
    </row>
    <row r="89" spans="1:6" x14ac:dyDescent="0.25">
      <c r="A89">
        <v>44988</v>
      </c>
      <c r="B89">
        <v>-14.3</v>
      </c>
      <c r="C89" t="s">
        <v>385</v>
      </c>
      <c r="D89" t="s">
        <v>388</v>
      </c>
      <c r="E89" t="s">
        <v>241</v>
      </c>
      <c r="F89" t="str">
        <f>VLOOKUP(E89, 'POS Categories'!$A$1:$B$1999, 2, FALSE)</f>
        <v>Food</v>
      </c>
    </row>
    <row r="90" spans="1:6" x14ac:dyDescent="0.25">
      <c r="A90">
        <v>44988</v>
      </c>
      <c r="B90">
        <v>-37.700000000000003</v>
      </c>
      <c r="C90" t="s">
        <v>385</v>
      </c>
      <c r="D90" t="s">
        <v>388</v>
      </c>
      <c r="E90" t="s">
        <v>8</v>
      </c>
      <c r="F90" t="str">
        <f>VLOOKUP(E90, 'POS Categories'!$A$1:$B$1999, 2, FALSE)</f>
        <v>Food</v>
      </c>
    </row>
    <row r="91" spans="1:6" x14ac:dyDescent="0.25">
      <c r="A91">
        <v>44987</v>
      </c>
      <c r="B91">
        <v>-4.1900000000000004</v>
      </c>
      <c r="C91" t="s">
        <v>385</v>
      </c>
      <c r="D91" t="s">
        <v>388</v>
      </c>
      <c r="E91" t="s">
        <v>183</v>
      </c>
      <c r="F91" t="str">
        <f>VLOOKUP(E91, 'POS Categories'!$A$1:$B$1999, 2, FALSE)</f>
        <v>Food</v>
      </c>
    </row>
    <row r="92" spans="1:6" x14ac:dyDescent="0.25">
      <c r="A92">
        <v>44987</v>
      </c>
      <c r="B92">
        <v>-34.78</v>
      </c>
      <c r="C92" t="s">
        <v>385</v>
      </c>
      <c r="D92" t="s">
        <v>388</v>
      </c>
      <c r="E92" t="s">
        <v>1281</v>
      </c>
      <c r="F92" t="str">
        <f>VLOOKUP(E92, 'POS Categories'!$A$1:$B$1999, 2, FALSE)</f>
        <v>Food</v>
      </c>
    </row>
    <row r="93" spans="1:6" x14ac:dyDescent="0.25">
      <c r="A93">
        <v>44987</v>
      </c>
      <c r="B93">
        <v>-14.17</v>
      </c>
      <c r="C93" t="s">
        <v>385</v>
      </c>
      <c r="D93" t="s">
        <v>388</v>
      </c>
      <c r="E93" t="s">
        <v>1198</v>
      </c>
      <c r="F93" t="str">
        <f>VLOOKUP(E93, 'POS Categories'!$A$1:$B$1999, 2, FALSE)</f>
        <v>Entertainment</v>
      </c>
    </row>
    <row r="94" spans="1:6" x14ac:dyDescent="0.25">
      <c r="A94">
        <v>44987</v>
      </c>
      <c r="B94">
        <v>-39.19</v>
      </c>
      <c r="C94" t="s">
        <v>385</v>
      </c>
      <c r="D94" t="s">
        <v>388</v>
      </c>
      <c r="E94" t="s">
        <v>1296</v>
      </c>
      <c r="F94" t="str">
        <f>VLOOKUP(E94, 'POS Categories'!$A$1:$B$1999, 2, FALSE)</f>
        <v>Food</v>
      </c>
    </row>
    <row r="95" spans="1:6" x14ac:dyDescent="0.25">
      <c r="A95">
        <v>44986</v>
      </c>
      <c r="B95">
        <v>-1325</v>
      </c>
      <c r="C95" t="s">
        <v>385</v>
      </c>
      <c r="D95" t="s">
        <v>414</v>
      </c>
      <c r="E95" t="s">
        <v>1224</v>
      </c>
      <c r="F95" t="str">
        <f>VLOOKUP(E95, 'POS Categories'!$A$1:$B$1999, 2, FALSE)</f>
        <v>Rent</v>
      </c>
    </row>
    <row r="96" spans="1:6" x14ac:dyDescent="0.25">
      <c r="A96">
        <v>44986</v>
      </c>
      <c r="B96">
        <v>-50</v>
      </c>
      <c r="C96" t="s">
        <v>385</v>
      </c>
      <c r="D96" t="s">
        <v>466</v>
      </c>
      <c r="E96" t="s">
        <v>200</v>
      </c>
      <c r="F96" t="str">
        <f>VLOOKUP(E96, 'POS Categories'!$A$1:$B$1999, 2, FALSE)</f>
        <v>Bills</v>
      </c>
    </row>
    <row r="97" spans="1:6" x14ac:dyDescent="0.25">
      <c r="A97">
        <v>44986</v>
      </c>
      <c r="B97">
        <v>-9.3000000000000007</v>
      </c>
      <c r="C97" t="s">
        <v>385</v>
      </c>
      <c r="D97" t="s">
        <v>388</v>
      </c>
      <c r="E97" t="s">
        <v>408</v>
      </c>
      <c r="F97" t="str">
        <f>VLOOKUP(E97, 'POS Categories'!$A$1:$B$1999, 2, FALSE)</f>
        <v>Food</v>
      </c>
    </row>
    <row r="98" spans="1:6" x14ac:dyDescent="0.25">
      <c r="A98">
        <v>44986</v>
      </c>
      <c r="B98">
        <v>-35.020000000000003</v>
      </c>
      <c r="C98" t="s">
        <v>385</v>
      </c>
      <c r="D98" t="s">
        <v>388</v>
      </c>
      <c r="E98" t="s">
        <v>240</v>
      </c>
      <c r="F98" t="str">
        <f>VLOOKUP(E98, 'POS Categories'!$A$1:$B$1999, 2, FALSE)</f>
        <v>Food</v>
      </c>
    </row>
    <row r="99" spans="1:6" x14ac:dyDescent="0.25">
      <c r="A99">
        <v>44986</v>
      </c>
      <c r="B99">
        <v>-13.88</v>
      </c>
      <c r="C99" t="s">
        <v>385</v>
      </c>
      <c r="D99" t="s">
        <v>388</v>
      </c>
      <c r="E99" t="s">
        <v>1225</v>
      </c>
      <c r="F99" t="str">
        <f>VLOOKUP(E99, 'POS Categories'!$A$1:$B$1999, 2, FALSE)</f>
        <v>Food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6"/>
  <sheetViews>
    <sheetView workbookViewId="0">
      <selection sqref="A1:E500"/>
    </sheetView>
  </sheetViews>
  <sheetFormatPr defaultRowHeight="15" x14ac:dyDescent="0.25"/>
  <sheetData>
    <row r="1" spans="1:6" x14ac:dyDescent="0.25">
      <c r="A1">
        <v>44985</v>
      </c>
      <c r="B1">
        <v>-35.409999999999997</v>
      </c>
      <c r="C1" t="s">
        <v>385</v>
      </c>
      <c r="D1" t="s">
        <v>388</v>
      </c>
      <c r="E1" t="s">
        <v>37</v>
      </c>
      <c r="F1" t="str">
        <f>VLOOKUP(E1, 'POS Categories'!$A$1:$B$1999, 2, FALSE)</f>
        <v>Food</v>
      </c>
    </row>
    <row r="2" spans="1:6" x14ac:dyDescent="0.25">
      <c r="A2">
        <v>44984</v>
      </c>
      <c r="B2">
        <v>-80.489999999999995</v>
      </c>
      <c r="C2" t="s">
        <v>385</v>
      </c>
      <c r="D2" t="s">
        <v>388</v>
      </c>
      <c r="E2" t="s">
        <v>1280</v>
      </c>
      <c r="F2" t="str">
        <f>VLOOKUP(E2, 'POS Categories'!$A$1:$B$1999, 2, FALSE)</f>
        <v>Personal</v>
      </c>
    </row>
    <row r="3" spans="1:6" x14ac:dyDescent="0.25">
      <c r="A3">
        <v>44984</v>
      </c>
      <c r="B3">
        <v>-54.89</v>
      </c>
      <c r="C3" t="s">
        <v>385</v>
      </c>
      <c r="D3" t="s">
        <v>388</v>
      </c>
      <c r="E3" t="s">
        <v>1160</v>
      </c>
      <c r="F3" t="str">
        <f>VLOOKUP(E3, 'POS Categories'!$A$1:$B$1999, 2, FALSE)</f>
        <v>Food</v>
      </c>
    </row>
    <row r="4" spans="1:6" x14ac:dyDescent="0.25">
      <c r="A4">
        <v>44984</v>
      </c>
      <c r="B4">
        <v>-13.88</v>
      </c>
      <c r="C4" t="s">
        <v>385</v>
      </c>
      <c r="D4" t="s">
        <v>388</v>
      </c>
      <c r="E4" t="s">
        <v>1225</v>
      </c>
      <c r="F4" t="str">
        <f>VLOOKUP(E4, 'POS Categories'!$A$1:$B$1999, 2, FALSE)</f>
        <v>Food</v>
      </c>
    </row>
    <row r="5" spans="1:6" x14ac:dyDescent="0.25">
      <c r="A5">
        <v>44984</v>
      </c>
      <c r="B5">
        <v>-57.82</v>
      </c>
      <c r="C5" t="s">
        <v>385</v>
      </c>
      <c r="D5" t="s">
        <v>388</v>
      </c>
      <c r="E5" t="s">
        <v>33</v>
      </c>
      <c r="F5" t="str">
        <f>VLOOKUP(E5, 'POS Categories'!$A$1:$B$1999, 2, FALSE)</f>
        <v>Food</v>
      </c>
    </row>
    <row r="6" spans="1:6" x14ac:dyDescent="0.25">
      <c r="A6">
        <v>44984</v>
      </c>
      <c r="B6">
        <v>-26.95</v>
      </c>
      <c r="C6" t="s">
        <v>385</v>
      </c>
      <c r="D6" t="s">
        <v>388</v>
      </c>
      <c r="E6" t="s">
        <v>149</v>
      </c>
      <c r="F6" t="str">
        <f>VLOOKUP(E6, 'POS Categories'!$A$1:$B$1999, 2, FALSE)</f>
        <v>Food</v>
      </c>
    </row>
    <row r="7" spans="1:6" x14ac:dyDescent="0.25">
      <c r="A7">
        <v>44984</v>
      </c>
      <c r="B7">
        <v>-70.510000000000005</v>
      </c>
      <c r="C7" t="s">
        <v>385</v>
      </c>
      <c r="D7" t="s">
        <v>388</v>
      </c>
      <c r="E7" t="s">
        <v>246</v>
      </c>
      <c r="F7" t="str">
        <f>VLOOKUP(E7, 'POS Categories'!$A$1:$B$1999, 2, FALSE)</f>
        <v>Food</v>
      </c>
    </row>
    <row r="8" spans="1:6" x14ac:dyDescent="0.25">
      <c r="A8">
        <v>44984</v>
      </c>
      <c r="B8">
        <v>-17.52</v>
      </c>
      <c r="C8" t="s">
        <v>385</v>
      </c>
      <c r="D8" t="s">
        <v>388</v>
      </c>
      <c r="E8" t="s">
        <v>408</v>
      </c>
      <c r="F8" t="str">
        <f>VLOOKUP(E8, 'POS Categories'!$A$1:$B$1999, 2, FALSE)</f>
        <v>Food</v>
      </c>
    </row>
    <row r="9" spans="1:6" x14ac:dyDescent="0.25">
      <c r="A9">
        <v>44984</v>
      </c>
      <c r="B9">
        <v>-13.88</v>
      </c>
      <c r="C9" t="s">
        <v>385</v>
      </c>
      <c r="D9" t="s">
        <v>388</v>
      </c>
      <c r="E9" t="s">
        <v>1225</v>
      </c>
      <c r="F9" t="str">
        <f>VLOOKUP(E9, 'POS Categories'!$A$1:$B$1999, 2, FALSE)</f>
        <v>Food</v>
      </c>
    </row>
    <row r="10" spans="1:6" x14ac:dyDescent="0.25">
      <c r="A10">
        <v>44984</v>
      </c>
      <c r="B10">
        <v>-14.95</v>
      </c>
      <c r="C10" t="s">
        <v>385</v>
      </c>
      <c r="D10" t="s">
        <v>388</v>
      </c>
      <c r="E10" t="s">
        <v>317</v>
      </c>
      <c r="F10" t="str">
        <f>VLOOKUP(E10, 'POS Categories'!$A$1:$B$1999, 2, FALSE)</f>
        <v>Food</v>
      </c>
    </row>
    <row r="11" spans="1:6" x14ac:dyDescent="0.25">
      <c r="A11">
        <v>44982</v>
      </c>
      <c r="B11">
        <v>-14.95</v>
      </c>
      <c r="C11" t="s">
        <v>385</v>
      </c>
      <c r="D11" t="s">
        <v>388</v>
      </c>
      <c r="E11" t="s">
        <v>241</v>
      </c>
      <c r="F11" t="str">
        <f>VLOOKUP(E11, 'POS Categories'!$A$1:$B$1999, 2, FALSE)</f>
        <v>Food</v>
      </c>
    </row>
    <row r="12" spans="1:6" x14ac:dyDescent="0.25">
      <c r="A12">
        <v>44982</v>
      </c>
      <c r="B12">
        <v>-27.53</v>
      </c>
      <c r="C12" t="s">
        <v>385</v>
      </c>
      <c r="D12" t="s">
        <v>388</v>
      </c>
      <c r="E12" t="s">
        <v>408</v>
      </c>
      <c r="F12" t="str">
        <f>VLOOKUP(E12, 'POS Categories'!$A$1:$B$1999, 2, FALSE)</f>
        <v>Food</v>
      </c>
    </row>
    <row r="13" spans="1:6" x14ac:dyDescent="0.25">
      <c r="A13">
        <v>44982</v>
      </c>
      <c r="B13">
        <v>-56.06</v>
      </c>
      <c r="C13" t="s">
        <v>385</v>
      </c>
      <c r="D13" t="s">
        <v>435</v>
      </c>
      <c r="E13" t="s">
        <v>1257</v>
      </c>
      <c r="F13" t="str">
        <f>VLOOKUP(E13, 'POS Categories'!$A$1:$B$1999, 2, FALSE)</f>
        <v>Power</v>
      </c>
    </row>
    <row r="14" spans="1:6" x14ac:dyDescent="0.25">
      <c r="A14">
        <v>44981</v>
      </c>
      <c r="B14">
        <v>-29.81</v>
      </c>
      <c r="C14" t="s">
        <v>385</v>
      </c>
      <c r="D14" t="s">
        <v>388</v>
      </c>
      <c r="E14" t="s">
        <v>171</v>
      </c>
      <c r="F14" t="str">
        <f>VLOOKUP(E14, 'POS Categories'!$A$1:$B$1999, 2, FALSE)</f>
        <v>Food</v>
      </c>
    </row>
    <row r="15" spans="1:6" x14ac:dyDescent="0.25">
      <c r="A15">
        <v>44981</v>
      </c>
      <c r="B15">
        <v>2148.4699999999998</v>
      </c>
      <c r="C15" t="s">
        <v>385</v>
      </c>
      <c r="D15" t="s">
        <v>386</v>
      </c>
      <c r="E15" t="s">
        <v>1193</v>
      </c>
      <c r="F15" t="str">
        <f>VLOOKUP(E15, 'POS Categories'!$A$1:$B$1999, 2, FALSE)</f>
        <v>Job</v>
      </c>
    </row>
    <row r="16" spans="1:6" x14ac:dyDescent="0.25">
      <c r="A16">
        <v>44980</v>
      </c>
      <c r="B16">
        <v>-84</v>
      </c>
      <c r="C16" t="s">
        <v>385</v>
      </c>
      <c r="D16" t="s">
        <v>388</v>
      </c>
      <c r="E16" t="s">
        <v>1281</v>
      </c>
      <c r="F16" t="str">
        <f>VLOOKUP(E16, 'POS Categories'!$A$1:$B$1999, 2, FALSE)</f>
        <v>Food</v>
      </c>
    </row>
    <row r="17" spans="1:6" x14ac:dyDescent="0.25">
      <c r="A17">
        <v>44980</v>
      </c>
      <c r="B17">
        <v>-28.17</v>
      </c>
      <c r="C17" t="s">
        <v>385</v>
      </c>
      <c r="D17" t="s">
        <v>388</v>
      </c>
      <c r="E17" t="s">
        <v>1238</v>
      </c>
      <c r="F17" t="str">
        <f>VLOOKUP(E17, 'POS Categories'!$A$1:$B$1999, 2, FALSE)</f>
        <v>Food</v>
      </c>
    </row>
    <row r="18" spans="1:6" x14ac:dyDescent="0.25">
      <c r="A18">
        <v>44979</v>
      </c>
      <c r="B18">
        <v>-4.1900000000000004</v>
      </c>
      <c r="C18" t="s">
        <v>385</v>
      </c>
      <c r="D18" t="s">
        <v>388</v>
      </c>
      <c r="E18" t="s">
        <v>183</v>
      </c>
      <c r="F18" t="str">
        <f>VLOOKUP(E18, 'POS Categories'!$A$1:$B$1999, 2, FALSE)</f>
        <v>Food</v>
      </c>
    </row>
    <row r="19" spans="1:6" x14ac:dyDescent="0.25">
      <c r="A19">
        <v>44979</v>
      </c>
      <c r="B19">
        <v>-121</v>
      </c>
      <c r="C19" t="s">
        <v>385</v>
      </c>
      <c r="D19" t="s">
        <v>388</v>
      </c>
      <c r="E19" t="s">
        <v>1282</v>
      </c>
      <c r="F19" t="str">
        <f>VLOOKUP(E19, 'POS Categories'!$A$1:$B$1999, 2, FALSE)</f>
        <v>Entertainment</v>
      </c>
    </row>
    <row r="20" spans="1:6" x14ac:dyDescent="0.25">
      <c r="A20">
        <v>44979</v>
      </c>
      <c r="B20">
        <v>-30.5</v>
      </c>
      <c r="C20" t="s">
        <v>385</v>
      </c>
      <c r="D20" t="s">
        <v>388</v>
      </c>
      <c r="E20" t="s">
        <v>142</v>
      </c>
      <c r="F20" t="str">
        <f>VLOOKUP(E20, 'POS Categories'!$A$1:$B$1999, 2, FALSE)</f>
        <v>Food</v>
      </c>
    </row>
    <row r="21" spans="1:6" x14ac:dyDescent="0.25">
      <c r="A21">
        <v>44979</v>
      </c>
      <c r="B21">
        <v>-5.53</v>
      </c>
      <c r="C21" t="s">
        <v>385</v>
      </c>
      <c r="D21" t="s">
        <v>388</v>
      </c>
      <c r="E21" t="s">
        <v>408</v>
      </c>
      <c r="F21" t="str">
        <f>VLOOKUP(E21, 'POS Categories'!$A$1:$B$1999, 2, FALSE)</f>
        <v>Food</v>
      </c>
    </row>
    <row r="22" spans="1:6" x14ac:dyDescent="0.25">
      <c r="A22">
        <v>44979</v>
      </c>
      <c r="B22">
        <v>-18.63</v>
      </c>
      <c r="C22" t="s">
        <v>385</v>
      </c>
      <c r="D22" t="s">
        <v>388</v>
      </c>
      <c r="E22" t="s">
        <v>363</v>
      </c>
      <c r="F22" t="str">
        <f>VLOOKUP(E22, 'POS Categories'!$A$1:$B$1999, 2, FALSE)</f>
        <v>Food</v>
      </c>
    </row>
    <row r="23" spans="1:6" x14ac:dyDescent="0.25">
      <c r="A23">
        <v>44979</v>
      </c>
      <c r="B23">
        <v>-62.25</v>
      </c>
      <c r="C23" t="s">
        <v>385</v>
      </c>
      <c r="D23" t="s">
        <v>388</v>
      </c>
      <c r="E23" t="s">
        <v>463</v>
      </c>
      <c r="F23" t="str">
        <f>VLOOKUP(E23, 'POS Categories'!$A$1:$B$1999, 2, FALSE)</f>
        <v>Vehicle</v>
      </c>
    </row>
    <row r="24" spans="1:6" x14ac:dyDescent="0.25">
      <c r="A24">
        <v>44978</v>
      </c>
      <c r="B24">
        <v>-13.88</v>
      </c>
      <c r="C24" t="s">
        <v>385</v>
      </c>
      <c r="D24" t="s">
        <v>388</v>
      </c>
      <c r="E24" t="s">
        <v>1225</v>
      </c>
      <c r="F24" t="str">
        <f>VLOOKUP(E24, 'POS Categories'!$A$1:$B$1999, 2, FALSE)</f>
        <v>Food</v>
      </c>
    </row>
    <row r="25" spans="1:6" x14ac:dyDescent="0.25">
      <c r="A25">
        <v>44977</v>
      </c>
      <c r="B25">
        <v>-500</v>
      </c>
      <c r="C25" t="s">
        <v>385</v>
      </c>
      <c r="D25" t="s">
        <v>507</v>
      </c>
      <c r="E25" t="s">
        <v>1283</v>
      </c>
      <c r="F25" t="str">
        <f>VLOOKUP(E25, 'POS Categories'!$A$1:$B$1999, 2, FALSE)</f>
        <v>Investment</v>
      </c>
    </row>
    <row r="26" spans="1:6" x14ac:dyDescent="0.25">
      <c r="A26">
        <v>44977</v>
      </c>
      <c r="B26">
        <v>-88.33</v>
      </c>
      <c r="C26" t="s">
        <v>385</v>
      </c>
      <c r="D26" t="s">
        <v>388</v>
      </c>
      <c r="E26" t="s">
        <v>33</v>
      </c>
      <c r="F26" t="str">
        <f>VLOOKUP(E26, 'POS Categories'!$A$1:$B$1999, 2, FALSE)</f>
        <v>Food</v>
      </c>
    </row>
    <row r="27" spans="1:6" x14ac:dyDescent="0.25">
      <c r="A27">
        <v>44977</v>
      </c>
      <c r="B27">
        <v>-32.75</v>
      </c>
      <c r="C27" t="s">
        <v>385</v>
      </c>
      <c r="D27" t="s">
        <v>388</v>
      </c>
      <c r="E27" t="s">
        <v>1279</v>
      </c>
      <c r="F27" t="str">
        <f>VLOOKUP(E27, 'POS Categories'!$A$1:$B$1999, 2, FALSE)</f>
        <v>Food</v>
      </c>
    </row>
    <row r="28" spans="1:6" x14ac:dyDescent="0.25">
      <c r="A28">
        <v>44977</v>
      </c>
      <c r="B28">
        <v>-13.88</v>
      </c>
      <c r="C28" t="s">
        <v>385</v>
      </c>
      <c r="D28" t="s">
        <v>388</v>
      </c>
      <c r="E28" t="s">
        <v>1225</v>
      </c>
      <c r="F28" t="str">
        <f>VLOOKUP(E28, 'POS Categories'!$A$1:$B$1999, 2, FALSE)</f>
        <v>Food</v>
      </c>
    </row>
    <row r="29" spans="1:6" x14ac:dyDescent="0.25">
      <c r="A29">
        <v>44975</v>
      </c>
      <c r="B29">
        <v>-6.8</v>
      </c>
      <c r="C29" t="s">
        <v>385</v>
      </c>
      <c r="D29" t="s">
        <v>388</v>
      </c>
      <c r="E29" t="s">
        <v>183</v>
      </c>
      <c r="F29" t="str">
        <f>VLOOKUP(E29, 'POS Categories'!$A$1:$B$1999, 2, FALSE)</f>
        <v>Food</v>
      </c>
    </row>
    <row r="30" spans="1:6" x14ac:dyDescent="0.25">
      <c r="A30">
        <v>44975</v>
      </c>
      <c r="B30">
        <v>-90.6</v>
      </c>
      <c r="C30" t="s">
        <v>385</v>
      </c>
      <c r="D30" t="s">
        <v>388</v>
      </c>
      <c r="E30" t="s">
        <v>320</v>
      </c>
      <c r="F30" t="str">
        <f>VLOOKUP(E30, 'POS Categories'!$A$1:$B$1999, 2, FALSE)</f>
        <v>Sports</v>
      </c>
    </row>
    <row r="31" spans="1:6" x14ac:dyDescent="0.25">
      <c r="A31">
        <v>44975</v>
      </c>
      <c r="B31">
        <v>-12.43</v>
      </c>
      <c r="C31" t="s">
        <v>385</v>
      </c>
      <c r="D31" t="s">
        <v>388</v>
      </c>
      <c r="E31" t="s">
        <v>1225</v>
      </c>
      <c r="F31" t="str">
        <f>VLOOKUP(E31, 'POS Categories'!$A$1:$B$1999, 2, FALSE)</f>
        <v>Food</v>
      </c>
    </row>
    <row r="32" spans="1:6" x14ac:dyDescent="0.25">
      <c r="A32">
        <v>44975</v>
      </c>
      <c r="B32">
        <v>-71.78</v>
      </c>
      <c r="C32" t="s">
        <v>385</v>
      </c>
      <c r="D32" t="s">
        <v>400</v>
      </c>
      <c r="E32" t="s">
        <v>401</v>
      </c>
      <c r="F32" t="str">
        <f>VLOOKUP(E32, 'POS Categories'!$A$1:$B$1999, 2, FALSE)</f>
        <v>Misc</v>
      </c>
    </row>
    <row r="33" spans="1:6" x14ac:dyDescent="0.25">
      <c r="A33">
        <v>44974</v>
      </c>
      <c r="B33">
        <v>-13.88</v>
      </c>
      <c r="C33" t="s">
        <v>385</v>
      </c>
      <c r="D33" t="s">
        <v>388</v>
      </c>
      <c r="E33" t="s">
        <v>1225</v>
      </c>
      <c r="F33" t="str">
        <f>VLOOKUP(E33, 'POS Categories'!$A$1:$B$1999, 2, FALSE)</f>
        <v>Food</v>
      </c>
    </row>
    <row r="34" spans="1:6" x14ac:dyDescent="0.25">
      <c r="A34">
        <v>44974</v>
      </c>
      <c r="B34">
        <v>-1.79</v>
      </c>
      <c r="C34" t="s">
        <v>385</v>
      </c>
      <c r="D34" t="s">
        <v>388</v>
      </c>
      <c r="E34" t="s">
        <v>33</v>
      </c>
      <c r="F34" t="str">
        <f>VLOOKUP(E34, 'POS Categories'!$A$1:$B$1999, 2, FALSE)</f>
        <v>Food</v>
      </c>
    </row>
    <row r="35" spans="1:6" x14ac:dyDescent="0.25">
      <c r="A35">
        <v>44974</v>
      </c>
      <c r="B35">
        <v>-64</v>
      </c>
      <c r="C35" t="s">
        <v>385</v>
      </c>
      <c r="D35" t="s">
        <v>388</v>
      </c>
      <c r="E35" t="s">
        <v>199</v>
      </c>
      <c r="F35" t="str">
        <f>VLOOKUP(E35, 'POS Categories'!$A$1:$B$1999, 2, FALSE)</f>
        <v>Personal</v>
      </c>
    </row>
    <row r="36" spans="1:6" x14ac:dyDescent="0.25">
      <c r="A36">
        <v>44973</v>
      </c>
      <c r="B36">
        <v>-4.75</v>
      </c>
      <c r="C36" t="s">
        <v>385</v>
      </c>
      <c r="D36" t="s">
        <v>388</v>
      </c>
      <c r="E36" t="s">
        <v>179</v>
      </c>
      <c r="F36" t="str">
        <f>VLOOKUP(E36, 'POS Categories'!$A$1:$B$1999, 2, FALSE)</f>
        <v>Food</v>
      </c>
    </row>
    <row r="37" spans="1:6" x14ac:dyDescent="0.25">
      <c r="A37">
        <v>44973</v>
      </c>
      <c r="B37">
        <v>-65</v>
      </c>
      <c r="C37" t="s">
        <v>385</v>
      </c>
      <c r="D37" t="s">
        <v>388</v>
      </c>
      <c r="E37" t="s">
        <v>1231</v>
      </c>
      <c r="F37" t="str">
        <f>VLOOKUP(E37, 'POS Categories'!$A$1:$B$1999, 2, FALSE)</f>
        <v>Entertainment</v>
      </c>
    </row>
    <row r="38" spans="1:6" x14ac:dyDescent="0.25">
      <c r="A38">
        <v>44972</v>
      </c>
      <c r="B38">
        <v>-13.88</v>
      </c>
      <c r="C38" t="s">
        <v>385</v>
      </c>
      <c r="D38" t="s">
        <v>388</v>
      </c>
      <c r="E38" t="s">
        <v>1225</v>
      </c>
      <c r="F38" t="str">
        <f>VLOOKUP(E38, 'POS Categories'!$A$1:$B$1999, 2, FALSE)</f>
        <v>Food</v>
      </c>
    </row>
    <row r="39" spans="1:6" x14ac:dyDescent="0.25">
      <c r="A39">
        <v>44972</v>
      </c>
      <c r="B39">
        <v>-129.02000000000001</v>
      </c>
      <c r="C39" t="s">
        <v>385</v>
      </c>
      <c r="D39" t="s">
        <v>388</v>
      </c>
      <c r="E39" t="s">
        <v>33</v>
      </c>
      <c r="F39" t="str">
        <f>VLOOKUP(E39, 'POS Categories'!$A$1:$B$1999, 2, FALSE)</f>
        <v>Food</v>
      </c>
    </row>
    <row r="40" spans="1:6" x14ac:dyDescent="0.25">
      <c r="A40">
        <v>44972</v>
      </c>
      <c r="B40">
        <v>-66.55</v>
      </c>
      <c r="C40" t="s">
        <v>385</v>
      </c>
      <c r="D40" t="s">
        <v>388</v>
      </c>
      <c r="E40" t="s">
        <v>175</v>
      </c>
      <c r="F40" t="str">
        <f>VLOOKUP(E40, 'POS Categories'!$A$1:$B$1999, 2, FALSE)</f>
        <v>Sasktel</v>
      </c>
    </row>
    <row r="41" spans="1:6" x14ac:dyDescent="0.25">
      <c r="A41">
        <v>44971</v>
      </c>
      <c r="B41">
        <v>-2.3199999999999998</v>
      </c>
      <c r="C41" t="s">
        <v>385</v>
      </c>
      <c r="D41" t="s">
        <v>388</v>
      </c>
      <c r="E41" t="s">
        <v>408</v>
      </c>
      <c r="F41" t="str">
        <f>VLOOKUP(E41, 'POS Categories'!$A$1:$B$1999, 2, FALSE)</f>
        <v>Food</v>
      </c>
    </row>
    <row r="42" spans="1:6" x14ac:dyDescent="0.25">
      <c r="A42">
        <v>44971</v>
      </c>
      <c r="B42">
        <v>-64.98</v>
      </c>
      <c r="C42" t="s">
        <v>385</v>
      </c>
      <c r="D42" t="s">
        <v>388</v>
      </c>
      <c r="E42" t="s">
        <v>1284</v>
      </c>
      <c r="F42" t="str">
        <f>VLOOKUP(E42, 'POS Categories'!$A$1:$B$1999, 2, FALSE)</f>
        <v>Vehicle</v>
      </c>
    </row>
    <row r="43" spans="1:6" x14ac:dyDescent="0.25">
      <c r="A43">
        <v>44971</v>
      </c>
      <c r="B43">
        <v>-53.28</v>
      </c>
      <c r="C43" t="s">
        <v>385</v>
      </c>
      <c r="D43" t="s">
        <v>388</v>
      </c>
      <c r="E43" t="s">
        <v>1160</v>
      </c>
      <c r="F43" t="str">
        <f>VLOOKUP(E43, 'POS Categories'!$A$1:$B$1999, 2, FALSE)</f>
        <v>Food</v>
      </c>
    </row>
    <row r="44" spans="1:6" x14ac:dyDescent="0.25">
      <c r="A44">
        <v>44970</v>
      </c>
      <c r="B44">
        <v>-1.32</v>
      </c>
      <c r="C44" t="s">
        <v>385</v>
      </c>
      <c r="D44" t="s">
        <v>388</v>
      </c>
      <c r="E44" t="s">
        <v>22</v>
      </c>
      <c r="F44" t="str">
        <f>VLOOKUP(E44, 'POS Categories'!$A$1:$B$1999, 2, FALSE)</f>
        <v>Entertainment</v>
      </c>
    </row>
    <row r="45" spans="1:6" x14ac:dyDescent="0.25">
      <c r="A45">
        <v>44970</v>
      </c>
      <c r="B45">
        <v>-95.02</v>
      </c>
      <c r="C45" t="s">
        <v>385</v>
      </c>
      <c r="D45" t="s">
        <v>388</v>
      </c>
      <c r="E45" t="s">
        <v>1285</v>
      </c>
      <c r="F45" t="str">
        <f>VLOOKUP(E45, 'POS Categories'!$A$1:$B$1999, 2, FALSE)</f>
        <v>Food</v>
      </c>
    </row>
    <row r="46" spans="1:6" x14ac:dyDescent="0.25">
      <c r="A46">
        <v>44968</v>
      </c>
      <c r="B46">
        <v>-2.3199999999999998</v>
      </c>
      <c r="C46" t="s">
        <v>385</v>
      </c>
      <c r="D46" t="s">
        <v>388</v>
      </c>
      <c r="E46" t="s">
        <v>408</v>
      </c>
      <c r="F46" t="str">
        <f>VLOOKUP(E46, 'POS Categories'!$A$1:$B$1999, 2, FALSE)</f>
        <v>Food</v>
      </c>
    </row>
    <row r="47" spans="1:6" x14ac:dyDescent="0.25">
      <c r="A47">
        <v>44968</v>
      </c>
      <c r="B47">
        <v>-26.23</v>
      </c>
      <c r="C47" t="s">
        <v>385</v>
      </c>
      <c r="D47" t="s">
        <v>388</v>
      </c>
      <c r="E47" t="s">
        <v>157</v>
      </c>
      <c r="F47" t="str">
        <f>VLOOKUP(E47, 'POS Categories'!$A$1:$B$1999, 2, FALSE)</f>
        <v>Personal</v>
      </c>
    </row>
    <row r="48" spans="1:6" x14ac:dyDescent="0.25">
      <c r="A48">
        <v>44968</v>
      </c>
      <c r="B48">
        <v>-12.18</v>
      </c>
      <c r="C48" t="s">
        <v>385</v>
      </c>
      <c r="D48" t="s">
        <v>388</v>
      </c>
      <c r="E48" t="s">
        <v>157</v>
      </c>
      <c r="F48" t="str">
        <f>VLOOKUP(E48, 'POS Categories'!$A$1:$B$1999, 2, FALSE)</f>
        <v>Personal</v>
      </c>
    </row>
    <row r="49" spans="1:6" x14ac:dyDescent="0.25">
      <c r="A49">
        <v>44968</v>
      </c>
      <c r="B49">
        <v>-40.43</v>
      </c>
      <c r="C49" t="s">
        <v>385</v>
      </c>
      <c r="D49" t="s">
        <v>388</v>
      </c>
      <c r="E49" t="s">
        <v>35</v>
      </c>
      <c r="F49" t="str">
        <f>VLOOKUP(E49, 'POS Categories'!$A$1:$B$1999, 2, FALSE)</f>
        <v>Personal</v>
      </c>
    </row>
    <row r="50" spans="1:6" x14ac:dyDescent="0.25">
      <c r="A50">
        <v>44967</v>
      </c>
      <c r="B50">
        <v>-42.12</v>
      </c>
      <c r="C50" t="s">
        <v>385</v>
      </c>
      <c r="D50" t="s">
        <v>388</v>
      </c>
      <c r="E50" t="s">
        <v>376</v>
      </c>
      <c r="F50" t="str">
        <f>VLOOKUP(E50, 'POS Categories'!$A$1:$B$1999, 2, FALSE)</f>
        <v>Food</v>
      </c>
    </row>
    <row r="51" spans="1:6" x14ac:dyDescent="0.25">
      <c r="A51">
        <v>44967</v>
      </c>
      <c r="B51">
        <v>-46.73</v>
      </c>
      <c r="C51" t="s">
        <v>385</v>
      </c>
      <c r="D51" t="s">
        <v>388</v>
      </c>
      <c r="E51" t="s">
        <v>1286</v>
      </c>
      <c r="F51" t="str">
        <f>VLOOKUP(E51, 'POS Categories'!$A$1:$B$1999, 2, FALSE)</f>
        <v>Food</v>
      </c>
    </row>
    <row r="52" spans="1:6" x14ac:dyDescent="0.25">
      <c r="A52">
        <v>44967</v>
      </c>
      <c r="B52">
        <v>-14.19</v>
      </c>
      <c r="C52" t="s">
        <v>385</v>
      </c>
      <c r="D52" t="s">
        <v>388</v>
      </c>
      <c r="E52" t="s">
        <v>408</v>
      </c>
      <c r="F52" t="str">
        <f>VLOOKUP(E52, 'POS Categories'!$A$1:$B$1999, 2, FALSE)</f>
        <v>Food</v>
      </c>
    </row>
    <row r="53" spans="1:6" x14ac:dyDescent="0.25">
      <c r="A53">
        <v>44967</v>
      </c>
      <c r="B53">
        <v>2148.48</v>
      </c>
      <c r="C53" t="s">
        <v>385</v>
      </c>
      <c r="D53" t="s">
        <v>386</v>
      </c>
      <c r="E53" t="s">
        <v>1193</v>
      </c>
      <c r="F53" t="str">
        <f>VLOOKUP(E53, 'POS Categories'!$A$1:$B$1999, 2, FALSE)</f>
        <v>Job</v>
      </c>
    </row>
    <row r="54" spans="1:6" x14ac:dyDescent="0.25">
      <c r="A54">
        <v>44966</v>
      </c>
      <c r="B54">
        <v>-34.590000000000003</v>
      </c>
      <c r="C54" t="s">
        <v>385</v>
      </c>
      <c r="D54" t="s">
        <v>388</v>
      </c>
      <c r="E54" t="s">
        <v>8</v>
      </c>
      <c r="F54" t="str">
        <f>VLOOKUP(E54, 'POS Categories'!$A$1:$B$1999, 2, FALSE)</f>
        <v>Food</v>
      </c>
    </row>
    <row r="55" spans="1:6" x14ac:dyDescent="0.25">
      <c r="A55">
        <v>44966</v>
      </c>
      <c r="B55">
        <v>-10.87</v>
      </c>
      <c r="C55" t="s">
        <v>385</v>
      </c>
      <c r="D55" t="s">
        <v>388</v>
      </c>
      <c r="E55" t="s">
        <v>174</v>
      </c>
      <c r="F55" t="str">
        <f>VLOOKUP(E55, 'POS Categories'!$A$1:$B$1999, 2, FALSE)</f>
        <v>Food</v>
      </c>
    </row>
    <row r="56" spans="1:6" x14ac:dyDescent="0.25">
      <c r="A56">
        <v>44965</v>
      </c>
      <c r="B56">
        <v>-11.09</v>
      </c>
      <c r="C56" t="s">
        <v>385</v>
      </c>
      <c r="D56" t="s">
        <v>388</v>
      </c>
      <c r="E56" t="s">
        <v>1238</v>
      </c>
      <c r="F56" t="str">
        <f>VLOOKUP(E56, 'POS Categories'!$A$1:$B$1999, 2, FALSE)</f>
        <v>Food</v>
      </c>
    </row>
    <row r="57" spans="1:6" x14ac:dyDescent="0.25">
      <c r="A57">
        <v>44965</v>
      </c>
      <c r="B57">
        <v>-5.5</v>
      </c>
      <c r="C57" t="s">
        <v>385</v>
      </c>
      <c r="D57" t="s">
        <v>388</v>
      </c>
      <c r="E57" t="s">
        <v>34</v>
      </c>
      <c r="F57" t="str">
        <f>VLOOKUP(E57, 'POS Categories'!$A$1:$B$1999, 2, FALSE)</f>
        <v>Food</v>
      </c>
    </row>
    <row r="58" spans="1:6" x14ac:dyDescent="0.25">
      <c r="A58">
        <v>44965</v>
      </c>
      <c r="B58">
        <v>-4.54</v>
      </c>
      <c r="C58" t="s">
        <v>385</v>
      </c>
      <c r="D58" t="s">
        <v>388</v>
      </c>
      <c r="E58" t="s">
        <v>240</v>
      </c>
      <c r="F58" t="str">
        <f>VLOOKUP(E58, 'POS Categories'!$A$1:$B$1999, 2, FALSE)</f>
        <v>Food</v>
      </c>
    </row>
    <row r="59" spans="1:6" x14ac:dyDescent="0.25">
      <c r="A59">
        <v>44964</v>
      </c>
      <c r="B59">
        <v>-13.32</v>
      </c>
      <c r="C59" t="s">
        <v>385</v>
      </c>
      <c r="D59" t="s">
        <v>388</v>
      </c>
      <c r="E59" t="s">
        <v>1196</v>
      </c>
      <c r="F59" t="str">
        <f>VLOOKUP(E59, 'POS Categories'!$A$1:$B$1999, 2, FALSE)</f>
        <v>Food</v>
      </c>
    </row>
    <row r="60" spans="1:6" x14ac:dyDescent="0.25">
      <c r="A60">
        <v>44964</v>
      </c>
      <c r="B60">
        <v>-13.17</v>
      </c>
      <c r="C60" t="s">
        <v>385</v>
      </c>
      <c r="D60" t="s">
        <v>388</v>
      </c>
      <c r="E60" t="s">
        <v>185</v>
      </c>
      <c r="F60" t="str">
        <f>VLOOKUP(E60, 'POS Categories'!$A$1:$B$1999, 2, FALSE)</f>
        <v>Food</v>
      </c>
    </row>
    <row r="61" spans="1:6" x14ac:dyDescent="0.25">
      <c r="A61">
        <v>44963</v>
      </c>
      <c r="B61">
        <v>-11.98</v>
      </c>
      <c r="C61" t="s">
        <v>385</v>
      </c>
      <c r="D61" t="s">
        <v>388</v>
      </c>
      <c r="E61" t="s">
        <v>8</v>
      </c>
      <c r="F61" t="str">
        <f>VLOOKUP(E61, 'POS Categories'!$A$1:$B$1999, 2, FALSE)</f>
        <v>Food</v>
      </c>
    </row>
    <row r="62" spans="1:6" x14ac:dyDescent="0.25">
      <c r="A62">
        <v>44963</v>
      </c>
      <c r="B62">
        <v>-110.48</v>
      </c>
      <c r="C62" t="s">
        <v>385</v>
      </c>
      <c r="D62" t="s">
        <v>388</v>
      </c>
      <c r="E62" t="s">
        <v>411</v>
      </c>
      <c r="F62" t="str">
        <f>VLOOKUP(E62, 'POS Categories'!$A$1:$B$1999, 2, FALSE)</f>
        <v>Sasktel</v>
      </c>
    </row>
    <row r="63" spans="1:6" x14ac:dyDescent="0.25">
      <c r="A63">
        <v>44963</v>
      </c>
      <c r="B63">
        <v>-15.74</v>
      </c>
      <c r="C63" t="s">
        <v>385</v>
      </c>
      <c r="D63" t="s">
        <v>388</v>
      </c>
      <c r="E63" t="s">
        <v>149</v>
      </c>
      <c r="F63" t="str">
        <f>VLOOKUP(E63, 'POS Categories'!$A$1:$B$1999, 2, FALSE)</f>
        <v>Food</v>
      </c>
    </row>
    <row r="64" spans="1:6" x14ac:dyDescent="0.25">
      <c r="A64">
        <v>44963</v>
      </c>
      <c r="B64">
        <v>-14.97</v>
      </c>
      <c r="C64" t="s">
        <v>385</v>
      </c>
      <c r="D64" t="s">
        <v>388</v>
      </c>
      <c r="E64" t="s">
        <v>142</v>
      </c>
      <c r="F64" t="str">
        <f>VLOOKUP(E64, 'POS Categories'!$A$1:$B$1999, 2, FALSE)</f>
        <v>Food</v>
      </c>
    </row>
    <row r="65" spans="1:6" x14ac:dyDescent="0.25">
      <c r="A65">
        <v>44963</v>
      </c>
      <c r="B65">
        <v>-15.62</v>
      </c>
      <c r="C65" t="s">
        <v>385</v>
      </c>
      <c r="D65" t="s">
        <v>388</v>
      </c>
      <c r="E65" t="s">
        <v>240</v>
      </c>
      <c r="F65" t="str">
        <f>VLOOKUP(E65, 'POS Categories'!$A$1:$B$1999, 2, FALSE)</f>
        <v>Food</v>
      </c>
    </row>
    <row r="66" spans="1:6" x14ac:dyDescent="0.25">
      <c r="A66">
        <v>44961</v>
      </c>
      <c r="B66">
        <v>-26.62</v>
      </c>
      <c r="C66" t="s">
        <v>385</v>
      </c>
      <c r="D66" t="s">
        <v>388</v>
      </c>
      <c r="E66" t="s">
        <v>241</v>
      </c>
      <c r="F66" t="str">
        <f>VLOOKUP(E66, 'POS Categories'!$A$1:$B$1999, 2, FALSE)</f>
        <v>Food</v>
      </c>
    </row>
    <row r="67" spans="1:6" x14ac:dyDescent="0.25">
      <c r="A67">
        <v>44961</v>
      </c>
      <c r="B67">
        <v>-9.4700000000000006</v>
      </c>
      <c r="C67" t="s">
        <v>385</v>
      </c>
      <c r="D67" t="s">
        <v>388</v>
      </c>
      <c r="E67" t="s">
        <v>408</v>
      </c>
      <c r="F67" t="str">
        <f>VLOOKUP(E67, 'POS Categories'!$A$1:$B$1999, 2, FALSE)</f>
        <v>Food</v>
      </c>
    </row>
    <row r="68" spans="1:6" x14ac:dyDescent="0.25">
      <c r="A68">
        <v>44960</v>
      </c>
      <c r="B68">
        <v>-66.180000000000007</v>
      </c>
      <c r="C68" t="s">
        <v>385</v>
      </c>
      <c r="D68" t="s">
        <v>388</v>
      </c>
      <c r="E68" t="s">
        <v>1287</v>
      </c>
      <c r="F68" t="str">
        <f>VLOOKUP(E68, 'POS Categories'!$A$1:$B$1999, 2, FALSE)</f>
        <v>Entertainment</v>
      </c>
    </row>
    <row r="69" spans="1:6" x14ac:dyDescent="0.25">
      <c r="A69">
        <v>44960</v>
      </c>
      <c r="B69">
        <v>-5.5</v>
      </c>
      <c r="C69" t="s">
        <v>385</v>
      </c>
      <c r="D69" t="s">
        <v>388</v>
      </c>
      <c r="E69" t="s">
        <v>1225</v>
      </c>
      <c r="F69" t="str">
        <f>VLOOKUP(E69, 'POS Categories'!$A$1:$B$1999, 2, FALSE)</f>
        <v>Food</v>
      </c>
    </row>
    <row r="70" spans="1:6" x14ac:dyDescent="0.25">
      <c r="A70">
        <v>44960</v>
      </c>
      <c r="B70">
        <v>-11.41</v>
      </c>
      <c r="C70" t="s">
        <v>385</v>
      </c>
      <c r="D70" t="s">
        <v>388</v>
      </c>
      <c r="E70" t="s">
        <v>240</v>
      </c>
      <c r="F70" t="str">
        <f>VLOOKUP(E70, 'POS Categories'!$A$1:$B$1999, 2, FALSE)</f>
        <v>Food</v>
      </c>
    </row>
    <row r="71" spans="1:6" x14ac:dyDescent="0.25">
      <c r="A71">
        <v>44959</v>
      </c>
      <c r="B71">
        <v>-15.62</v>
      </c>
      <c r="C71" t="s">
        <v>385</v>
      </c>
      <c r="D71" t="s">
        <v>388</v>
      </c>
      <c r="E71" t="s">
        <v>174</v>
      </c>
      <c r="F71" t="str">
        <f>VLOOKUP(E71, 'POS Categories'!$A$1:$B$1999, 2, FALSE)</f>
        <v>Food</v>
      </c>
    </row>
    <row r="72" spans="1:6" x14ac:dyDescent="0.25">
      <c r="A72">
        <v>44959</v>
      </c>
      <c r="B72">
        <v>-15.39</v>
      </c>
      <c r="C72" t="s">
        <v>385</v>
      </c>
      <c r="D72" t="s">
        <v>388</v>
      </c>
      <c r="E72" t="s">
        <v>1198</v>
      </c>
      <c r="F72" t="str">
        <f>VLOOKUP(E72, 'POS Categories'!$A$1:$B$1999, 2, FALSE)</f>
        <v>Entertainment</v>
      </c>
    </row>
    <row r="73" spans="1:6" x14ac:dyDescent="0.25">
      <c r="A73">
        <v>44958</v>
      </c>
      <c r="B73">
        <v>-1325</v>
      </c>
      <c r="C73" t="s">
        <v>385</v>
      </c>
      <c r="D73" t="s">
        <v>414</v>
      </c>
      <c r="E73" t="s">
        <v>1224</v>
      </c>
      <c r="F73" t="str">
        <f>VLOOKUP(E73, 'POS Categories'!$A$1:$B$1999, 2, FALSE)</f>
        <v>Rent</v>
      </c>
    </row>
    <row r="74" spans="1:6" x14ac:dyDescent="0.25">
      <c r="A74">
        <v>44958</v>
      </c>
      <c r="B74">
        <v>-35.15</v>
      </c>
      <c r="C74" t="s">
        <v>385</v>
      </c>
      <c r="D74" t="s">
        <v>388</v>
      </c>
      <c r="E74" t="s">
        <v>246</v>
      </c>
      <c r="F74" t="str">
        <f>VLOOKUP(E74, 'POS Categories'!$A$1:$B$1999, 2, FALSE)</f>
        <v>Food</v>
      </c>
    </row>
    <row r="75" spans="1:6" x14ac:dyDescent="0.25">
      <c r="A75">
        <v>44958</v>
      </c>
      <c r="B75">
        <v>-35.5</v>
      </c>
      <c r="C75" t="s">
        <v>385</v>
      </c>
      <c r="D75" t="s">
        <v>466</v>
      </c>
      <c r="E75" t="s">
        <v>200</v>
      </c>
      <c r="F75" t="str">
        <f>VLOOKUP(E75, 'POS Categories'!$A$1:$B$1999, 2, FALSE)</f>
        <v>Bills</v>
      </c>
    </row>
    <row r="76" spans="1:6" x14ac:dyDescent="0.25">
      <c r="A76">
        <v>44958</v>
      </c>
      <c r="B76">
        <v>-19.07</v>
      </c>
      <c r="C76" t="s">
        <v>385</v>
      </c>
      <c r="D76" t="s">
        <v>388</v>
      </c>
      <c r="E76" t="s">
        <v>8</v>
      </c>
      <c r="F76" t="str">
        <f>VLOOKUP(E76, 'POS Categories'!$A$1:$B$1999, 2, FALSE)</f>
        <v>Food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4"/>
  <sheetViews>
    <sheetView workbookViewId="0">
      <selection sqref="A1:E500"/>
    </sheetView>
  </sheetViews>
  <sheetFormatPr defaultRowHeight="15" x14ac:dyDescent="0.25"/>
  <sheetData>
    <row r="1" spans="1:6" x14ac:dyDescent="0.25">
      <c r="A1">
        <v>44957</v>
      </c>
      <c r="B1">
        <v>-11.09</v>
      </c>
      <c r="C1" t="s">
        <v>385</v>
      </c>
      <c r="D1" t="s">
        <v>388</v>
      </c>
      <c r="E1" t="s">
        <v>1238</v>
      </c>
      <c r="F1" t="str">
        <f>VLOOKUP(E1, 'POS Categories'!$A$1:$B$1999, 2, FALSE)</f>
        <v>Food</v>
      </c>
    </row>
    <row r="2" spans="1:6" x14ac:dyDescent="0.25">
      <c r="A2">
        <v>44957</v>
      </c>
      <c r="B2">
        <v>-11.09</v>
      </c>
      <c r="C2" t="s">
        <v>385</v>
      </c>
      <c r="D2" t="s">
        <v>388</v>
      </c>
      <c r="E2" t="s">
        <v>240</v>
      </c>
      <c r="F2" t="str">
        <f>VLOOKUP(E2, 'POS Categories'!$A$1:$B$1999, 2, FALSE)</f>
        <v>Food</v>
      </c>
    </row>
    <row r="3" spans="1:6" x14ac:dyDescent="0.25">
      <c r="A3">
        <v>44956</v>
      </c>
      <c r="B3">
        <v>-7.54</v>
      </c>
      <c r="C3" t="s">
        <v>385</v>
      </c>
      <c r="D3" t="s">
        <v>388</v>
      </c>
      <c r="E3" t="s">
        <v>408</v>
      </c>
      <c r="F3" t="str">
        <f>VLOOKUP(E3, 'POS Categories'!$A$1:$B$1999, 2, FALSE)</f>
        <v>Food</v>
      </c>
    </row>
    <row r="4" spans="1:6" x14ac:dyDescent="0.25">
      <c r="A4">
        <v>44956</v>
      </c>
      <c r="B4">
        <v>-15.85</v>
      </c>
      <c r="C4" t="s">
        <v>385</v>
      </c>
      <c r="D4" t="s">
        <v>388</v>
      </c>
      <c r="E4" t="s">
        <v>185</v>
      </c>
      <c r="F4" t="str">
        <f>VLOOKUP(E4, 'POS Categories'!$A$1:$B$1999, 2, FALSE)</f>
        <v>Food</v>
      </c>
    </row>
    <row r="5" spans="1:6" x14ac:dyDescent="0.25">
      <c r="A5">
        <v>44956</v>
      </c>
      <c r="B5">
        <v>-19.28</v>
      </c>
      <c r="C5" t="s">
        <v>385</v>
      </c>
      <c r="D5" t="s">
        <v>388</v>
      </c>
      <c r="E5" t="s">
        <v>142</v>
      </c>
      <c r="F5" t="str">
        <f>VLOOKUP(E5, 'POS Categories'!$A$1:$B$1999, 2, FALSE)</f>
        <v>Food</v>
      </c>
    </row>
    <row r="6" spans="1:6" x14ac:dyDescent="0.25">
      <c r="A6">
        <v>44956</v>
      </c>
      <c r="B6">
        <v>-12.26</v>
      </c>
      <c r="C6" t="s">
        <v>385</v>
      </c>
      <c r="D6" t="s">
        <v>388</v>
      </c>
      <c r="E6" t="s">
        <v>408</v>
      </c>
      <c r="F6" t="str">
        <f>VLOOKUP(E6, 'POS Categories'!$A$1:$B$1999, 2, FALSE)</f>
        <v>Food</v>
      </c>
    </row>
    <row r="7" spans="1:6" x14ac:dyDescent="0.25">
      <c r="A7">
        <v>44954</v>
      </c>
      <c r="B7">
        <v>-13.96</v>
      </c>
      <c r="C7" t="s">
        <v>385</v>
      </c>
      <c r="D7" t="s">
        <v>388</v>
      </c>
      <c r="E7" t="s">
        <v>8</v>
      </c>
      <c r="F7" t="str">
        <f>VLOOKUP(E7, 'POS Categories'!$A$1:$B$1999, 2, FALSE)</f>
        <v>Food</v>
      </c>
    </row>
    <row r="8" spans="1:6" x14ac:dyDescent="0.25">
      <c r="A8">
        <v>44954</v>
      </c>
      <c r="B8">
        <v>-11.1</v>
      </c>
      <c r="C8" t="s">
        <v>385</v>
      </c>
      <c r="D8" t="s">
        <v>388</v>
      </c>
      <c r="E8" t="s">
        <v>408</v>
      </c>
      <c r="F8" t="str">
        <f>VLOOKUP(E8, 'POS Categories'!$A$1:$B$1999, 2, FALSE)</f>
        <v>Food</v>
      </c>
    </row>
    <row r="9" spans="1:6" x14ac:dyDescent="0.25">
      <c r="A9">
        <v>44953</v>
      </c>
      <c r="B9">
        <v>-44.14</v>
      </c>
      <c r="C9" t="s">
        <v>385</v>
      </c>
      <c r="D9" t="s">
        <v>388</v>
      </c>
      <c r="E9" t="s">
        <v>1278</v>
      </c>
      <c r="F9" t="str">
        <f>VLOOKUP(E9, 'POS Categories'!$A$1:$B$1999, 2, FALSE)</f>
        <v>Vacation</v>
      </c>
    </row>
    <row r="10" spans="1:6" x14ac:dyDescent="0.25">
      <c r="A10">
        <v>44953</v>
      </c>
      <c r="B10">
        <v>-14.41</v>
      </c>
      <c r="C10" t="s">
        <v>385</v>
      </c>
      <c r="D10" t="s">
        <v>388</v>
      </c>
      <c r="E10" t="s">
        <v>174</v>
      </c>
      <c r="F10" t="str">
        <f>VLOOKUP(E10, 'POS Categories'!$A$1:$B$1999, 2, FALSE)</f>
        <v>Food</v>
      </c>
    </row>
    <row r="11" spans="1:6" x14ac:dyDescent="0.25">
      <c r="A11">
        <v>44953</v>
      </c>
      <c r="B11">
        <v>2148.46</v>
      </c>
      <c r="C11" t="s">
        <v>385</v>
      </c>
      <c r="D11" t="s">
        <v>386</v>
      </c>
      <c r="E11" t="s">
        <v>1193</v>
      </c>
      <c r="F11" t="str">
        <f>VLOOKUP(E11, 'POS Categories'!$A$1:$B$1999, 2, FALSE)</f>
        <v>Job</v>
      </c>
    </row>
    <row r="12" spans="1:6" x14ac:dyDescent="0.25">
      <c r="A12">
        <v>44952</v>
      </c>
      <c r="B12">
        <v>-20.72</v>
      </c>
      <c r="C12" t="s">
        <v>385</v>
      </c>
      <c r="D12" t="s">
        <v>388</v>
      </c>
      <c r="E12" t="s">
        <v>171</v>
      </c>
      <c r="F12" t="str">
        <f>VLOOKUP(E12, 'POS Categories'!$A$1:$B$1999, 2, FALSE)</f>
        <v>Food</v>
      </c>
    </row>
    <row r="13" spans="1:6" x14ac:dyDescent="0.25">
      <c r="A13">
        <v>44951</v>
      </c>
      <c r="B13">
        <v>-14.97</v>
      </c>
      <c r="C13" t="s">
        <v>385</v>
      </c>
      <c r="D13" t="s">
        <v>388</v>
      </c>
      <c r="E13" t="s">
        <v>142</v>
      </c>
      <c r="F13" t="str">
        <f>VLOOKUP(E13, 'POS Categories'!$A$1:$B$1999, 2, FALSE)</f>
        <v>Food</v>
      </c>
    </row>
    <row r="14" spans="1:6" x14ac:dyDescent="0.25">
      <c r="A14">
        <v>44951</v>
      </c>
      <c r="B14">
        <v>-8.31</v>
      </c>
      <c r="C14" t="s">
        <v>385</v>
      </c>
      <c r="D14" t="s">
        <v>388</v>
      </c>
      <c r="E14" t="s">
        <v>1238</v>
      </c>
      <c r="F14" t="str">
        <f>VLOOKUP(E14, 'POS Categories'!$A$1:$B$1999, 2, FALSE)</f>
        <v>Food</v>
      </c>
    </row>
    <row r="15" spans="1:6" x14ac:dyDescent="0.25">
      <c r="A15">
        <v>44951</v>
      </c>
      <c r="B15">
        <v>-8.52</v>
      </c>
      <c r="C15" t="s">
        <v>385</v>
      </c>
      <c r="D15" t="s">
        <v>388</v>
      </c>
      <c r="E15" t="s">
        <v>408</v>
      </c>
      <c r="F15" t="str">
        <f>VLOOKUP(E15, 'POS Categories'!$A$1:$B$1999, 2, FALSE)</f>
        <v>Food</v>
      </c>
    </row>
    <row r="16" spans="1:6" x14ac:dyDescent="0.25">
      <c r="A16">
        <v>44950</v>
      </c>
      <c r="B16">
        <v>30</v>
      </c>
      <c r="C16" t="s">
        <v>385</v>
      </c>
      <c r="D16" t="s">
        <v>467</v>
      </c>
      <c r="E16" t="s">
        <v>200</v>
      </c>
      <c r="F16" t="str">
        <f>VLOOKUP(E16, 'POS Categories'!$A$1:$B$1999, 2, FALSE)</f>
        <v>Bills</v>
      </c>
    </row>
    <row r="17" spans="1:6" x14ac:dyDescent="0.25">
      <c r="A17">
        <v>44950</v>
      </c>
      <c r="B17">
        <v>18.45</v>
      </c>
      <c r="C17" t="s">
        <v>385</v>
      </c>
      <c r="D17" t="s">
        <v>467</v>
      </c>
      <c r="E17" t="s">
        <v>200</v>
      </c>
      <c r="F17" t="str">
        <f>VLOOKUP(E17, 'POS Categories'!$A$1:$B$1999, 2, FALSE)</f>
        <v>Bills</v>
      </c>
    </row>
    <row r="18" spans="1:6" x14ac:dyDescent="0.25">
      <c r="A18">
        <v>44949</v>
      </c>
      <c r="B18">
        <v>-18.45</v>
      </c>
      <c r="C18" t="s">
        <v>385</v>
      </c>
      <c r="D18" t="s">
        <v>388</v>
      </c>
      <c r="E18" t="s">
        <v>32</v>
      </c>
      <c r="F18" t="str">
        <f>VLOOKUP(E18, 'POS Categories'!$A$1:$B$1999, 2, FALSE)</f>
        <v>Food</v>
      </c>
    </row>
    <row r="19" spans="1:6" x14ac:dyDescent="0.25">
      <c r="A19">
        <v>44949</v>
      </c>
      <c r="B19">
        <v>-14.63</v>
      </c>
      <c r="C19" t="s">
        <v>385</v>
      </c>
      <c r="D19" t="s">
        <v>388</v>
      </c>
      <c r="E19" t="s">
        <v>1196</v>
      </c>
      <c r="F19" t="str">
        <f>VLOOKUP(E19, 'POS Categories'!$A$1:$B$1999, 2, FALSE)</f>
        <v>Food</v>
      </c>
    </row>
    <row r="20" spans="1:6" x14ac:dyDescent="0.25">
      <c r="A20">
        <v>44949</v>
      </c>
      <c r="B20">
        <v>-6.94</v>
      </c>
      <c r="C20" t="s">
        <v>385</v>
      </c>
      <c r="D20" t="s">
        <v>388</v>
      </c>
      <c r="E20" t="s">
        <v>34</v>
      </c>
      <c r="F20" t="str">
        <f>VLOOKUP(E20, 'POS Categories'!$A$1:$B$1999, 2, FALSE)</f>
        <v>Food</v>
      </c>
    </row>
    <row r="21" spans="1:6" x14ac:dyDescent="0.25">
      <c r="A21">
        <v>44949</v>
      </c>
      <c r="B21">
        <v>-11.09</v>
      </c>
      <c r="C21" t="s">
        <v>385</v>
      </c>
      <c r="D21" t="s">
        <v>388</v>
      </c>
      <c r="E21" t="s">
        <v>240</v>
      </c>
      <c r="F21" t="str">
        <f>VLOOKUP(E21, 'POS Categories'!$A$1:$B$1999, 2, FALSE)</f>
        <v>Food</v>
      </c>
    </row>
    <row r="22" spans="1:6" x14ac:dyDescent="0.25">
      <c r="A22">
        <v>44949</v>
      </c>
      <c r="B22">
        <v>-766.54</v>
      </c>
      <c r="C22" t="s">
        <v>385</v>
      </c>
      <c r="D22" t="s">
        <v>400</v>
      </c>
      <c r="E22" t="s">
        <v>401</v>
      </c>
      <c r="F22" t="str">
        <f>VLOOKUP(E22, 'POS Categories'!$A$1:$B$1999, 2, FALSE)</f>
        <v>Misc</v>
      </c>
    </row>
    <row r="23" spans="1:6" x14ac:dyDescent="0.25">
      <c r="A23">
        <v>44949</v>
      </c>
      <c r="B23">
        <v>-49.91</v>
      </c>
      <c r="C23" t="s">
        <v>385</v>
      </c>
      <c r="D23" t="s">
        <v>435</v>
      </c>
      <c r="E23" t="s">
        <v>1257</v>
      </c>
      <c r="F23" t="str">
        <f>VLOOKUP(E23, 'POS Categories'!$A$1:$B$1999, 2, FALSE)</f>
        <v>Power</v>
      </c>
    </row>
    <row r="24" spans="1:6" x14ac:dyDescent="0.25">
      <c r="A24">
        <v>44947</v>
      </c>
      <c r="B24">
        <v>-27.83</v>
      </c>
      <c r="C24" t="s">
        <v>385</v>
      </c>
      <c r="D24" t="s">
        <v>388</v>
      </c>
      <c r="E24" t="s">
        <v>241</v>
      </c>
      <c r="F24" t="str">
        <f>VLOOKUP(E24, 'POS Categories'!$A$1:$B$1999, 2, FALSE)</f>
        <v>Food</v>
      </c>
    </row>
    <row r="25" spans="1:6" x14ac:dyDescent="0.25">
      <c r="A25">
        <v>44947</v>
      </c>
      <c r="B25">
        <v>-11.1</v>
      </c>
      <c r="C25" t="s">
        <v>385</v>
      </c>
      <c r="D25" t="s">
        <v>388</v>
      </c>
      <c r="E25" t="s">
        <v>408</v>
      </c>
      <c r="F25" t="str">
        <f>VLOOKUP(E25, 'POS Categories'!$A$1:$B$1999, 2, FALSE)</f>
        <v>Food</v>
      </c>
    </row>
    <row r="26" spans="1:6" x14ac:dyDescent="0.25">
      <c r="A26">
        <v>44946</v>
      </c>
      <c r="B26">
        <v>-64.66</v>
      </c>
      <c r="C26" t="s">
        <v>385</v>
      </c>
      <c r="D26" t="s">
        <v>388</v>
      </c>
      <c r="E26" t="s">
        <v>395</v>
      </c>
      <c r="F26" t="str">
        <f>VLOOKUP(E26, 'POS Categories'!$A$1:$B$1999, 2, FALSE)</f>
        <v>Vehicle</v>
      </c>
    </row>
    <row r="27" spans="1:6" x14ac:dyDescent="0.25">
      <c r="A27">
        <v>44946</v>
      </c>
      <c r="B27">
        <v>-7.54</v>
      </c>
      <c r="C27" t="s">
        <v>385</v>
      </c>
      <c r="D27" t="s">
        <v>388</v>
      </c>
      <c r="E27" t="s">
        <v>408</v>
      </c>
      <c r="F27" t="str">
        <f>VLOOKUP(E27, 'POS Categories'!$A$1:$B$1999, 2, FALSE)</f>
        <v>Food</v>
      </c>
    </row>
    <row r="28" spans="1:6" x14ac:dyDescent="0.25">
      <c r="A28">
        <v>44946</v>
      </c>
      <c r="B28">
        <v>-15.4</v>
      </c>
      <c r="C28" t="s">
        <v>385</v>
      </c>
      <c r="D28" t="s">
        <v>388</v>
      </c>
      <c r="E28" t="s">
        <v>174</v>
      </c>
      <c r="F28" t="str">
        <f>VLOOKUP(E28, 'POS Categories'!$A$1:$B$1999, 2, FALSE)</f>
        <v>Food</v>
      </c>
    </row>
    <row r="29" spans="1:6" x14ac:dyDescent="0.25">
      <c r="A29">
        <v>44945</v>
      </c>
      <c r="B29">
        <v>-16.420000000000002</v>
      </c>
      <c r="C29" t="s">
        <v>385</v>
      </c>
      <c r="D29" t="s">
        <v>388</v>
      </c>
      <c r="E29" t="s">
        <v>171</v>
      </c>
      <c r="F29" t="str">
        <f>VLOOKUP(E29, 'POS Categories'!$A$1:$B$1999, 2, FALSE)</f>
        <v>Food</v>
      </c>
    </row>
    <row r="30" spans="1:6" x14ac:dyDescent="0.25">
      <c r="A30">
        <v>44945</v>
      </c>
      <c r="B30">
        <v>-12.55</v>
      </c>
      <c r="C30" t="s">
        <v>385</v>
      </c>
      <c r="D30" t="s">
        <v>388</v>
      </c>
      <c r="E30" t="s">
        <v>185</v>
      </c>
      <c r="F30" t="str">
        <f>VLOOKUP(E30, 'POS Categories'!$A$1:$B$1999, 2, FALSE)</f>
        <v>Food</v>
      </c>
    </row>
    <row r="31" spans="1:6" x14ac:dyDescent="0.25">
      <c r="A31">
        <v>44944</v>
      </c>
      <c r="B31">
        <v>-6.94</v>
      </c>
      <c r="C31" t="s">
        <v>385</v>
      </c>
      <c r="D31" t="s">
        <v>388</v>
      </c>
      <c r="E31" t="s">
        <v>34</v>
      </c>
      <c r="F31" t="str">
        <f>VLOOKUP(E31, 'POS Categories'!$A$1:$B$1999, 2, FALSE)</f>
        <v>Food</v>
      </c>
    </row>
    <row r="32" spans="1:6" x14ac:dyDescent="0.25">
      <c r="A32">
        <v>44943</v>
      </c>
      <c r="B32">
        <v>-16.18</v>
      </c>
      <c r="C32" t="s">
        <v>385</v>
      </c>
      <c r="D32" t="s">
        <v>388</v>
      </c>
      <c r="E32" t="s">
        <v>142</v>
      </c>
      <c r="F32" t="str">
        <f>VLOOKUP(E32, 'POS Categories'!$A$1:$B$1999, 2, FALSE)</f>
        <v>Food</v>
      </c>
    </row>
    <row r="33" spans="1:6" x14ac:dyDescent="0.25">
      <c r="A33">
        <v>44943</v>
      </c>
      <c r="B33">
        <v>-116.54</v>
      </c>
      <c r="C33" t="s">
        <v>385</v>
      </c>
      <c r="D33" t="s">
        <v>388</v>
      </c>
      <c r="E33" t="s">
        <v>327</v>
      </c>
      <c r="F33" t="str">
        <f>VLOOKUP(E33, 'POS Categories'!$A$1:$B$1999, 2, FALSE)</f>
        <v>Personal</v>
      </c>
    </row>
    <row r="34" spans="1:6" x14ac:dyDescent="0.25">
      <c r="A34">
        <v>44943</v>
      </c>
      <c r="B34">
        <v>-8.09</v>
      </c>
      <c r="C34" t="s">
        <v>385</v>
      </c>
      <c r="D34" t="s">
        <v>388</v>
      </c>
      <c r="E34" t="s">
        <v>408</v>
      </c>
      <c r="F34" t="str">
        <f>VLOOKUP(E34, 'POS Categories'!$A$1:$B$1999, 2, FALSE)</f>
        <v>Food</v>
      </c>
    </row>
    <row r="35" spans="1:6" x14ac:dyDescent="0.25">
      <c r="A35">
        <v>44942</v>
      </c>
      <c r="B35">
        <v>-14.53</v>
      </c>
      <c r="C35" t="s">
        <v>385</v>
      </c>
      <c r="D35" t="s">
        <v>388</v>
      </c>
      <c r="E35" t="s">
        <v>8</v>
      </c>
      <c r="F35" t="str">
        <f>VLOOKUP(E35, 'POS Categories'!$A$1:$B$1999, 2, FALSE)</f>
        <v>Food</v>
      </c>
    </row>
    <row r="36" spans="1:6" x14ac:dyDescent="0.25">
      <c r="A36">
        <v>44942</v>
      </c>
      <c r="B36">
        <v>-14.41</v>
      </c>
      <c r="C36" t="s">
        <v>385</v>
      </c>
      <c r="D36" t="s">
        <v>388</v>
      </c>
      <c r="E36" t="s">
        <v>174</v>
      </c>
      <c r="F36" t="str">
        <f>VLOOKUP(E36, 'POS Categories'!$A$1:$B$1999, 2, FALSE)</f>
        <v>Food</v>
      </c>
    </row>
    <row r="37" spans="1:6" x14ac:dyDescent="0.25">
      <c r="A37">
        <v>44942</v>
      </c>
      <c r="B37">
        <v>-11.76</v>
      </c>
      <c r="C37" t="s">
        <v>385</v>
      </c>
      <c r="D37" t="s">
        <v>388</v>
      </c>
      <c r="E37" t="s">
        <v>1238</v>
      </c>
      <c r="F37" t="str">
        <f>VLOOKUP(E37, 'POS Categories'!$A$1:$B$1999, 2, FALSE)</f>
        <v>Food</v>
      </c>
    </row>
    <row r="38" spans="1:6" x14ac:dyDescent="0.25">
      <c r="A38">
        <v>44942</v>
      </c>
      <c r="B38">
        <v>-66.55</v>
      </c>
      <c r="C38" t="s">
        <v>385</v>
      </c>
      <c r="D38" t="s">
        <v>388</v>
      </c>
      <c r="E38" t="s">
        <v>175</v>
      </c>
      <c r="F38" t="str">
        <f>VLOOKUP(E38, 'POS Categories'!$A$1:$B$1999, 2, FALSE)</f>
        <v>Sasktel</v>
      </c>
    </row>
    <row r="39" spans="1:6" x14ac:dyDescent="0.25">
      <c r="A39">
        <v>44940</v>
      </c>
      <c r="B39">
        <v>-25.27</v>
      </c>
      <c r="C39" t="s">
        <v>385</v>
      </c>
      <c r="D39" t="s">
        <v>388</v>
      </c>
      <c r="E39" t="s">
        <v>241</v>
      </c>
      <c r="F39" t="str">
        <f>VLOOKUP(E39, 'POS Categories'!$A$1:$B$1999, 2, FALSE)</f>
        <v>Food</v>
      </c>
    </row>
    <row r="40" spans="1:6" x14ac:dyDescent="0.25">
      <c r="A40">
        <v>44940</v>
      </c>
      <c r="B40">
        <v>-11.41</v>
      </c>
      <c r="C40" t="s">
        <v>385</v>
      </c>
      <c r="D40" t="s">
        <v>388</v>
      </c>
      <c r="E40" t="s">
        <v>408</v>
      </c>
      <c r="F40" t="str">
        <f>VLOOKUP(E40, 'POS Categories'!$A$1:$B$1999, 2, FALSE)</f>
        <v>Food</v>
      </c>
    </row>
    <row r="41" spans="1:6" x14ac:dyDescent="0.25">
      <c r="A41">
        <v>44940</v>
      </c>
      <c r="B41">
        <v>-758.71</v>
      </c>
      <c r="C41" t="s">
        <v>385</v>
      </c>
      <c r="D41" t="s">
        <v>400</v>
      </c>
      <c r="E41" t="s">
        <v>401</v>
      </c>
      <c r="F41" t="str">
        <f>VLOOKUP(E41, 'POS Categories'!$A$1:$B$1999, 2, FALSE)</f>
        <v>Misc</v>
      </c>
    </row>
    <row r="42" spans="1:6" x14ac:dyDescent="0.25">
      <c r="A42">
        <v>44939</v>
      </c>
      <c r="B42">
        <v>-7.19</v>
      </c>
      <c r="C42" t="s">
        <v>385</v>
      </c>
      <c r="D42" t="s">
        <v>388</v>
      </c>
      <c r="E42" t="s">
        <v>408</v>
      </c>
      <c r="F42" t="str">
        <f>VLOOKUP(E42, 'POS Categories'!$A$1:$B$1999, 2, FALSE)</f>
        <v>Food</v>
      </c>
    </row>
    <row r="43" spans="1:6" x14ac:dyDescent="0.25">
      <c r="A43">
        <v>44939</v>
      </c>
      <c r="B43">
        <v>-11.76</v>
      </c>
      <c r="C43" t="s">
        <v>385</v>
      </c>
      <c r="D43" t="s">
        <v>388</v>
      </c>
      <c r="E43" t="s">
        <v>1238</v>
      </c>
      <c r="F43" t="str">
        <f>VLOOKUP(E43, 'POS Categories'!$A$1:$B$1999, 2, FALSE)</f>
        <v>Food</v>
      </c>
    </row>
    <row r="44" spans="1:6" x14ac:dyDescent="0.25">
      <c r="A44">
        <v>44939</v>
      </c>
      <c r="B44">
        <v>2148.4699999999998</v>
      </c>
      <c r="C44" t="s">
        <v>385</v>
      </c>
      <c r="D44" t="s">
        <v>386</v>
      </c>
      <c r="E44" t="s">
        <v>1193</v>
      </c>
      <c r="F44" t="str">
        <f>VLOOKUP(E44, 'POS Categories'!$A$1:$B$1999, 2, FALSE)</f>
        <v>Job</v>
      </c>
    </row>
    <row r="45" spans="1:6" x14ac:dyDescent="0.25">
      <c r="A45">
        <v>44939</v>
      </c>
      <c r="B45">
        <v>137.5</v>
      </c>
      <c r="C45" t="s">
        <v>385</v>
      </c>
      <c r="D45" t="s">
        <v>1259</v>
      </c>
      <c r="E45" t="s">
        <v>280</v>
      </c>
      <c r="F45" t="str">
        <f>VLOOKUP(E45, 'POS Categories'!$A$1:$B$1999, 2, FALSE)</f>
        <v>Government</v>
      </c>
    </row>
    <row r="46" spans="1:6" x14ac:dyDescent="0.25">
      <c r="A46">
        <v>44938</v>
      </c>
      <c r="B46">
        <v>-12.52</v>
      </c>
      <c r="C46" t="s">
        <v>385</v>
      </c>
      <c r="D46" t="s">
        <v>388</v>
      </c>
      <c r="E46" t="s">
        <v>408</v>
      </c>
      <c r="F46" t="str">
        <f>VLOOKUP(E46, 'POS Categories'!$A$1:$B$1999, 2, FALSE)</f>
        <v>Food</v>
      </c>
    </row>
    <row r="47" spans="1:6" x14ac:dyDescent="0.25">
      <c r="A47">
        <v>44938</v>
      </c>
      <c r="B47">
        <v>-11.09</v>
      </c>
      <c r="C47" t="s">
        <v>385</v>
      </c>
      <c r="D47" t="s">
        <v>388</v>
      </c>
      <c r="E47" t="s">
        <v>240</v>
      </c>
      <c r="F47" t="str">
        <f>VLOOKUP(E47, 'POS Categories'!$A$1:$B$1999, 2, FALSE)</f>
        <v>Food</v>
      </c>
    </row>
    <row r="48" spans="1:6" x14ac:dyDescent="0.25">
      <c r="A48">
        <v>44937</v>
      </c>
      <c r="B48">
        <v>-41.29</v>
      </c>
      <c r="C48" t="s">
        <v>385</v>
      </c>
      <c r="D48" t="s">
        <v>388</v>
      </c>
      <c r="E48" t="s">
        <v>1279</v>
      </c>
      <c r="F48" t="str">
        <f>VLOOKUP(E48, 'POS Categories'!$A$1:$B$1999, 2, FALSE)</f>
        <v>Food</v>
      </c>
    </row>
    <row r="49" spans="1:6" x14ac:dyDescent="0.25">
      <c r="A49">
        <v>44936</v>
      </c>
      <c r="B49">
        <v>-14.97</v>
      </c>
      <c r="C49" t="s">
        <v>385</v>
      </c>
      <c r="D49" t="s">
        <v>388</v>
      </c>
      <c r="E49" t="s">
        <v>1238</v>
      </c>
      <c r="F49" t="str">
        <f>VLOOKUP(E49, 'POS Categories'!$A$1:$B$1999, 2, FALSE)</f>
        <v>Food</v>
      </c>
    </row>
    <row r="50" spans="1:6" x14ac:dyDescent="0.25">
      <c r="A50">
        <v>44936</v>
      </c>
      <c r="B50">
        <v>-5.5</v>
      </c>
      <c r="C50" t="s">
        <v>385</v>
      </c>
      <c r="D50" t="s">
        <v>388</v>
      </c>
      <c r="E50" t="s">
        <v>34</v>
      </c>
      <c r="F50" t="str">
        <f>VLOOKUP(E50, 'POS Categories'!$A$1:$B$1999, 2, FALSE)</f>
        <v>Food</v>
      </c>
    </row>
    <row r="51" spans="1:6" x14ac:dyDescent="0.25">
      <c r="A51">
        <v>44936</v>
      </c>
      <c r="B51">
        <v>-11.09</v>
      </c>
      <c r="C51" t="s">
        <v>385</v>
      </c>
      <c r="D51" t="s">
        <v>388</v>
      </c>
      <c r="E51" t="s">
        <v>240</v>
      </c>
      <c r="F51" t="str">
        <f>VLOOKUP(E51, 'POS Categories'!$A$1:$B$1999, 2, FALSE)</f>
        <v>Food</v>
      </c>
    </row>
    <row r="52" spans="1:6" x14ac:dyDescent="0.25">
      <c r="A52">
        <v>44935</v>
      </c>
      <c r="B52">
        <v>-12.53</v>
      </c>
      <c r="C52" t="s">
        <v>385</v>
      </c>
      <c r="D52" t="s">
        <v>388</v>
      </c>
      <c r="E52" t="s">
        <v>171</v>
      </c>
      <c r="F52" t="str">
        <f>VLOOKUP(E52, 'POS Categories'!$A$1:$B$1999, 2, FALSE)</f>
        <v>Food</v>
      </c>
    </row>
    <row r="53" spans="1:6" x14ac:dyDescent="0.25">
      <c r="A53">
        <v>44935</v>
      </c>
      <c r="B53">
        <v>-265.47000000000003</v>
      </c>
      <c r="C53" t="s">
        <v>385</v>
      </c>
      <c r="D53" t="s">
        <v>388</v>
      </c>
      <c r="E53" t="s">
        <v>327</v>
      </c>
      <c r="F53" t="str">
        <f>VLOOKUP(E53, 'POS Categories'!$A$1:$B$1999, 2, FALSE)</f>
        <v>Personal</v>
      </c>
    </row>
    <row r="54" spans="1:6" x14ac:dyDescent="0.25">
      <c r="A54">
        <v>44935</v>
      </c>
      <c r="B54">
        <v>-6.98</v>
      </c>
      <c r="C54" t="s">
        <v>385</v>
      </c>
      <c r="D54" t="s">
        <v>388</v>
      </c>
      <c r="E54" t="s">
        <v>408</v>
      </c>
      <c r="F54" t="str">
        <f>VLOOKUP(E54, 'POS Categories'!$A$1:$B$1999, 2, FALSE)</f>
        <v>Food</v>
      </c>
    </row>
    <row r="55" spans="1:6" x14ac:dyDescent="0.25">
      <c r="A55">
        <v>44935</v>
      </c>
      <c r="B55">
        <v>-39.54</v>
      </c>
      <c r="C55" t="s">
        <v>385</v>
      </c>
      <c r="D55" t="s">
        <v>388</v>
      </c>
      <c r="E55" t="s">
        <v>1265</v>
      </c>
      <c r="F55" t="str">
        <f>VLOOKUP(E55, 'POS Categories'!$A$1:$B$1999, 2, FALSE)</f>
        <v>Vehicle</v>
      </c>
    </row>
    <row r="56" spans="1:6" x14ac:dyDescent="0.25">
      <c r="A56">
        <v>44935</v>
      </c>
      <c r="B56">
        <v>-67.73</v>
      </c>
      <c r="C56" t="s">
        <v>385</v>
      </c>
      <c r="D56" t="s">
        <v>388</v>
      </c>
      <c r="E56" t="s">
        <v>281</v>
      </c>
      <c r="F56" t="str">
        <f>VLOOKUP(E56, 'POS Categories'!$A$1:$B$1999, 2, FALSE)</f>
        <v>Vehicle</v>
      </c>
    </row>
    <row r="57" spans="1:6" x14ac:dyDescent="0.25">
      <c r="A57">
        <v>44935</v>
      </c>
      <c r="B57">
        <v>-3.5</v>
      </c>
      <c r="C57" t="s">
        <v>385</v>
      </c>
      <c r="D57" t="s">
        <v>388</v>
      </c>
      <c r="E57" t="s">
        <v>1269</v>
      </c>
      <c r="F57" t="str">
        <f>VLOOKUP(E57, 'POS Categories'!$A$1:$B$1999, 2, FALSE)</f>
        <v>Vehicle</v>
      </c>
    </row>
    <row r="58" spans="1:6" x14ac:dyDescent="0.25">
      <c r="A58">
        <v>44932</v>
      </c>
      <c r="B58">
        <v>-54.98</v>
      </c>
      <c r="C58" t="s">
        <v>385</v>
      </c>
      <c r="D58" t="s">
        <v>388</v>
      </c>
      <c r="E58" t="s">
        <v>411</v>
      </c>
      <c r="F58" t="str">
        <f>VLOOKUP(E58, 'POS Categories'!$A$1:$B$1999, 2, FALSE)</f>
        <v>Sasktel</v>
      </c>
    </row>
    <row r="59" spans="1:6" x14ac:dyDescent="0.25">
      <c r="A59">
        <v>44931</v>
      </c>
      <c r="B59">
        <v>-13.16</v>
      </c>
      <c r="C59" t="s">
        <v>385</v>
      </c>
      <c r="D59" t="s">
        <v>388</v>
      </c>
      <c r="E59" t="s">
        <v>1269</v>
      </c>
      <c r="F59" t="str">
        <f>VLOOKUP(E59, 'POS Categories'!$A$1:$B$1999, 2, FALSE)</f>
        <v>Vehicle</v>
      </c>
    </row>
    <row r="60" spans="1:6" x14ac:dyDescent="0.25">
      <c r="A60">
        <v>44931</v>
      </c>
      <c r="B60">
        <v>-15.04</v>
      </c>
      <c r="C60" t="s">
        <v>385</v>
      </c>
      <c r="D60" t="s">
        <v>388</v>
      </c>
      <c r="E60" t="s">
        <v>1268</v>
      </c>
      <c r="F60" t="str">
        <f>VLOOKUP(E60, 'POS Categories'!$A$1:$B$1999, 2, FALSE)</f>
        <v>Food</v>
      </c>
    </row>
    <row r="61" spans="1:6" x14ac:dyDescent="0.25">
      <c r="A61">
        <v>44930</v>
      </c>
      <c r="B61">
        <v>-2.2200000000000002</v>
      </c>
      <c r="C61" t="s">
        <v>385</v>
      </c>
      <c r="D61" t="s">
        <v>388</v>
      </c>
      <c r="E61" t="s">
        <v>1268</v>
      </c>
      <c r="F61" t="str">
        <f>VLOOKUP(E61, 'POS Categories'!$A$1:$B$1999, 2, FALSE)</f>
        <v>Food</v>
      </c>
    </row>
    <row r="62" spans="1:6" x14ac:dyDescent="0.25">
      <c r="A62">
        <v>44929</v>
      </c>
      <c r="B62">
        <v>-1325</v>
      </c>
      <c r="C62" t="s">
        <v>385</v>
      </c>
      <c r="D62" t="s">
        <v>414</v>
      </c>
      <c r="E62" t="s">
        <v>1224</v>
      </c>
      <c r="F62" t="str">
        <f>VLOOKUP(E62, 'POS Categories'!$A$1:$B$1999, 2, FALSE)</f>
        <v>Rent</v>
      </c>
    </row>
    <row r="63" spans="1:6" x14ac:dyDescent="0.25">
      <c r="A63">
        <v>44929</v>
      </c>
      <c r="B63">
        <v>-15.58</v>
      </c>
      <c r="C63" t="s">
        <v>385</v>
      </c>
      <c r="D63" t="s">
        <v>388</v>
      </c>
      <c r="E63" t="s">
        <v>1198</v>
      </c>
      <c r="F63" t="str">
        <f>VLOOKUP(E63, 'POS Categories'!$A$1:$B$1999, 2, FALSE)</f>
        <v>Entertainment</v>
      </c>
    </row>
    <row r="64" spans="1:6" x14ac:dyDescent="0.25">
      <c r="A64">
        <v>44929</v>
      </c>
      <c r="B64">
        <v>-18.43</v>
      </c>
      <c r="C64" t="s">
        <v>385</v>
      </c>
      <c r="D64" t="s">
        <v>388</v>
      </c>
      <c r="E64" t="s">
        <v>1269</v>
      </c>
      <c r="F64" t="str">
        <f>VLOOKUP(E64, 'POS Categories'!$A$1:$B$1999, 2, FALSE)</f>
        <v>Vehicle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7"/>
  <sheetViews>
    <sheetView topLeftCell="A49" workbookViewId="0">
      <selection activeCell="F74" sqref="F74"/>
    </sheetView>
  </sheetViews>
  <sheetFormatPr defaultRowHeight="15" x14ac:dyDescent="0.25"/>
  <cols>
    <col min="5" max="5" width="36.140625" bestFit="1" customWidth="1"/>
  </cols>
  <sheetData>
    <row r="1" spans="1:6" x14ac:dyDescent="0.25">
      <c r="A1">
        <v>44926</v>
      </c>
      <c r="B1">
        <v>-23.41</v>
      </c>
      <c r="C1" t="s">
        <v>385</v>
      </c>
      <c r="D1" t="s">
        <v>400</v>
      </c>
      <c r="E1" t="s">
        <v>401</v>
      </c>
      <c r="F1" t="str">
        <f>VLOOKUP(E1, 'POS Categories'!$A$1:$B$1999, 2, FALSE)</f>
        <v>Misc</v>
      </c>
    </row>
    <row r="2" spans="1:6" x14ac:dyDescent="0.25">
      <c r="A2">
        <v>44926</v>
      </c>
      <c r="B2">
        <v>-5.57</v>
      </c>
      <c r="C2" t="s">
        <v>385</v>
      </c>
      <c r="D2" t="s">
        <v>388</v>
      </c>
      <c r="E2" t="s">
        <v>1268</v>
      </c>
      <c r="F2" t="str">
        <f>VLOOKUP(E2, 'POS Categories'!$A$1:$B$1999, 2, FALSE)</f>
        <v>Food</v>
      </c>
    </row>
    <row r="3" spans="1:6" x14ac:dyDescent="0.25">
      <c r="A3">
        <v>44925</v>
      </c>
      <c r="B3">
        <v>-34.53</v>
      </c>
      <c r="C3" t="s">
        <v>385</v>
      </c>
      <c r="D3" t="s">
        <v>388</v>
      </c>
      <c r="E3" t="s">
        <v>282</v>
      </c>
      <c r="F3" t="str">
        <f>VLOOKUP(E3, 'POS Categories'!$A$1:$B$1999, 2, FALSE)</f>
        <v>Vehicle</v>
      </c>
    </row>
    <row r="4" spans="1:6" x14ac:dyDescent="0.25">
      <c r="A4">
        <v>44925</v>
      </c>
      <c r="B4">
        <v>-32</v>
      </c>
      <c r="C4" t="s">
        <v>385</v>
      </c>
      <c r="D4" t="s">
        <v>388</v>
      </c>
      <c r="E4" t="s">
        <v>118</v>
      </c>
      <c r="F4" t="str">
        <f>VLOOKUP(E4, 'POS Categories'!$A$1:$B$1999, 2, FALSE)</f>
        <v>Food</v>
      </c>
    </row>
    <row r="5" spans="1:6" x14ac:dyDescent="0.25">
      <c r="A5">
        <v>44925</v>
      </c>
      <c r="B5">
        <v>-11.18</v>
      </c>
      <c r="C5" t="s">
        <v>385</v>
      </c>
      <c r="D5" t="s">
        <v>388</v>
      </c>
      <c r="E5" t="s">
        <v>108</v>
      </c>
      <c r="F5" t="str">
        <f>VLOOKUP(E5, 'POS Categories'!$A$1:$B$1999, 2, FALSE)</f>
        <v>Food</v>
      </c>
    </row>
    <row r="6" spans="1:6" x14ac:dyDescent="0.25">
      <c r="A6">
        <v>44925</v>
      </c>
      <c r="B6">
        <v>-13.3</v>
      </c>
      <c r="C6" t="s">
        <v>385</v>
      </c>
      <c r="D6" t="s">
        <v>388</v>
      </c>
      <c r="E6" t="s">
        <v>165</v>
      </c>
      <c r="F6" t="str">
        <f>VLOOKUP(E6, 'POS Categories'!$A$1:$B$1999, 2, FALSE)</f>
        <v>Personal</v>
      </c>
    </row>
    <row r="7" spans="1:6" x14ac:dyDescent="0.25">
      <c r="A7">
        <v>44925</v>
      </c>
      <c r="B7">
        <v>2360.39</v>
      </c>
      <c r="C7" t="s">
        <v>385</v>
      </c>
      <c r="D7" t="s">
        <v>386</v>
      </c>
      <c r="E7" t="s">
        <v>1193</v>
      </c>
      <c r="F7" t="str">
        <f>VLOOKUP(E7, 'POS Categories'!$A$1:$B$1999, 2, FALSE)</f>
        <v>Job</v>
      </c>
    </row>
    <row r="8" spans="1:6" x14ac:dyDescent="0.25">
      <c r="A8">
        <v>44923</v>
      </c>
      <c r="B8">
        <v>-27.02</v>
      </c>
      <c r="C8" t="s">
        <v>385</v>
      </c>
      <c r="D8" t="s">
        <v>388</v>
      </c>
      <c r="E8" t="s">
        <v>282</v>
      </c>
      <c r="F8" t="str">
        <f>VLOOKUP(E8, 'POS Categories'!$A$1:$B$1999, 2, FALSE)</f>
        <v>Vehicle</v>
      </c>
    </row>
    <row r="9" spans="1:6" x14ac:dyDescent="0.25">
      <c r="A9">
        <v>44923</v>
      </c>
      <c r="B9">
        <v>-8.4700000000000006</v>
      </c>
      <c r="C9" t="s">
        <v>385</v>
      </c>
      <c r="D9" t="s">
        <v>388</v>
      </c>
      <c r="E9" t="s">
        <v>1269</v>
      </c>
      <c r="F9" t="str">
        <f>VLOOKUP(E9, 'POS Categories'!$A$1:$B$1999, 2, FALSE)</f>
        <v>Vehicle</v>
      </c>
    </row>
    <row r="10" spans="1:6" x14ac:dyDescent="0.25">
      <c r="A10">
        <v>44923</v>
      </c>
      <c r="B10">
        <v>-46.96</v>
      </c>
      <c r="C10" t="s">
        <v>385</v>
      </c>
      <c r="D10" t="s">
        <v>388</v>
      </c>
      <c r="E10" t="s">
        <v>1270</v>
      </c>
      <c r="F10" t="str">
        <f>VLOOKUP(E10, 'POS Categories'!$A$1:$B$1999, 2, FALSE)</f>
        <v>Food</v>
      </c>
    </row>
    <row r="11" spans="1:6" x14ac:dyDescent="0.25">
      <c r="A11">
        <v>44923</v>
      </c>
      <c r="B11">
        <v>-2.2200000000000002</v>
      </c>
      <c r="C11" t="s">
        <v>385</v>
      </c>
      <c r="D11" t="s">
        <v>388</v>
      </c>
      <c r="E11" t="s">
        <v>1268</v>
      </c>
      <c r="F11" t="str">
        <f>VLOOKUP(E11, 'POS Categories'!$A$1:$B$1999, 2, FALSE)</f>
        <v>Food</v>
      </c>
    </row>
    <row r="12" spans="1:6" x14ac:dyDescent="0.25">
      <c r="A12">
        <v>44923</v>
      </c>
      <c r="B12">
        <v>-4.4400000000000004</v>
      </c>
      <c r="C12" t="s">
        <v>385</v>
      </c>
      <c r="D12" t="s">
        <v>388</v>
      </c>
      <c r="E12" t="s">
        <v>1268</v>
      </c>
      <c r="F12" t="str">
        <f>VLOOKUP(E12, 'POS Categories'!$A$1:$B$1999, 2, FALSE)</f>
        <v>Food</v>
      </c>
    </row>
    <row r="13" spans="1:6" x14ac:dyDescent="0.25">
      <c r="A13">
        <v>44923</v>
      </c>
      <c r="B13">
        <v>-2.2200000000000002</v>
      </c>
      <c r="C13" t="s">
        <v>385</v>
      </c>
      <c r="D13" t="s">
        <v>388</v>
      </c>
      <c r="E13" t="s">
        <v>1268</v>
      </c>
      <c r="F13" t="str">
        <f>VLOOKUP(E13, 'POS Categories'!$A$1:$B$1999, 2, FALSE)</f>
        <v>Food</v>
      </c>
    </row>
    <row r="14" spans="1:6" x14ac:dyDescent="0.25">
      <c r="A14">
        <v>44923</v>
      </c>
      <c r="B14">
        <v>-53.37</v>
      </c>
      <c r="C14" t="s">
        <v>385</v>
      </c>
      <c r="D14" t="s">
        <v>388</v>
      </c>
      <c r="E14" t="s">
        <v>281</v>
      </c>
      <c r="F14" t="str">
        <f>VLOOKUP(E14, 'POS Categories'!$A$1:$B$1999, 2, FALSE)</f>
        <v>Vehicle</v>
      </c>
    </row>
    <row r="15" spans="1:6" x14ac:dyDescent="0.25">
      <c r="A15">
        <v>44918</v>
      </c>
      <c r="B15">
        <v>-29.01</v>
      </c>
      <c r="C15" t="s">
        <v>385</v>
      </c>
      <c r="D15" t="s">
        <v>388</v>
      </c>
      <c r="E15" t="s">
        <v>1271</v>
      </c>
      <c r="F15" t="str">
        <f>VLOOKUP(E15, 'POS Categories'!$A$1:$B$1999, 2, FALSE)</f>
        <v>Vehicle</v>
      </c>
    </row>
    <row r="16" spans="1:6" x14ac:dyDescent="0.25">
      <c r="A16">
        <v>44918</v>
      </c>
      <c r="B16">
        <v>-18.68</v>
      </c>
      <c r="C16" t="s">
        <v>385</v>
      </c>
      <c r="D16" t="s">
        <v>388</v>
      </c>
      <c r="E16" t="s">
        <v>408</v>
      </c>
      <c r="F16" t="str">
        <f>VLOOKUP(E16, 'POS Categories'!$A$1:$B$1999, 2, FALSE)</f>
        <v>Food</v>
      </c>
    </row>
    <row r="17" spans="1:6" x14ac:dyDescent="0.25">
      <c r="A17">
        <v>44918</v>
      </c>
      <c r="B17">
        <v>-19.43</v>
      </c>
      <c r="C17" t="s">
        <v>385</v>
      </c>
      <c r="D17" t="s">
        <v>388</v>
      </c>
      <c r="E17" t="s">
        <v>395</v>
      </c>
      <c r="F17" t="str">
        <f>VLOOKUP(E17, 'POS Categories'!$A$1:$B$1999, 2, FALSE)</f>
        <v>Vehicle</v>
      </c>
    </row>
    <row r="18" spans="1:6" x14ac:dyDescent="0.25">
      <c r="A18">
        <v>44918</v>
      </c>
      <c r="B18">
        <v>-53</v>
      </c>
      <c r="C18" t="s">
        <v>385</v>
      </c>
      <c r="D18" t="s">
        <v>388</v>
      </c>
      <c r="E18" t="s">
        <v>395</v>
      </c>
      <c r="F18" t="str">
        <f>VLOOKUP(E18, 'POS Categories'!$A$1:$B$1999, 2, FALSE)</f>
        <v>Vehicle</v>
      </c>
    </row>
    <row r="19" spans="1:6" x14ac:dyDescent="0.25">
      <c r="A19">
        <v>44917</v>
      </c>
      <c r="B19">
        <v>-16.05</v>
      </c>
      <c r="C19" t="s">
        <v>385</v>
      </c>
      <c r="D19" t="s">
        <v>388</v>
      </c>
      <c r="E19" t="s">
        <v>174</v>
      </c>
      <c r="F19" t="str">
        <f>VLOOKUP(E19, 'POS Categories'!$A$1:$B$1999, 2, FALSE)</f>
        <v>Food</v>
      </c>
    </row>
    <row r="20" spans="1:6" x14ac:dyDescent="0.25">
      <c r="A20">
        <v>44917</v>
      </c>
      <c r="B20">
        <v>-7.76</v>
      </c>
      <c r="C20" t="s">
        <v>385</v>
      </c>
      <c r="D20" t="s">
        <v>388</v>
      </c>
      <c r="E20" t="s">
        <v>157</v>
      </c>
      <c r="F20" t="str">
        <f>VLOOKUP(E20, 'POS Categories'!$A$1:$B$1999, 2, FALSE)</f>
        <v>Personal</v>
      </c>
    </row>
    <row r="21" spans="1:6" x14ac:dyDescent="0.25">
      <c r="A21">
        <v>44917</v>
      </c>
      <c r="B21">
        <v>-57.56</v>
      </c>
      <c r="C21" t="s">
        <v>385</v>
      </c>
      <c r="D21" t="s">
        <v>435</v>
      </c>
      <c r="E21" t="s">
        <v>1257</v>
      </c>
      <c r="F21" t="str">
        <f>VLOOKUP(E21, 'POS Categories'!$A$1:$B$1999, 2, FALSE)</f>
        <v>Power</v>
      </c>
    </row>
    <row r="22" spans="1:6" x14ac:dyDescent="0.25">
      <c r="A22">
        <v>44917</v>
      </c>
      <c r="B22">
        <v>-8.8699999999999992</v>
      </c>
      <c r="C22" t="s">
        <v>385</v>
      </c>
      <c r="D22" t="s">
        <v>388</v>
      </c>
      <c r="E22" t="s">
        <v>213</v>
      </c>
      <c r="F22" t="str">
        <f>VLOOKUP(E22, 'POS Categories'!$A$1:$B$1999, 2, FALSE)</f>
        <v>Entertainment</v>
      </c>
    </row>
    <row r="23" spans="1:6" x14ac:dyDescent="0.25">
      <c r="A23">
        <v>44916</v>
      </c>
      <c r="B23">
        <v>-38.200000000000003</v>
      </c>
      <c r="C23" t="s">
        <v>385</v>
      </c>
      <c r="D23" t="s">
        <v>388</v>
      </c>
      <c r="E23" t="s">
        <v>246</v>
      </c>
      <c r="F23" t="str">
        <f>VLOOKUP(E23, 'POS Categories'!$A$1:$B$1999, 2, FALSE)</f>
        <v>Food</v>
      </c>
    </row>
    <row r="24" spans="1:6" x14ac:dyDescent="0.25">
      <c r="A24">
        <v>44915</v>
      </c>
      <c r="B24">
        <v>-5</v>
      </c>
      <c r="C24" t="s">
        <v>385</v>
      </c>
      <c r="D24" t="s">
        <v>388</v>
      </c>
      <c r="E24" t="s">
        <v>372</v>
      </c>
      <c r="F24" t="str">
        <f>VLOOKUP(E24, 'POS Categories'!$A$1:$B$1999, 2, FALSE)</f>
        <v>Gifts</v>
      </c>
    </row>
    <row r="25" spans="1:6" x14ac:dyDescent="0.25">
      <c r="A25">
        <v>44915</v>
      </c>
      <c r="B25">
        <v>-29.96</v>
      </c>
      <c r="C25" t="s">
        <v>385</v>
      </c>
      <c r="D25" t="s">
        <v>388</v>
      </c>
      <c r="E25" t="s">
        <v>1272</v>
      </c>
      <c r="F25" t="str">
        <f>VLOOKUP(E25, 'POS Categories'!$A$1:$B$1999, 2, FALSE)</f>
        <v>Gifts</v>
      </c>
    </row>
    <row r="26" spans="1:6" x14ac:dyDescent="0.25">
      <c r="A26">
        <v>44915</v>
      </c>
      <c r="B26">
        <v>-91</v>
      </c>
      <c r="C26" t="s">
        <v>385</v>
      </c>
      <c r="D26" t="s">
        <v>388</v>
      </c>
      <c r="E26" t="s">
        <v>209</v>
      </c>
      <c r="F26" t="str">
        <f>VLOOKUP(E26, 'POS Categories'!$A$1:$B$1999, 2, FALSE)</f>
        <v>Entertainment</v>
      </c>
    </row>
    <row r="27" spans="1:6" x14ac:dyDescent="0.25">
      <c r="A27">
        <v>44915</v>
      </c>
      <c r="B27">
        <v>-20.73</v>
      </c>
      <c r="C27" t="s">
        <v>385</v>
      </c>
      <c r="D27" t="s">
        <v>388</v>
      </c>
      <c r="E27" t="s">
        <v>1273</v>
      </c>
      <c r="F27" t="str">
        <f>VLOOKUP(E27, 'POS Categories'!$A$1:$B$1999, 2, FALSE)</f>
        <v>Food</v>
      </c>
    </row>
    <row r="28" spans="1:6" x14ac:dyDescent="0.25">
      <c r="A28">
        <v>44914</v>
      </c>
      <c r="B28">
        <v>-39.03</v>
      </c>
      <c r="C28" t="s">
        <v>385</v>
      </c>
      <c r="D28" t="s">
        <v>388</v>
      </c>
      <c r="E28" t="s">
        <v>288</v>
      </c>
      <c r="F28" t="str">
        <f>VLOOKUP(E28, 'POS Categories'!$A$1:$B$1999, 2, FALSE)</f>
        <v>Food</v>
      </c>
    </row>
    <row r="29" spans="1:6" x14ac:dyDescent="0.25">
      <c r="A29">
        <v>44914</v>
      </c>
      <c r="B29">
        <v>-19.739999999999998</v>
      </c>
      <c r="C29" t="s">
        <v>385</v>
      </c>
      <c r="D29" t="s">
        <v>388</v>
      </c>
      <c r="E29" t="s">
        <v>171</v>
      </c>
      <c r="F29" t="str">
        <f>VLOOKUP(E29, 'POS Categories'!$A$1:$B$1999, 2, FALSE)</f>
        <v>Food</v>
      </c>
    </row>
    <row r="30" spans="1:6" x14ac:dyDescent="0.25">
      <c r="A30">
        <v>44914</v>
      </c>
      <c r="B30">
        <v>-15.04</v>
      </c>
      <c r="C30" t="s">
        <v>385</v>
      </c>
      <c r="D30" t="s">
        <v>388</v>
      </c>
      <c r="E30" t="s">
        <v>408</v>
      </c>
      <c r="F30" t="str">
        <f>VLOOKUP(E30, 'POS Categories'!$A$1:$B$1999, 2, FALSE)</f>
        <v>Food</v>
      </c>
    </row>
    <row r="31" spans="1:6" x14ac:dyDescent="0.25">
      <c r="A31">
        <v>44914</v>
      </c>
      <c r="B31">
        <v>-12.75</v>
      </c>
      <c r="C31" t="s">
        <v>385</v>
      </c>
      <c r="D31" t="s">
        <v>388</v>
      </c>
      <c r="E31" t="s">
        <v>213</v>
      </c>
      <c r="F31" t="str">
        <f>VLOOKUP(E31, 'POS Categories'!$A$1:$B$1999, 2, FALSE)</f>
        <v>Entertainment</v>
      </c>
    </row>
    <row r="32" spans="1:6" x14ac:dyDescent="0.25">
      <c r="A32">
        <v>44911</v>
      </c>
      <c r="B32">
        <v>-39.78</v>
      </c>
      <c r="C32" t="s">
        <v>385</v>
      </c>
      <c r="D32" t="s">
        <v>388</v>
      </c>
      <c r="E32" t="s">
        <v>157</v>
      </c>
      <c r="F32" t="str">
        <f>VLOOKUP(E32, 'POS Categories'!$A$1:$B$1999, 2, FALSE)</f>
        <v>Personal</v>
      </c>
    </row>
    <row r="33" spans="1:6" x14ac:dyDescent="0.25">
      <c r="A33">
        <v>44911</v>
      </c>
      <c r="B33">
        <v>-12.29</v>
      </c>
      <c r="C33" t="s">
        <v>385</v>
      </c>
      <c r="D33" t="s">
        <v>388</v>
      </c>
      <c r="E33" t="s">
        <v>408</v>
      </c>
      <c r="F33" t="str">
        <f>VLOOKUP(E33, 'POS Categories'!$A$1:$B$1999, 2, FALSE)</f>
        <v>Food</v>
      </c>
    </row>
    <row r="34" spans="1:6" x14ac:dyDescent="0.25">
      <c r="A34">
        <v>44911</v>
      </c>
      <c r="B34">
        <v>-377.4</v>
      </c>
      <c r="C34" t="s">
        <v>385</v>
      </c>
      <c r="D34" t="s">
        <v>388</v>
      </c>
      <c r="E34" t="s">
        <v>1274</v>
      </c>
      <c r="F34" t="str">
        <f>VLOOKUP(E34, 'POS Categories'!$A$1:$B$1999, 2, FALSE)</f>
        <v>Vehicle</v>
      </c>
    </row>
    <row r="35" spans="1:6" x14ac:dyDescent="0.25">
      <c r="A35">
        <v>44911</v>
      </c>
      <c r="B35">
        <v>-4.72</v>
      </c>
      <c r="C35" t="s">
        <v>385</v>
      </c>
      <c r="D35" t="s">
        <v>388</v>
      </c>
      <c r="E35" t="s">
        <v>1225</v>
      </c>
      <c r="F35" t="str">
        <f>VLOOKUP(E35, 'POS Categories'!$A$1:$B$1999, 2, FALSE)</f>
        <v>Food</v>
      </c>
    </row>
    <row r="36" spans="1:6" x14ac:dyDescent="0.25">
      <c r="A36">
        <v>44911</v>
      </c>
      <c r="B36">
        <v>-6.87</v>
      </c>
      <c r="C36" t="s">
        <v>385</v>
      </c>
      <c r="D36" t="s">
        <v>388</v>
      </c>
      <c r="E36" t="s">
        <v>240</v>
      </c>
      <c r="F36" t="str">
        <f>VLOOKUP(E36, 'POS Categories'!$A$1:$B$1999, 2, FALSE)</f>
        <v>Food</v>
      </c>
    </row>
    <row r="37" spans="1:6" x14ac:dyDescent="0.25">
      <c r="A37">
        <v>44911</v>
      </c>
      <c r="B37">
        <v>2177.04</v>
      </c>
      <c r="C37" t="s">
        <v>385</v>
      </c>
      <c r="D37" t="s">
        <v>386</v>
      </c>
      <c r="E37" t="s">
        <v>1193</v>
      </c>
      <c r="F37" t="str">
        <f>VLOOKUP(E37, 'POS Categories'!$A$1:$B$1999, 2, FALSE)</f>
        <v>Job</v>
      </c>
    </row>
    <row r="38" spans="1:6" x14ac:dyDescent="0.25">
      <c r="A38">
        <v>44911</v>
      </c>
      <c r="B38">
        <v>-19.98</v>
      </c>
      <c r="C38" t="s">
        <v>385</v>
      </c>
      <c r="D38" t="s">
        <v>388</v>
      </c>
      <c r="E38" t="s">
        <v>22</v>
      </c>
      <c r="F38" t="str">
        <f>VLOOKUP(E38, 'POS Categories'!$A$1:$B$1999, 2, FALSE)</f>
        <v>Entertainment</v>
      </c>
    </row>
    <row r="39" spans="1:6" x14ac:dyDescent="0.25">
      <c r="A39">
        <v>44910</v>
      </c>
      <c r="B39">
        <v>-17.13</v>
      </c>
      <c r="C39" t="s">
        <v>385</v>
      </c>
      <c r="D39" t="s">
        <v>388</v>
      </c>
      <c r="E39" t="s">
        <v>246</v>
      </c>
      <c r="F39" t="str">
        <f>VLOOKUP(E39, 'POS Categories'!$A$1:$B$1999, 2, FALSE)</f>
        <v>Food</v>
      </c>
    </row>
    <row r="40" spans="1:6" x14ac:dyDescent="0.25">
      <c r="A40">
        <v>44910</v>
      </c>
      <c r="B40">
        <v>-14.96</v>
      </c>
      <c r="C40" t="s">
        <v>385</v>
      </c>
      <c r="D40" t="s">
        <v>388</v>
      </c>
      <c r="E40" t="s">
        <v>174</v>
      </c>
      <c r="F40" t="str">
        <f>VLOOKUP(E40, 'POS Categories'!$A$1:$B$1999, 2, FALSE)</f>
        <v>Food</v>
      </c>
    </row>
    <row r="41" spans="1:6" x14ac:dyDescent="0.25">
      <c r="A41">
        <v>44910</v>
      </c>
      <c r="B41">
        <v>-66.55</v>
      </c>
      <c r="C41" t="s">
        <v>385</v>
      </c>
      <c r="D41" t="s">
        <v>388</v>
      </c>
      <c r="E41" t="s">
        <v>175</v>
      </c>
      <c r="F41" t="str">
        <f>VLOOKUP(E41, 'POS Categories'!$A$1:$B$1999, 2, FALSE)</f>
        <v>Sasktel</v>
      </c>
    </row>
    <row r="42" spans="1:6" x14ac:dyDescent="0.25">
      <c r="A42">
        <v>44909</v>
      </c>
      <c r="B42">
        <v>-29.17</v>
      </c>
      <c r="C42" t="s">
        <v>385</v>
      </c>
      <c r="D42" t="s">
        <v>388</v>
      </c>
      <c r="E42" t="s">
        <v>149</v>
      </c>
      <c r="F42" t="str">
        <f>VLOOKUP(E42, 'POS Categories'!$A$1:$B$1999, 2, FALSE)</f>
        <v>Food</v>
      </c>
    </row>
    <row r="43" spans="1:6" x14ac:dyDescent="0.25">
      <c r="A43">
        <v>44909</v>
      </c>
      <c r="B43">
        <v>-51.9</v>
      </c>
      <c r="C43" t="s">
        <v>385</v>
      </c>
      <c r="D43" t="s">
        <v>388</v>
      </c>
      <c r="E43" t="s">
        <v>330</v>
      </c>
      <c r="F43" t="str">
        <f>VLOOKUP(E43, 'POS Categories'!$A$1:$B$1999, 2, FALSE)</f>
        <v>Vehicle</v>
      </c>
    </row>
    <row r="44" spans="1:6" x14ac:dyDescent="0.25">
      <c r="A44">
        <v>44907</v>
      </c>
      <c r="B44">
        <v>-7.54</v>
      </c>
      <c r="C44" t="s">
        <v>385</v>
      </c>
      <c r="D44" t="s">
        <v>388</v>
      </c>
      <c r="E44" t="s">
        <v>408</v>
      </c>
      <c r="F44" t="str">
        <f>VLOOKUP(E44, 'POS Categories'!$A$1:$B$1999, 2, FALSE)</f>
        <v>Food</v>
      </c>
    </row>
    <row r="45" spans="1:6" x14ac:dyDescent="0.25">
      <c r="A45">
        <v>44907</v>
      </c>
      <c r="B45">
        <v>-4.72</v>
      </c>
      <c r="C45" t="s">
        <v>385</v>
      </c>
      <c r="D45" t="s">
        <v>388</v>
      </c>
      <c r="E45" t="s">
        <v>1225</v>
      </c>
      <c r="F45" t="str">
        <f>VLOOKUP(E45, 'POS Categories'!$A$1:$B$1999, 2, FALSE)</f>
        <v>Food</v>
      </c>
    </row>
    <row r="46" spans="1:6" x14ac:dyDescent="0.25">
      <c r="A46">
        <v>44907</v>
      </c>
      <c r="B46">
        <v>-12.2</v>
      </c>
      <c r="C46" t="s">
        <v>385</v>
      </c>
      <c r="D46" t="s">
        <v>388</v>
      </c>
      <c r="E46" t="s">
        <v>240</v>
      </c>
      <c r="F46" t="str">
        <f>VLOOKUP(E46, 'POS Categories'!$A$1:$B$1999, 2, FALSE)</f>
        <v>Food</v>
      </c>
    </row>
    <row r="47" spans="1:6" x14ac:dyDescent="0.25">
      <c r="A47">
        <v>44907</v>
      </c>
      <c r="B47">
        <v>-130</v>
      </c>
      <c r="C47" t="s">
        <v>385</v>
      </c>
      <c r="D47" t="s">
        <v>466</v>
      </c>
      <c r="E47" t="s">
        <v>200</v>
      </c>
      <c r="F47" t="str">
        <f>VLOOKUP(E47, 'POS Categories'!$A$1:$B$1999, 2, FALSE)</f>
        <v>Bills</v>
      </c>
    </row>
    <row r="48" spans="1:6" x14ac:dyDescent="0.25">
      <c r="A48">
        <v>44907</v>
      </c>
      <c r="B48">
        <v>500</v>
      </c>
      <c r="C48" t="s">
        <v>385</v>
      </c>
      <c r="D48" t="s">
        <v>467</v>
      </c>
      <c r="E48" t="s">
        <v>637</v>
      </c>
      <c r="F48" t="str">
        <f>VLOOKUP(E48, 'POS Categories'!$A$1:$B$1999, 2, FALSE)</f>
        <v>Misc</v>
      </c>
    </row>
    <row r="49" spans="1:6" x14ac:dyDescent="0.25">
      <c r="A49">
        <v>44907</v>
      </c>
      <c r="B49">
        <v>-10</v>
      </c>
      <c r="C49" t="s">
        <v>385</v>
      </c>
      <c r="D49" t="s">
        <v>388</v>
      </c>
      <c r="E49" t="s">
        <v>765</v>
      </c>
      <c r="F49" t="str">
        <f>VLOOKUP(E49, 'POS Categories'!$A$1:$B$1999, 2, FALSE)</f>
        <v>Food</v>
      </c>
    </row>
    <row r="50" spans="1:6" x14ac:dyDescent="0.25">
      <c r="A50">
        <v>44907</v>
      </c>
      <c r="B50">
        <v>-1.99</v>
      </c>
      <c r="C50" t="s">
        <v>385</v>
      </c>
      <c r="D50" t="s">
        <v>388</v>
      </c>
      <c r="E50" t="s">
        <v>1275</v>
      </c>
      <c r="F50" t="str">
        <f>VLOOKUP(E50, 'POS Categories'!$A$1:$B$1999, 2, FALSE)</f>
        <v>Food</v>
      </c>
    </row>
    <row r="51" spans="1:6" x14ac:dyDescent="0.25">
      <c r="A51">
        <v>44905</v>
      </c>
      <c r="B51">
        <v>-61.29</v>
      </c>
      <c r="C51" t="s">
        <v>385</v>
      </c>
      <c r="D51" t="s">
        <v>388</v>
      </c>
      <c r="E51" t="s">
        <v>395</v>
      </c>
      <c r="F51" t="str">
        <f>VLOOKUP(E51, 'POS Categories'!$A$1:$B$1999, 2, FALSE)</f>
        <v>Vehicle</v>
      </c>
    </row>
    <row r="52" spans="1:6" x14ac:dyDescent="0.25">
      <c r="A52">
        <v>44905</v>
      </c>
      <c r="B52">
        <v>-100</v>
      </c>
      <c r="C52" t="s">
        <v>385</v>
      </c>
      <c r="D52" t="s">
        <v>957</v>
      </c>
      <c r="F52" t="s">
        <v>45</v>
      </c>
    </row>
    <row r="53" spans="1:6" x14ac:dyDescent="0.25">
      <c r="A53">
        <v>44905</v>
      </c>
      <c r="B53">
        <v>-42.1</v>
      </c>
      <c r="C53" t="s">
        <v>385</v>
      </c>
      <c r="D53" t="s">
        <v>388</v>
      </c>
      <c r="E53" t="s">
        <v>1276</v>
      </c>
      <c r="F53" t="str">
        <f>VLOOKUP(E53, 'POS Categories'!$A$1:$B$1999, 2, FALSE)</f>
        <v>Food</v>
      </c>
    </row>
    <row r="54" spans="1:6" x14ac:dyDescent="0.25">
      <c r="A54">
        <v>44905</v>
      </c>
      <c r="B54">
        <v>-7.54</v>
      </c>
      <c r="C54" t="s">
        <v>385</v>
      </c>
      <c r="D54" t="s">
        <v>388</v>
      </c>
      <c r="E54" t="s">
        <v>179</v>
      </c>
      <c r="F54" t="str">
        <f>VLOOKUP(E54, 'POS Categories'!$A$1:$B$1999, 2, FALSE)</f>
        <v>Food</v>
      </c>
    </row>
    <row r="55" spans="1:6" x14ac:dyDescent="0.25">
      <c r="A55">
        <v>44904</v>
      </c>
      <c r="B55">
        <v>-7.47</v>
      </c>
      <c r="C55" t="s">
        <v>385</v>
      </c>
      <c r="D55" t="s">
        <v>388</v>
      </c>
      <c r="E55" t="s">
        <v>241</v>
      </c>
      <c r="F55" t="str">
        <f>VLOOKUP(E55, 'POS Categories'!$A$1:$B$1999, 2, FALSE)</f>
        <v>Food</v>
      </c>
    </row>
    <row r="56" spans="1:6" x14ac:dyDescent="0.25">
      <c r="A56">
        <v>44904</v>
      </c>
      <c r="B56">
        <v>-6.94</v>
      </c>
      <c r="C56" t="s">
        <v>385</v>
      </c>
      <c r="D56" t="s">
        <v>388</v>
      </c>
      <c r="E56" t="s">
        <v>1225</v>
      </c>
      <c r="F56" t="str">
        <f>VLOOKUP(E56, 'POS Categories'!$A$1:$B$1999, 2, FALSE)</f>
        <v>Food</v>
      </c>
    </row>
    <row r="57" spans="1:6" x14ac:dyDescent="0.25">
      <c r="A57">
        <v>44904</v>
      </c>
      <c r="B57">
        <v>-11.09</v>
      </c>
      <c r="C57" t="s">
        <v>385</v>
      </c>
      <c r="D57" t="s">
        <v>388</v>
      </c>
      <c r="E57" t="s">
        <v>240</v>
      </c>
      <c r="F57" t="str">
        <f>VLOOKUP(E57, 'POS Categories'!$A$1:$B$1999, 2, FALSE)</f>
        <v>Food</v>
      </c>
    </row>
    <row r="58" spans="1:6" x14ac:dyDescent="0.25">
      <c r="A58">
        <v>44903</v>
      </c>
      <c r="B58">
        <v>-7.54</v>
      </c>
      <c r="C58" t="s">
        <v>385</v>
      </c>
      <c r="D58" t="s">
        <v>388</v>
      </c>
      <c r="E58" t="s">
        <v>408</v>
      </c>
      <c r="F58" t="str">
        <f>VLOOKUP(E58, 'POS Categories'!$A$1:$B$1999, 2, FALSE)</f>
        <v>Food</v>
      </c>
    </row>
    <row r="59" spans="1:6" x14ac:dyDescent="0.25">
      <c r="A59">
        <v>44903</v>
      </c>
      <c r="B59">
        <v>-16.809999999999999</v>
      </c>
      <c r="C59" t="s">
        <v>385</v>
      </c>
      <c r="D59" t="s">
        <v>388</v>
      </c>
      <c r="E59" t="s">
        <v>171</v>
      </c>
      <c r="F59" t="str">
        <f>VLOOKUP(E59, 'POS Categories'!$A$1:$B$1999, 2, FALSE)</f>
        <v>Food</v>
      </c>
    </row>
    <row r="60" spans="1:6" x14ac:dyDescent="0.25">
      <c r="A60">
        <v>44902</v>
      </c>
      <c r="B60">
        <v>-7.81</v>
      </c>
      <c r="C60" t="s">
        <v>385</v>
      </c>
      <c r="D60" t="s">
        <v>388</v>
      </c>
      <c r="E60" t="s">
        <v>408</v>
      </c>
      <c r="F60" t="str">
        <f>VLOOKUP(E60, 'POS Categories'!$A$1:$B$1999, 2, FALSE)</f>
        <v>Food</v>
      </c>
    </row>
    <row r="61" spans="1:6" x14ac:dyDescent="0.25">
      <c r="A61">
        <v>44902</v>
      </c>
      <c r="B61">
        <v>-11.66</v>
      </c>
      <c r="C61" t="s">
        <v>385</v>
      </c>
      <c r="D61" t="s">
        <v>388</v>
      </c>
      <c r="E61" t="s">
        <v>1225</v>
      </c>
      <c r="F61" t="str">
        <f>VLOOKUP(E61, 'POS Categories'!$A$1:$B$1999, 2, FALSE)</f>
        <v>Food</v>
      </c>
    </row>
    <row r="62" spans="1:6" x14ac:dyDescent="0.25">
      <c r="A62">
        <v>44902</v>
      </c>
      <c r="B62">
        <v>-54.98</v>
      </c>
      <c r="C62" t="s">
        <v>385</v>
      </c>
      <c r="D62" t="s">
        <v>388</v>
      </c>
      <c r="E62" t="s">
        <v>411</v>
      </c>
      <c r="F62" t="str">
        <f>VLOOKUP(E62, 'POS Categories'!$A$1:$B$1999, 2, FALSE)</f>
        <v>Sasktel</v>
      </c>
    </row>
    <row r="63" spans="1:6" x14ac:dyDescent="0.25">
      <c r="A63">
        <v>44902</v>
      </c>
      <c r="B63">
        <v>-37.020000000000003</v>
      </c>
      <c r="C63" t="s">
        <v>385</v>
      </c>
      <c r="D63" t="s">
        <v>388</v>
      </c>
      <c r="E63" t="s">
        <v>8</v>
      </c>
      <c r="F63" t="str">
        <f>VLOOKUP(E63, 'POS Categories'!$A$1:$B$1999, 2, FALSE)</f>
        <v>Food</v>
      </c>
    </row>
    <row r="64" spans="1:6" x14ac:dyDescent="0.25">
      <c r="A64">
        <v>44901</v>
      </c>
      <c r="B64">
        <v>-1.93</v>
      </c>
      <c r="C64" t="s">
        <v>385</v>
      </c>
      <c r="D64" t="s">
        <v>388</v>
      </c>
      <c r="E64" t="s">
        <v>408</v>
      </c>
      <c r="F64" t="str">
        <f>VLOOKUP(E64, 'POS Categories'!$A$1:$B$1999, 2, FALSE)</f>
        <v>Food</v>
      </c>
    </row>
    <row r="65" spans="1:6" x14ac:dyDescent="0.25">
      <c r="A65">
        <v>44900</v>
      </c>
      <c r="B65">
        <v>-25.52</v>
      </c>
      <c r="C65" t="s">
        <v>385</v>
      </c>
      <c r="D65" t="s">
        <v>388</v>
      </c>
      <c r="E65" t="s">
        <v>1246</v>
      </c>
      <c r="F65" t="str">
        <f>VLOOKUP(E65, 'POS Categories'!$A$1:$B$1999, 2, FALSE)</f>
        <v>Food</v>
      </c>
    </row>
    <row r="66" spans="1:6" x14ac:dyDescent="0.25">
      <c r="A66">
        <v>44900</v>
      </c>
      <c r="B66">
        <v>-15.3</v>
      </c>
      <c r="C66" t="s">
        <v>385</v>
      </c>
      <c r="D66" t="s">
        <v>388</v>
      </c>
      <c r="E66" t="s">
        <v>185</v>
      </c>
      <c r="F66" t="str">
        <f>VLOOKUP(E66, 'POS Categories'!$A$1:$B$1999, 2, FALSE)</f>
        <v>Food</v>
      </c>
    </row>
    <row r="67" spans="1:6" x14ac:dyDescent="0.25">
      <c r="A67">
        <v>44900</v>
      </c>
      <c r="B67">
        <v>-18.63</v>
      </c>
      <c r="C67" t="s">
        <v>385</v>
      </c>
      <c r="D67" t="s">
        <v>388</v>
      </c>
      <c r="E67" t="s">
        <v>142</v>
      </c>
      <c r="F67" t="str">
        <f>VLOOKUP(E67, 'POS Categories'!$A$1:$B$1999, 2, FALSE)</f>
        <v>Food</v>
      </c>
    </row>
    <row r="68" spans="1:6" x14ac:dyDescent="0.25">
      <c r="A68">
        <v>44900</v>
      </c>
      <c r="B68">
        <v>-11.18</v>
      </c>
      <c r="C68" t="s">
        <v>385</v>
      </c>
      <c r="D68" t="s">
        <v>388</v>
      </c>
      <c r="E68" t="s">
        <v>408</v>
      </c>
      <c r="F68" t="str">
        <f>VLOOKUP(E68, 'POS Categories'!$A$1:$B$1999, 2, FALSE)</f>
        <v>Food</v>
      </c>
    </row>
    <row r="69" spans="1:6" x14ac:dyDescent="0.25">
      <c r="A69">
        <v>44898</v>
      </c>
      <c r="B69">
        <v>-16.07</v>
      </c>
      <c r="C69" t="s">
        <v>385</v>
      </c>
      <c r="D69" t="s">
        <v>388</v>
      </c>
      <c r="E69" t="s">
        <v>171</v>
      </c>
      <c r="F69" t="str">
        <f>VLOOKUP(E69, 'POS Categories'!$A$1:$B$1999, 2, FALSE)</f>
        <v>Food</v>
      </c>
    </row>
    <row r="70" spans="1:6" x14ac:dyDescent="0.25">
      <c r="A70">
        <v>44898</v>
      </c>
      <c r="B70">
        <v>-10.58</v>
      </c>
      <c r="C70" t="s">
        <v>385</v>
      </c>
      <c r="D70" t="s">
        <v>388</v>
      </c>
      <c r="E70" t="s">
        <v>408</v>
      </c>
      <c r="F70" t="str">
        <f>VLOOKUP(E70, 'POS Categories'!$A$1:$B$1999, 2, FALSE)</f>
        <v>Food</v>
      </c>
    </row>
    <row r="71" spans="1:6" x14ac:dyDescent="0.25">
      <c r="A71">
        <v>44897</v>
      </c>
      <c r="B71">
        <v>-15</v>
      </c>
      <c r="C71" t="s">
        <v>385</v>
      </c>
      <c r="D71" t="s">
        <v>388</v>
      </c>
      <c r="E71" t="s">
        <v>1198</v>
      </c>
      <c r="F71" t="str">
        <f>VLOOKUP(E71, 'POS Categories'!$A$1:$B$1999, 2, FALSE)</f>
        <v>Entertainment</v>
      </c>
    </row>
    <row r="72" spans="1:6" x14ac:dyDescent="0.25">
      <c r="A72">
        <v>44897</v>
      </c>
      <c r="B72">
        <v>-6.94</v>
      </c>
      <c r="C72" t="s">
        <v>385</v>
      </c>
      <c r="D72" t="s">
        <v>388</v>
      </c>
      <c r="E72" t="s">
        <v>1225</v>
      </c>
      <c r="F72" t="str">
        <f>VLOOKUP(E72, 'POS Categories'!$A$1:$B$1999, 2, FALSE)</f>
        <v>Food</v>
      </c>
    </row>
    <row r="73" spans="1:6" x14ac:dyDescent="0.25">
      <c r="A73">
        <v>44897</v>
      </c>
      <c r="B73">
        <v>-11.09</v>
      </c>
      <c r="C73" t="s">
        <v>385</v>
      </c>
      <c r="D73" t="s">
        <v>388</v>
      </c>
      <c r="E73" t="s">
        <v>240</v>
      </c>
      <c r="F73" t="str">
        <f>VLOOKUP(E73, 'POS Categories'!$A$1:$B$1999, 2, FALSE)</f>
        <v>Food</v>
      </c>
    </row>
    <row r="74" spans="1:6" x14ac:dyDescent="0.25">
      <c r="A74">
        <v>44897</v>
      </c>
      <c r="B74">
        <v>-15</v>
      </c>
      <c r="C74" t="s">
        <v>385</v>
      </c>
      <c r="D74" t="s">
        <v>388</v>
      </c>
      <c r="E74" t="s">
        <v>1277</v>
      </c>
      <c r="F74" t="str">
        <f>VLOOKUP(E74, 'POS Categories'!$A$1:$B$1999, 2, FALSE)</f>
        <v>Job</v>
      </c>
    </row>
    <row r="75" spans="1:6" x14ac:dyDescent="0.25">
      <c r="A75">
        <v>44897</v>
      </c>
      <c r="B75">
        <v>2021.83</v>
      </c>
      <c r="C75" t="s">
        <v>385</v>
      </c>
      <c r="D75" t="s">
        <v>386</v>
      </c>
      <c r="E75" t="s">
        <v>1193</v>
      </c>
      <c r="F75" t="str">
        <f>VLOOKUP(E75, 'POS Categories'!$A$1:$B$1999, 2, FALSE)</f>
        <v>Job</v>
      </c>
    </row>
    <row r="76" spans="1:6" x14ac:dyDescent="0.25">
      <c r="A76">
        <v>44896</v>
      </c>
      <c r="B76">
        <v>-1325</v>
      </c>
      <c r="C76" t="s">
        <v>385</v>
      </c>
      <c r="D76" t="s">
        <v>414</v>
      </c>
      <c r="E76" t="s">
        <v>1224</v>
      </c>
      <c r="F76" t="str">
        <f>VLOOKUP(E76, 'POS Categories'!$A$1:$B$1999, 2, FALSE)</f>
        <v>Rent</v>
      </c>
    </row>
    <row r="77" spans="1:6" x14ac:dyDescent="0.25">
      <c r="A77">
        <v>44896</v>
      </c>
      <c r="B77">
        <v>-15.74</v>
      </c>
      <c r="C77" t="s">
        <v>385</v>
      </c>
      <c r="D77" t="s">
        <v>388</v>
      </c>
      <c r="E77" t="s">
        <v>149</v>
      </c>
      <c r="F77" t="str">
        <f>VLOOKUP(E77, 'POS Categories'!$A$1:$B$1999, 2, FALSE)</f>
        <v>Food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5"/>
  <sheetViews>
    <sheetView workbookViewId="0">
      <selection sqref="A1:E500"/>
    </sheetView>
  </sheetViews>
  <sheetFormatPr defaultRowHeight="15" x14ac:dyDescent="0.25"/>
  <sheetData>
    <row r="1" spans="1:6" x14ac:dyDescent="0.25">
      <c r="A1">
        <v>44895</v>
      </c>
      <c r="B1">
        <v>-109.15</v>
      </c>
      <c r="C1" t="s">
        <v>385</v>
      </c>
      <c r="D1" t="s">
        <v>388</v>
      </c>
      <c r="E1" t="s">
        <v>1264</v>
      </c>
      <c r="F1" t="str">
        <f>VLOOKUP(E1, 'POS Categories'!$A$1:$B$1999, 2, FALSE)</f>
        <v>Gifts</v>
      </c>
    </row>
    <row r="2" spans="1:6" x14ac:dyDescent="0.25">
      <c r="A2">
        <v>44895</v>
      </c>
      <c r="B2">
        <v>-8.92</v>
      </c>
      <c r="C2" t="s">
        <v>385</v>
      </c>
      <c r="D2" t="s">
        <v>388</v>
      </c>
      <c r="E2" t="s">
        <v>408</v>
      </c>
      <c r="F2" t="str">
        <f>VLOOKUP(E2, 'POS Categories'!$A$1:$B$1999, 2, FALSE)</f>
        <v>Food</v>
      </c>
    </row>
    <row r="3" spans="1:6" x14ac:dyDescent="0.25">
      <c r="A3">
        <v>44895</v>
      </c>
      <c r="B3">
        <v>-83.23</v>
      </c>
      <c r="C3" t="s">
        <v>385</v>
      </c>
      <c r="D3" t="s">
        <v>388</v>
      </c>
      <c r="E3" t="s">
        <v>1243</v>
      </c>
      <c r="F3" t="str">
        <f>VLOOKUP(E3, 'POS Categories'!$A$1:$B$1999, 2, FALSE)</f>
        <v>Personal</v>
      </c>
    </row>
    <row r="4" spans="1:6" x14ac:dyDescent="0.25">
      <c r="A4">
        <v>44895</v>
      </c>
      <c r="B4">
        <v>-10.87</v>
      </c>
      <c r="C4" t="s">
        <v>385</v>
      </c>
      <c r="D4" t="s">
        <v>388</v>
      </c>
      <c r="E4" t="s">
        <v>174</v>
      </c>
      <c r="F4" t="str">
        <f>VLOOKUP(E4, 'POS Categories'!$A$1:$B$1999, 2, FALSE)</f>
        <v>Food</v>
      </c>
    </row>
    <row r="5" spans="1:6" x14ac:dyDescent="0.25">
      <c r="A5">
        <v>44894</v>
      </c>
      <c r="B5">
        <v>-17.29</v>
      </c>
      <c r="C5" t="s">
        <v>385</v>
      </c>
      <c r="D5" t="s">
        <v>388</v>
      </c>
      <c r="E5" t="s">
        <v>8</v>
      </c>
      <c r="F5" t="str">
        <f>VLOOKUP(E5, 'POS Categories'!$A$1:$B$1999, 2, FALSE)</f>
        <v>Food</v>
      </c>
    </row>
    <row r="6" spans="1:6" x14ac:dyDescent="0.25">
      <c r="A6">
        <v>44893</v>
      </c>
      <c r="B6">
        <v>-19.28</v>
      </c>
      <c r="C6" t="s">
        <v>385</v>
      </c>
      <c r="D6" t="s">
        <v>388</v>
      </c>
      <c r="E6" t="s">
        <v>142</v>
      </c>
      <c r="F6" t="str">
        <f>VLOOKUP(E6, 'POS Categories'!$A$1:$B$1999, 2, FALSE)</f>
        <v>Food</v>
      </c>
    </row>
    <row r="7" spans="1:6" x14ac:dyDescent="0.25">
      <c r="A7">
        <v>44893</v>
      </c>
      <c r="B7">
        <v>-11.18</v>
      </c>
      <c r="C7" t="s">
        <v>385</v>
      </c>
      <c r="D7" t="s">
        <v>388</v>
      </c>
      <c r="E7" t="s">
        <v>408</v>
      </c>
      <c r="F7" t="str">
        <f>VLOOKUP(E7, 'POS Categories'!$A$1:$B$1999, 2, FALSE)</f>
        <v>Food</v>
      </c>
    </row>
    <row r="8" spans="1:6" x14ac:dyDescent="0.25">
      <c r="A8">
        <v>44893</v>
      </c>
      <c r="B8">
        <v>-3.96</v>
      </c>
      <c r="C8" t="s">
        <v>385</v>
      </c>
      <c r="D8" t="s">
        <v>388</v>
      </c>
      <c r="E8" t="s">
        <v>1265</v>
      </c>
      <c r="F8" t="str">
        <f>VLOOKUP(E8, 'POS Categories'!$A$1:$B$1999, 2, FALSE)</f>
        <v>Vehicle</v>
      </c>
    </row>
    <row r="9" spans="1:6" x14ac:dyDescent="0.25">
      <c r="A9">
        <v>44891</v>
      </c>
      <c r="B9">
        <v>-64.91</v>
      </c>
      <c r="C9" t="s">
        <v>385</v>
      </c>
      <c r="D9" t="s">
        <v>388</v>
      </c>
      <c r="E9" t="s">
        <v>282</v>
      </c>
      <c r="F9" t="str">
        <f>VLOOKUP(E9, 'POS Categories'!$A$1:$B$1999, 2, FALSE)</f>
        <v>Vehicle</v>
      </c>
    </row>
    <row r="10" spans="1:6" x14ac:dyDescent="0.25">
      <c r="A10">
        <v>44891</v>
      </c>
      <c r="B10">
        <v>-35.04</v>
      </c>
      <c r="C10" t="s">
        <v>385</v>
      </c>
      <c r="D10" t="s">
        <v>388</v>
      </c>
      <c r="E10" t="s">
        <v>1266</v>
      </c>
      <c r="F10" t="str">
        <f>VLOOKUP(E10, 'POS Categories'!$A$1:$B$1999, 2, FALSE)</f>
        <v>Food</v>
      </c>
    </row>
    <row r="11" spans="1:6" x14ac:dyDescent="0.25">
      <c r="A11">
        <v>44891</v>
      </c>
      <c r="B11">
        <v>-44.45</v>
      </c>
      <c r="C11" t="s">
        <v>385</v>
      </c>
      <c r="D11" t="s">
        <v>388</v>
      </c>
      <c r="E11" t="s">
        <v>330</v>
      </c>
      <c r="F11" t="str">
        <f>VLOOKUP(E11, 'POS Categories'!$A$1:$B$1999, 2, FALSE)</f>
        <v>Vehicle</v>
      </c>
    </row>
    <row r="12" spans="1:6" x14ac:dyDescent="0.25">
      <c r="A12">
        <v>44891</v>
      </c>
      <c r="B12">
        <v>-16.079999999999998</v>
      </c>
      <c r="C12" t="s">
        <v>385</v>
      </c>
      <c r="D12" t="s">
        <v>388</v>
      </c>
      <c r="E12" t="s">
        <v>22</v>
      </c>
      <c r="F12" t="str">
        <f>VLOOKUP(E12, 'POS Categories'!$A$1:$B$1999, 2, FALSE)</f>
        <v>Entertainment</v>
      </c>
    </row>
    <row r="13" spans="1:6" x14ac:dyDescent="0.25">
      <c r="A13">
        <v>44890</v>
      </c>
      <c r="B13">
        <v>-11.18</v>
      </c>
      <c r="C13" t="s">
        <v>385</v>
      </c>
      <c r="D13" t="s">
        <v>388</v>
      </c>
      <c r="E13" t="s">
        <v>408</v>
      </c>
      <c r="F13" t="str">
        <f>VLOOKUP(E13, 'POS Categories'!$A$1:$B$1999, 2, FALSE)</f>
        <v>Food</v>
      </c>
    </row>
    <row r="14" spans="1:6" x14ac:dyDescent="0.25">
      <c r="A14">
        <v>44890</v>
      </c>
      <c r="B14">
        <v>-6.94</v>
      </c>
      <c r="C14" t="s">
        <v>385</v>
      </c>
      <c r="D14" t="s">
        <v>388</v>
      </c>
      <c r="E14" t="s">
        <v>1225</v>
      </c>
      <c r="F14" t="str">
        <f>VLOOKUP(E14, 'POS Categories'!$A$1:$B$1999, 2, FALSE)</f>
        <v>Food</v>
      </c>
    </row>
    <row r="15" spans="1:6" x14ac:dyDescent="0.25">
      <c r="A15">
        <v>44889</v>
      </c>
      <c r="B15">
        <v>-7.54</v>
      </c>
      <c r="C15" t="s">
        <v>385</v>
      </c>
      <c r="D15" t="s">
        <v>388</v>
      </c>
      <c r="E15" t="s">
        <v>408</v>
      </c>
      <c r="F15" t="str">
        <f>VLOOKUP(E15, 'POS Categories'!$A$1:$B$1999, 2, FALSE)</f>
        <v>Food</v>
      </c>
    </row>
    <row r="16" spans="1:6" x14ac:dyDescent="0.25">
      <c r="A16">
        <v>44889</v>
      </c>
      <c r="B16">
        <v>-15.3</v>
      </c>
      <c r="C16" t="s">
        <v>385</v>
      </c>
      <c r="D16" t="s">
        <v>388</v>
      </c>
      <c r="E16" t="s">
        <v>185</v>
      </c>
      <c r="F16" t="str">
        <f>VLOOKUP(E16, 'POS Categories'!$A$1:$B$1999, 2, FALSE)</f>
        <v>Food</v>
      </c>
    </row>
    <row r="17" spans="1:6" x14ac:dyDescent="0.25">
      <c r="A17">
        <v>44889</v>
      </c>
      <c r="B17">
        <v>-23.58</v>
      </c>
      <c r="C17" t="s">
        <v>385</v>
      </c>
      <c r="D17" t="s">
        <v>400</v>
      </c>
      <c r="E17" t="s">
        <v>401</v>
      </c>
      <c r="F17" t="str">
        <f>VLOOKUP(E17, 'POS Categories'!$A$1:$B$1999, 2, FALSE)</f>
        <v>Misc</v>
      </c>
    </row>
    <row r="18" spans="1:6" x14ac:dyDescent="0.25">
      <c r="A18">
        <v>44889</v>
      </c>
      <c r="B18">
        <v>-62.14</v>
      </c>
      <c r="C18" t="s">
        <v>385</v>
      </c>
      <c r="D18" t="s">
        <v>435</v>
      </c>
      <c r="E18" t="s">
        <v>1257</v>
      </c>
      <c r="F18" t="str">
        <f>VLOOKUP(E18, 'POS Categories'!$A$1:$B$1999, 2, FALSE)</f>
        <v>Power</v>
      </c>
    </row>
    <row r="19" spans="1:6" x14ac:dyDescent="0.25">
      <c r="A19">
        <v>44888</v>
      </c>
      <c r="B19">
        <v>-14.43</v>
      </c>
      <c r="C19" t="s">
        <v>385</v>
      </c>
      <c r="D19" t="s">
        <v>388</v>
      </c>
      <c r="E19" t="s">
        <v>1196</v>
      </c>
      <c r="F19" t="str">
        <f>VLOOKUP(E19, 'POS Categories'!$A$1:$B$1999, 2, FALSE)</f>
        <v>Food</v>
      </c>
    </row>
    <row r="20" spans="1:6" x14ac:dyDescent="0.25">
      <c r="A20">
        <v>44888</v>
      </c>
      <c r="B20">
        <v>-11.18</v>
      </c>
      <c r="C20" t="s">
        <v>385</v>
      </c>
      <c r="D20" t="s">
        <v>388</v>
      </c>
      <c r="E20" t="s">
        <v>408</v>
      </c>
      <c r="F20" t="str">
        <f>VLOOKUP(E20, 'POS Categories'!$A$1:$B$1999, 2, FALSE)</f>
        <v>Food</v>
      </c>
    </row>
    <row r="21" spans="1:6" x14ac:dyDescent="0.25">
      <c r="A21">
        <v>44888</v>
      </c>
      <c r="B21">
        <v>-25.24</v>
      </c>
      <c r="C21" t="s">
        <v>385</v>
      </c>
      <c r="D21" t="s">
        <v>388</v>
      </c>
      <c r="E21" t="s">
        <v>22</v>
      </c>
      <c r="F21" t="str">
        <f>VLOOKUP(E21, 'POS Categories'!$A$1:$B$1999, 2, FALSE)</f>
        <v>Entertainment</v>
      </c>
    </row>
    <row r="22" spans="1:6" x14ac:dyDescent="0.25">
      <c r="A22">
        <v>44887</v>
      </c>
      <c r="B22">
        <v>-19.739999999999998</v>
      </c>
      <c r="C22" t="s">
        <v>385</v>
      </c>
      <c r="D22" t="s">
        <v>388</v>
      </c>
      <c r="E22" t="s">
        <v>171</v>
      </c>
      <c r="F22" t="str">
        <f>VLOOKUP(E22, 'POS Categories'!$A$1:$B$1999, 2, FALSE)</f>
        <v>Food</v>
      </c>
    </row>
    <row r="23" spans="1:6" x14ac:dyDescent="0.25">
      <c r="A23">
        <v>44887</v>
      </c>
      <c r="B23">
        <v>-14.63</v>
      </c>
      <c r="C23" t="s">
        <v>385</v>
      </c>
      <c r="D23" t="s">
        <v>388</v>
      </c>
      <c r="E23" t="s">
        <v>174</v>
      </c>
      <c r="F23" t="str">
        <f>VLOOKUP(E23, 'POS Categories'!$A$1:$B$1999, 2, FALSE)</f>
        <v>Food</v>
      </c>
    </row>
    <row r="24" spans="1:6" x14ac:dyDescent="0.25">
      <c r="A24">
        <v>44886</v>
      </c>
      <c r="B24">
        <v>-13.4</v>
      </c>
      <c r="C24" t="s">
        <v>385</v>
      </c>
      <c r="D24" t="s">
        <v>388</v>
      </c>
      <c r="E24" t="s">
        <v>1238</v>
      </c>
      <c r="F24" t="str">
        <f>VLOOKUP(E24, 'POS Categories'!$A$1:$B$1999, 2, FALSE)</f>
        <v>Food</v>
      </c>
    </row>
    <row r="25" spans="1:6" x14ac:dyDescent="0.25">
      <c r="A25">
        <v>44886</v>
      </c>
      <c r="B25">
        <v>-19.07</v>
      </c>
      <c r="C25" t="s">
        <v>385</v>
      </c>
      <c r="D25" t="s">
        <v>388</v>
      </c>
      <c r="E25" t="s">
        <v>8</v>
      </c>
      <c r="F25" t="str">
        <f>VLOOKUP(E25, 'POS Categories'!$A$1:$B$1999, 2, FALSE)</f>
        <v>Food</v>
      </c>
    </row>
    <row r="26" spans="1:6" x14ac:dyDescent="0.25">
      <c r="A26">
        <v>44886</v>
      </c>
      <c r="B26">
        <v>-22.19</v>
      </c>
      <c r="C26" t="s">
        <v>385</v>
      </c>
      <c r="D26" t="s">
        <v>388</v>
      </c>
      <c r="E26" t="s">
        <v>1267</v>
      </c>
      <c r="F26" t="str">
        <f>VLOOKUP(E26, 'POS Categories'!$A$1:$B$1999, 2, FALSE)</f>
        <v>Entertainment</v>
      </c>
    </row>
    <row r="27" spans="1:6" x14ac:dyDescent="0.25">
      <c r="A27">
        <v>44886</v>
      </c>
      <c r="B27">
        <v>-19.18</v>
      </c>
      <c r="C27" t="s">
        <v>385</v>
      </c>
      <c r="D27" t="s">
        <v>388</v>
      </c>
      <c r="E27" t="s">
        <v>142</v>
      </c>
      <c r="F27" t="str">
        <f>VLOOKUP(E27, 'POS Categories'!$A$1:$B$1999, 2, FALSE)</f>
        <v>Food</v>
      </c>
    </row>
    <row r="28" spans="1:6" x14ac:dyDescent="0.25">
      <c r="A28">
        <v>44886</v>
      </c>
      <c r="B28">
        <v>-13.15</v>
      </c>
      <c r="C28" t="s">
        <v>385</v>
      </c>
      <c r="D28" t="s">
        <v>388</v>
      </c>
      <c r="E28" t="s">
        <v>408</v>
      </c>
      <c r="F28" t="str">
        <f>VLOOKUP(E28, 'POS Categories'!$A$1:$B$1999, 2, FALSE)</f>
        <v>Food</v>
      </c>
    </row>
    <row r="29" spans="1:6" x14ac:dyDescent="0.25">
      <c r="A29">
        <v>44884</v>
      </c>
      <c r="B29">
        <v>-6.94</v>
      </c>
      <c r="C29" t="s">
        <v>385</v>
      </c>
      <c r="D29" t="s">
        <v>388</v>
      </c>
      <c r="E29" t="s">
        <v>1225</v>
      </c>
      <c r="F29" t="str">
        <f>VLOOKUP(E29, 'POS Categories'!$A$1:$B$1999, 2, FALSE)</f>
        <v>Food</v>
      </c>
    </row>
    <row r="30" spans="1:6" x14ac:dyDescent="0.25">
      <c r="A30">
        <v>44884</v>
      </c>
      <c r="B30">
        <v>-11.09</v>
      </c>
      <c r="C30" t="s">
        <v>385</v>
      </c>
      <c r="D30" t="s">
        <v>388</v>
      </c>
      <c r="E30" t="s">
        <v>240</v>
      </c>
      <c r="F30" t="str">
        <f>VLOOKUP(E30, 'POS Categories'!$A$1:$B$1999, 2, FALSE)</f>
        <v>Food</v>
      </c>
    </row>
    <row r="31" spans="1:6" x14ac:dyDescent="0.25">
      <c r="A31">
        <v>44883</v>
      </c>
      <c r="B31">
        <v>-17.2</v>
      </c>
      <c r="C31" t="s">
        <v>385</v>
      </c>
      <c r="D31" t="s">
        <v>388</v>
      </c>
      <c r="E31" t="s">
        <v>174</v>
      </c>
      <c r="F31" t="str">
        <f>VLOOKUP(E31, 'POS Categories'!$A$1:$B$1999, 2, FALSE)</f>
        <v>Food</v>
      </c>
    </row>
    <row r="32" spans="1:6" x14ac:dyDescent="0.25">
      <c r="A32">
        <v>44883</v>
      </c>
      <c r="B32">
        <v>-12</v>
      </c>
      <c r="C32" t="s">
        <v>385</v>
      </c>
      <c r="D32" t="s">
        <v>388</v>
      </c>
      <c r="E32" t="s">
        <v>185</v>
      </c>
      <c r="F32" t="str">
        <f>VLOOKUP(E32, 'POS Categories'!$A$1:$B$1999, 2, FALSE)</f>
        <v>Food</v>
      </c>
    </row>
    <row r="33" spans="1:6" x14ac:dyDescent="0.25">
      <c r="A33">
        <v>44883</v>
      </c>
      <c r="B33">
        <v>1996.65</v>
      </c>
      <c r="C33" t="s">
        <v>385</v>
      </c>
      <c r="D33" t="s">
        <v>386</v>
      </c>
      <c r="E33" t="s">
        <v>1193</v>
      </c>
      <c r="F33" t="str">
        <f>VLOOKUP(E33, 'POS Categories'!$A$1:$B$1999, 2, FALSE)</f>
        <v>Job</v>
      </c>
    </row>
    <row r="34" spans="1:6" x14ac:dyDescent="0.25">
      <c r="A34">
        <v>44882</v>
      </c>
      <c r="B34">
        <v>-7.54</v>
      </c>
      <c r="C34" t="s">
        <v>385</v>
      </c>
      <c r="D34" t="s">
        <v>388</v>
      </c>
      <c r="E34" t="s">
        <v>408</v>
      </c>
      <c r="F34" t="str">
        <f>VLOOKUP(E34, 'POS Categories'!$A$1:$B$1999, 2, FALSE)</f>
        <v>Food</v>
      </c>
    </row>
    <row r="35" spans="1:6" x14ac:dyDescent="0.25">
      <c r="A35">
        <v>44882</v>
      </c>
      <c r="B35">
        <v>-62.34</v>
      </c>
      <c r="C35" t="s">
        <v>385</v>
      </c>
      <c r="D35" t="s">
        <v>388</v>
      </c>
      <c r="E35" t="s">
        <v>395</v>
      </c>
      <c r="F35" t="str">
        <f>VLOOKUP(E35, 'POS Categories'!$A$1:$B$1999, 2, FALSE)</f>
        <v>Vehicle</v>
      </c>
    </row>
    <row r="36" spans="1:6" x14ac:dyDescent="0.25">
      <c r="A36">
        <v>44882</v>
      </c>
      <c r="B36">
        <v>-31.81</v>
      </c>
      <c r="C36" t="s">
        <v>385</v>
      </c>
      <c r="D36" t="s">
        <v>388</v>
      </c>
      <c r="E36" t="s">
        <v>171</v>
      </c>
      <c r="F36" t="str">
        <f>VLOOKUP(E36, 'POS Categories'!$A$1:$B$1999, 2, FALSE)</f>
        <v>Food</v>
      </c>
    </row>
    <row r="37" spans="1:6" x14ac:dyDescent="0.25">
      <c r="A37">
        <v>44881</v>
      </c>
      <c r="B37">
        <v>-32.479999999999997</v>
      </c>
      <c r="C37" t="s">
        <v>385</v>
      </c>
      <c r="D37" t="s">
        <v>388</v>
      </c>
      <c r="E37" t="s">
        <v>8</v>
      </c>
      <c r="F37" t="str">
        <f>VLOOKUP(E37, 'POS Categories'!$A$1:$B$1999, 2, FALSE)</f>
        <v>Food</v>
      </c>
    </row>
    <row r="38" spans="1:6" x14ac:dyDescent="0.25">
      <c r="A38">
        <v>44880</v>
      </c>
      <c r="B38">
        <v>-19.07</v>
      </c>
      <c r="C38" t="s">
        <v>385</v>
      </c>
      <c r="D38" t="s">
        <v>388</v>
      </c>
      <c r="E38" t="s">
        <v>8</v>
      </c>
      <c r="F38" t="str">
        <f>VLOOKUP(E38, 'POS Categories'!$A$1:$B$1999, 2, FALSE)</f>
        <v>Food</v>
      </c>
    </row>
    <row r="39" spans="1:6" x14ac:dyDescent="0.25">
      <c r="A39">
        <v>44880</v>
      </c>
      <c r="B39">
        <v>-66.55</v>
      </c>
      <c r="C39" t="s">
        <v>385</v>
      </c>
      <c r="D39" t="s">
        <v>388</v>
      </c>
      <c r="E39" t="s">
        <v>175</v>
      </c>
      <c r="F39" t="str">
        <f>VLOOKUP(E39, 'POS Categories'!$A$1:$B$1999, 2, FALSE)</f>
        <v>Sasktel</v>
      </c>
    </row>
    <row r="40" spans="1:6" x14ac:dyDescent="0.25">
      <c r="A40">
        <v>44879</v>
      </c>
      <c r="B40">
        <v>-10.07</v>
      </c>
      <c r="C40" t="s">
        <v>385</v>
      </c>
      <c r="D40" t="s">
        <v>388</v>
      </c>
      <c r="E40" t="s">
        <v>408</v>
      </c>
      <c r="F40" t="str">
        <f>VLOOKUP(E40, 'POS Categories'!$A$1:$B$1999, 2, FALSE)</f>
        <v>Food</v>
      </c>
    </row>
    <row r="41" spans="1:6" x14ac:dyDescent="0.25">
      <c r="A41">
        <v>44879</v>
      </c>
      <c r="B41">
        <v>-19.739999999999998</v>
      </c>
      <c r="C41" t="s">
        <v>385</v>
      </c>
      <c r="D41" t="s">
        <v>388</v>
      </c>
      <c r="E41" t="s">
        <v>171</v>
      </c>
      <c r="F41" t="str">
        <f>VLOOKUP(E41, 'POS Categories'!$A$1:$B$1999, 2, FALSE)</f>
        <v>Food</v>
      </c>
    </row>
    <row r="42" spans="1:6" x14ac:dyDescent="0.25">
      <c r="A42">
        <v>44879</v>
      </c>
      <c r="B42">
        <v>-9.4700000000000006</v>
      </c>
      <c r="C42" t="s">
        <v>385</v>
      </c>
      <c r="D42" t="s">
        <v>388</v>
      </c>
      <c r="E42" t="s">
        <v>408</v>
      </c>
      <c r="F42" t="str">
        <f>VLOOKUP(E42, 'POS Categories'!$A$1:$B$1999, 2, FALSE)</f>
        <v>Food</v>
      </c>
    </row>
    <row r="43" spans="1:6" x14ac:dyDescent="0.25">
      <c r="A43">
        <v>44877</v>
      </c>
      <c r="B43">
        <v>-7.47</v>
      </c>
      <c r="C43" t="s">
        <v>385</v>
      </c>
      <c r="D43" t="s">
        <v>388</v>
      </c>
      <c r="E43" t="s">
        <v>241</v>
      </c>
      <c r="F43" t="str">
        <f>VLOOKUP(E43, 'POS Categories'!$A$1:$B$1999, 2, FALSE)</f>
        <v>Food</v>
      </c>
    </row>
    <row r="44" spans="1:6" x14ac:dyDescent="0.25">
      <c r="A44">
        <v>44877</v>
      </c>
      <c r="B44">
        <v>-15.74</v>
      </c>
      <c r="C44" t="s">
        <v>385</v>
      </c>
      <c r="D44" t="s">
        <v>388</v>
      </c>
      <c r="E44" t="s">
        <v>149</v>
      </c>
      <c r="F44" t="str">
        <f>VLOOKUP(E44, 'POS Categories'!$A$1:$B$1999, 2, FALSE)</f>
        <v>Food</v>
      </c>
    </row>
    <row r="45" spans="1:6" x14ac:dyDescent="0.25">
      <c r="A45">
        <v>44877</v>
      </c>
      <c r="B45">
        <v>-6.94</v>
      </c>
      <c r="C45" t="s">
        <v>385</v>
      </c>
      <c r="D45" t="s">
        <v>388</v>
      </c>
      <c r="E45" t="s">
        <v>1225</v>
      </c>
      <c r="F45" t="str">
        <f>VLOOKUP(E45, 'POS Categories'!$A$1:$B$1999, 2, FALSE)</f>
        <v>Food</v>
      </c>
    </row>
    <row r="46" spans="1:6" x14ac:dyDescent="0.25">
      <c r="A46">
        <v>44877</v>
      </c>
      <c r="B46">
        <v>-12.75</v>
      </c>
      <c r="C46" t="s">
        <v>385</v>
      </c>
      <c r="D46" t="s">
        <v>388</v>
      </c>
      <c r="E46" t="s">
        <v>240</v>
      </c>
      <c r="F46" t="str">
        <f>VLOOKUP(E46, 'POS Categories'!$A$1:$B$1999, 2, FALSE)</f>
        <v>Food</v>
      </c>
    </row>
    <row r="47" spans="1:6" x14ac:dyDescent="0.25">
      <c r="A47">
        <v>44875</v>
      </c>
      <c r="B47">
        <v>-19.28</v>
      </c>
      <c r="C47" t="s">
        <v>385</v>
      </c>
      <c r="D47" t="s">
        <v>388</v>
      </c>
      <c r="E47" t="s">
        <v>142</v>
      </c>
      <c r="F47" t="str">
        <f>VLOOKUP(E47, 'POS Categories'!$A$1:$B$1999, 2, FALSE)</f>
        <v>Food</v>
      </c>
    </row>
    <row r="48" spans="1:6" x14ac:dyDescent="0.25">
      <c r="A48">
        <v>44875</v>
      </c>
      <c r="B48">
        <v>-4.6500000000000004</v>
      </c>
      <c r="C48" t="s">
        <v>385</v>
      </c>
      <c r="D48" t="s">
        <v>388</v>
      </c>
      <c r="E48" t="s">
        <v>408</v>
      </c>
      <c r="F48" t="str">
        <f>VLOOKUP(E48, 'POS Categories'!$A$1:$B$1999, 2, FALSE)</f>
        <v>Food</v>
      </c>
    </row>
    <row r="49" spans="1:6" x14ac:dyDescent="0.25">
      <c r="A49">
        <v>44874</v>
      </c>
      <c r="B49">
        <v>-13.15</v>
      </c>
      <c r="C49" t="s">
        <v>385</v>
      </c>
      <c r="D49" t="s">
        <v>388</v>
      </c>
      <c r="E49" t="s">
        <v>185</v>
      </c>
      <c r="F49" t="str">
        <f>VLOOKUP(E49, 'POS Categories'!$A$1:$B$1999, 2, FALSE)</f>
        <v>Food</v>
      </c>
    </row>
    <row r="50" spans="1:6" x14ac:dyDescent="0.25">
      <c r="A50">
        <v>44873</v>
      </c>
      <c r="B50">
        <v>-15.18</v>
      </c>
      <c r="C50" t="s">
        <v>385</v>
      </c>
      <c r="D50" t="s">
        <v>388</v>
      </c>
      <c r="E50" t="s">
        <v>8</v>
      </c>
      <c r="F50" t="str">
        <f>VLOOKUP(E50, 'POS Categories'!$A$1:$B$1999, 2, FALSE)</f>
        <v>Food</v>
      </c>
    </row>
    <row r="51" spans="1:6" x14ac:dyDescent="0.25">
      <c r="A51">
        <v>44873</v>
      </c>
      <c r="B51">
        <v>-7.25</v>
      </c>
      <c r="C51" t="s">
        <v>385</v>
      </c>
      <c r="D51" t="s">
        <v>388</v>
      </c>
      <c r="E51" t="s">
        <v>148</v>
      </c>
      <c r="F51" t="str">
        <f>VLOOKUP(E51, 'POS Categories'!$A$1:$B$1999, 2, FALSE)</f>
        <v>Personal</v>
      </c>
    </row>
    <row r="52" spans="1:6" x14ac:dyDescent="0.25">
      <c r="A52">
        <v>44872</v>
      </c>
      <c r="B52">
        <v>-15.62</v>
      </c>
      <c r="C52" t="s">
        <v>385</v>
      </c>
      <c r="D52" t="s">
        <v>388</v>
      </c>
      <c r="E52" t="s">
        <v>174</v>
      </c>
      <c r="F52" t="str">
        <f>VLOOKUP(E52, 'POS Categories'!$A$1:$B$1999, 2, FALSE)</f>
        <v>Food</v>
      </c>
    </row>
    <row r="53" spans="1:6" x14ac:dyDescent="0.25">
      <c r="A53">
        <v>44872</v>
      </c>
      <c r="B53">
        <v>-10</v>
      </c>
      <c r="C53" t="s">
        <v>385</v>
      </c>
      <c r="D53" t="s">
        <v>466</v>
      </c>
      <c r="E53" t="s">
        <v>200</v>
      </c>
      <c r="F53" t="str">
        <f>VLOOKUP(E53, 'POS Categories'!$A$1:$B$1999, 2, FALSE)</f>
        <v>Bills</v>
      </c>
    </row>
    <row r="54" spans="1:6" x14ac:dyDescent="0.25">
      <c r="A54">
        <v>44872</v>
      </c>
      <c r="B54">
        <v>-23.58</v>
      </c>
      <c r="C54" t="s">
        <v>385</v>
      </c>
      <c r="D54" t="s">
        <v>400</v>
      </c>
      <c r="E54" t="s">
        <v>401</v>
      </c>
      <c r="F54" t="str">
        <f>VLOOKUP(E54, 'POS Categories'!$A$1:$B$1999, 2, FALSE)</f>
        <v>Misc</v>
      </c>
    </row>
    <row r="55" spans="1:6" x14ac:dyDescent="0.25">
      <c r="A55">
        <v>44872</v>
      </c>
      <c r="B55">
        <v>-54.98</v>
      </c>
      <c r="C55" t="s">
        <v>385</v>
      </c>
      <c r="D55" t="s">
        <v>388</v>
      </c>
      <c r="E55" t="s">
        <v>411</v>
      </c>
      <c r="F55" t="str">
        <f>VLOOKUP(E55, 'POS Categories'!$A$1:$B$1999, 2, FALSE)</f>
        <v>Sasktel</v>
      </c>
    </row>
    <row r="56" spans="1:6" x14ac:dyDescent="0.25">
      <c r="A56">
        <v>44872</v>
      </c>
      <c r="B56">
        <v>-10.24</v>
      </c>
      <c r="C56" t="s">
        <v>385</v>
      </c>
      <c r="D56" t="s">
        <v>388</v>
      </c>
      <c r="E56" t="s">
        <v>408</v>
      </c>
      <c r="F56" t="str">
        <f>VLOOKUP(E56, 'POS Categories'!$A$1:$B$1999, 2, FALSE)</f>
        <v>Food</v>
      </c>
    </row>
    <row r="57" spans="1:6" x14ac:dyDescent="0.25">
      <c r="A57">
        <v>44872</v>
      </c>
      <c r="B57">
        <v>-662.88</v>
      </c>
      <c r="C57" t="s">
        <v>385</v>
      </c>
      <c r="D57" t="s">
        <v>388</v>
      </c>
      <c r="E57" t="s">
        <v>1207</v>
      </c>
      <c r="F57" t="str">
        <f>VLOOKUP(E57, 'POS Categories'!$A$1:$B$1999, 2, FALSE)</f>
        <v>Entertainment</v>
      </c>
    </row>
    <row r="58" spans="1:6" x14ac:dyDescent="0.25">
      <c r="A58">
        <v>44870</v>
      </c>
      <c r="B58">
        <v>-194</v>
      </c>
      <c r="C58" t="s">
        <v>385</v>
      </c>
      <c r="D58" t="s">
        <v>388</v>
      </c>
      <c r="E58" t="s">
        <v>352</v>
      </c>
      <c r="F58" t="str">
        <f>VLOOKUP(E58, 'POS Categories'!$A$1:$B$1999, 2, FALSE)</f>
        <v>Bills</v>
      </c>
    </row>
    <row r="59" spans="1:6" x14ac:dyDescent="0.25">
      <c r="A59">
        <v>44869</v>
      </c>
      <c r="B59">
        <v>-6.48</v>
      </c>
      <c r="C59" t="s">
        <v>385</v>
      </c>
      <c r="D59" t="s">
        <v>388</v>
      </c>
      <c r="E59" t="s">
        <v>163</v>
      </c>
      <c r="F59" t="str">
        <f>VLOOKUP(E59, 'POS Categories'!$A$1:$B$1999, 2, FALSE)</f>
        <v>Vehicle</v>
      </c>
    </row>
    <row r="60" spans="1:6" x14ac:dyDescent="0.25">
      <c r="A60">
        <v>44869</v>
      </c>
      <c r="B60">
        <v>-46.16</v>
      </c>
      <c r="C60" t="s">
        <v>385</v>
      </c>
      <c r="D60" t="s">
        <v>388</v>
      </c>
      <c r="E60" t="s">
        <v>118</v>
      </c>
      <c r="F60" t="str">
        <f>VLOOKUP(E60, 'POS Categories'!$A$1:$B$1999, 2, FALSE)</f>
        <v>Food</v>
      </c>
    </row>
    <row r="61" spans="1:6" x14ac:dyDescent="0.25">
      <c r="A61">
        <v>44869</v>
      </c>
      <c r="B61">
        <v>-65.099999999999994</v>
      </c>
      <c r="C61" t="s">
        <v>385</v>
      </c>
      <c r="D61" t="s">
        <v>388</v>
      </c>
      <c r="E61" t="s">
        <v>236</v>
      </c>
      <c r="F61" t="str">
        <f>VLOOKUP(E61, 'POS Categories'!$A$1:$B$1999, 2, FALSE)</f>
        <v>Food</v>
      </c>
    </row>
    <row r="62" spans="1:6" x14ac:dyDescent="0.25">
      <c r="A62">
        <v>44869</v>
      </c>
      <c r="B62">
        <v>-6.27</v>
      </c>
      <c r="C62" t="s">
        <v>385</v>
      </c>
      <c r="D62" t="s">
        <v>388</v>
      </c>
      <c r="E62" t="s">
        <v>395</v>
      </c>
      <c r="F62" t="str">
        <f>VLOOKUP(E62, 'POS Categories'!$A$1:$B$1999, 2, FALSE)</f>
        <v>Vehicle</v>
      </c>
    </row>
    <row r="63" spans="1:6" x14ac:dyDescent="0.25">
      <c r="A63">
        <v>44869</v>
      </c>
      <c r="B63">
        <v>-38.74</v>
      </c>
      <c r="C63" t="s">
        <v>385</v>
      </c>
      <c r="D63" t="s">
        <v>388</v>
      </c>
      <c r="E63" t="s">
        <v>395</v>
      </c>
      <c r="F63" t="str">
        <f>VLOOKUP(E63, 'POS Categories'!$A$1:$B$1999, 2, FALSE)</f>
        <v>Vehicle</v>
      </c>
    </row>
    <row r="64" spans="1:6" x14ac:dyDescent="0.25">
      <c r="A64">
        <v>44869</v>
      </c>
      <c r="B64">
        <v>2072.5300000000002</v>
      </c>
      <c r="C64" t="s">
        <v>385</v>
      </c>
      <c r="D64" t="s">
        <v>386</v>
      </c>
      <c r="E64" t="s">
        <v>1193</v>
      </c>
      <c r="F64" t="str">
        <f>VLOOKUP(E64, 'POS Categories'!$A$1:$B$1999, 2, FALSE)</f>
        <v>Job</v>
      </c>
    </row>
    <row r="65" spans="1:6" x14ac:dyDescent="0.25">
      <c r="A65">
        <v>44868</v>
      </c>
      <c r="B65">
        <v>-2.71</v>
      </c>
      <c r="C65" t="s">
        <v>385</v>
      </c>
      <c r="D65" t="s">
        <v>388</v>
      </c>
      <c r="E65" t="s">
        <v>408</v>
      </c>
      <c r="F65" t="str">
        <f>VLOOKUP(E65, 'POS Categories'!$A$1:$B$1999, 2, FALSE)</f>
        <v>Food</v>
      </c>
    </row>
    <row r="66" spans="1:6" x14ac:dyDescent="0.25">
      <c r="A66">
        <v>44868</v>
      </c>
      <c r="B66">
        <v>-12.75</v>
      </c>
      <c r="C66" t="s">
        <v>385</v>
      </c>
      <c r="D66" t="s">
        <v>388</v>
      </c>
      <c r="E66" t="s">
        <v>205</v>
      </c>
      <c r="F66" t="str">
        <f>VLOOKUP(E66, 'POS Categories'!$A$1:$B$1999, 2, FALSE)</f>
        <v>Food</v>
      </c>
    </row>
    <row r="67" spans="1:6" x14ac:dyDescent="0.25">
      <c r="A67">
        <v>44868</v>
      </c>
      <c r="B67">
        <v>-5.5</v>
      </c>
      <c r="C67" t="s">
        <v>385</v>
      </c>
      <c r="D67" t="s">
        <v>388</v>
      </c>
      <c r="E67" t="s">
        <v>1225</v>
      </c>
      <c r="F67" t="str">
        <f>VLOOKUP(E67, 'POS Categories'!$A$1:$B$1999, 2, FALSE)</f>
        <v>Food</v>
      </c>
    </row>
    <row r="68" spans="1:6" x14ac:dyDescent="0.25">
      <c r="A68">
        <v>44868</v>
      </c>
      <c r="B68">
        <v>-12.8</v>
      </c>
      <c r="C68" t="s">
        <v>385</v>
      </c>
      <c r="D68" t="s">
        <v>388</v>
      </c>
      <c r="E68" t="s">
        <v>240</v>
      </c>
      <c r="F68" t="str">
        <f>VLOOKUP(E68, 'POS Categories'!$A$1:$B$1999, 2, FALSE)</f>
        <v>Food</v>
      </c>
    </row>
    <row r="69" spans="1:6" x14ac:dyDescent="0.25">
      <c r="A69">
        <v>44867</v>
      </c>
      <c r="B69">
        <v>-15.7</v>
      </c>
      <c r="C69" t="s">
        <v>385</v>
      </c>
      <c r="D69" t="s">
        <v>388</v>
      </c>
      <c r="E69" t="s">
        <v>1198</v>
      </c>
      <c r="F69" t="str">
        <f>VLOOKUP(E69, 'POS Categories'!$A$1:$B$1999, 2, FALSE)</f>
        <v>Entertainment</v>
      </c>
    </row>
    <row r="70" spans="1:6" x14ac:dyDescent="0.25">
      <c r="A70">
        <v>44867</v>
      </c>
      <c r="B70">
        <v>-12.2</v>
      </c>
      <c r="C70" t="s">
        <v>385</v>
      </c>
      <c r="D70" t="s">
        <v>388</v>
      </c>
      <c r="E70" t="s">
        <v>240</v>
      </c>
      <c r="F70" t="str">
        <f>VLOOKUP(E70, 'POS Categories'!$A$1:$B$1999, 2, FALSE)</f>
        <v>Food</v>
      </c>
    </row>
    <row r="71" spans="1:6" x14ac:dyDescent="0.25">
      <c r="A71">
        <v>44867</v>
      </c>
      <c r="B71">
        <v>-6.94</v>
      </c>
      <c r="C71" t="s">
        <v>385</v>
      </c>
      <c r="D71" t="s">
        <v>388</v>
      </c>
      <c r="E71" t="s">
        <v>1225</v>
      </c>
      <c r="F71" t="str">
        <f>VLOOKUP(E71, 'POS Categories'!$A$1:$B$1999, 2, FALSE)</f>
        <v>Food</v>
      </c>
    </row>
    <row r="72" spans="1:6" x14ac:dyDescent="0.25">
      <c r="A72">
        <v>44867</v>
      </c>
      <c r="B72">
        <v>-15.18</v>
      </c>
      <c r="C72" t="s">
        <v>385</v>
      </c>
      <c r="D72" t="s">
        <v>388</v>
      </c>
      <c r="E72" t="s">
        <v>8</v>
      </c>
      <c r="F72" t="str">
        <f>VLOOKUP(E72, 'POS Categories'!$A$1:$B$1999, 2, FALSE)</f>
        <v>Food</v>
      </c>
    </row>
    <row r="73" spans="1:6" x14ac:dyDescent="0.25">
      <c r="A73">
        <v>44866</v>
      </c>
      <c r="B73">
        <v>-1325</v>
      </c>
      <c r="C73" t="s">
        <v>385</v>
      </c>
      <c r="D73" t="s">
        <v>414</v>
      </c>
      <c r="E73" t="s">
        <v>1224</v>
      </c>
      <c r="F73" t="str">
        <f>VLOOKUP(E73, 'POS Categories'!$A$1:$B$1999, 2, FALSE)</f>
        <v>Rent</v>
      </c>
    </row>
    <row r="74" spans="1:6" x14ac:dyDescent="0.25">
      <c r="A74">
        <v>44866</v>
      </c>
      <c r="B74">
        <v>-19.739999999999998</v>
      </c>
      <c r="C74" t="s">
        <v>385</v>
      </c>
      <c r="D74" t="s">
        <v>388</v>
      </c>
      <c r="E74" t="s">
        <v>171</v>
      </c>
      <c r="F74" t="str">
        <f>VLOOKUP(E74, 'POS Categories'!$A$1:$B$1999, 2, FALSE)</f>
        <v>Food</v>
      </c>
    </row>
    <row r="75" spans="1:6" x14ac:dyDescent="0.25">
      <c r="A75">
        <v>44866</v>
      </c>
      <c r="B75">
        <v>-14.51</v>
      </c>
      <c r="C75" t="s">
        <v>385</v>
      </c>
      <c r="D75" t="s">
        <v>388</v>
      </c>
      <c r="E75" t="s">
        <v>174</v>
      </c>
      <c r="F75" t="str">
        <f>VLOOKUP(E75, 'POS Categories'!$A$1:$B$1999, 2, FALSE)</f>
        <v>Food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99"/>
  <sheetViews>
    <sheetView topLeftCell="A77" workbookViewId="0">
      <selection activeCell="F84" sqref="F84"/>
    </sheetView>
  </sheetViews>
  <sheetFormatPr defaultRowHeight="15" x14ac:dyDescent="0.25"/>
  <cols>
    <col min="5" max="5" width="36.140625" bestFit="1" customWidth="1"/>
  </cols>
  <sheetData>
    <row r="1" spans="1:6" x14ac:dyDescent="0.25">
      <c r="A1">
        <v>44865</v>
      </c>
      <c r="B1">
        <v>-2</v>
      </c>
      <c r="C1" t="s">
        <v>385</v>
      </c>
      <c r="D1" t="s">
        <v>388</v>
      </c>
      <c r="E1" t="s">
        <v>246</v>
      </c>
      <c r="F1" t="str">
        <f>VLOOKUP(E1, 'POS Categories'!$A$1:$B$1999, 2, FALSE)</f>
        <v>Food</v>
      </c>
    </row>
    <row r="2" spans="1:6" x14ac:dyDescent="0.25">
      <c r="A2">
        <v>44865</v>
      </c>
      <c r="B2">
        <v>-25.01</v>
      </c>
      <c r="C2" t="s">
        <v>385</v>
      </c>
      <c r="D2" t="s">
        <v>388</v>
      </c>
      <c r="E2" t="s">
        <v>246</v>
      </c>
      <c r="F2" t="str">
        <f>VLOOKUP(E2, 'POS Categories'!$A$1:$B$1999, 2, FALSE)</f>
        <v>Food</v>
      </c>
    </row>
    <row r="3" spans="1:6" x14ac:dyDescent="0.25">
      <c r="A3">
        <v>44865</v>
      </c>
      <c r="B3">
        <v>29.06</v>
      </c>
      <c r="C3" t="s">
        <v>385</v>
      </c>
      <c r="D3" t="s">
        <v>430</v>
      </c>
      <c r="E3" t="s">
        <v>246</v>
      </c>
      <c r="F3" t="str">
        <f>VLOOKUP(E3, 'POS Categories'!$A$1:$B$1999, 2, FALSE)</f>
        <v>Food</v>
      </c>
    </row>
    <row r="4" spans="1:6" x14ac:dyDescent="0.25">
      <c r="A4">
        <v>44865</v>
      </c>
      <c r="B4">
        <v>-29.06</v>
      </c>
      <c r="C4" t="s">
        <v>385</v>
      </c>
      <c r="D4" t="s">
        <v>388</v>
      </c>
      <c r="E4" t="s">
        <v>246</v>
      </c>
      <c r="F4" t="str">
        <f>VLOOKUP(E4, 'POS Categories'!$A$1:$B$1999, 2, FALSE)</f>
        <v>Food</v>
      </c>
    </row>
    <row r="5" spans="1:6" x14ac:dyDescent="0.25">
      <c r="A5">
        <v>44865</v>
      </c>
      <c r="B5">
        <v>-12.3</v>
      </c>
      <c r="C5" t="s">
        <v>385</v>
      </c>
      <c r="D5" t="s">
        <v>388</v>
      </c>
      <c r="E5" t="s">
        <v>185</v>
      </c>
      <c r="F5" t="str">
        <f>VLOOKUP(E5, 'POS Categories'!$A$1:$B$1999, 2, FALSE)</f>
        <v>Food</v>
      </c>
    </row>
    <row r="6" spans="1:6" x14ac:dyDescent="0.25">
      <c r="A6">
        <v>44865</v>
      </c>
      <c r="B6">
        <v>-18.95</v>
      </c>
      <c r="C6" t="s">
        <v>385</v>
      </c>
      <c r="D6" t="s">
        <v>388</v>
      </c>
      <c r="E6" t="s">
        <v>142</v>
      </c>
      <c r="F6" t="str">
        <f>VLOOKUP(E6, 'POS Categories'!$A$1:$B$1999, 2, FALSE)</f>
        <v>Food</v>
      </c>
    </row>
    <row r="7" spans="1:6" x14ac:dyDescent="0.25">
      <c r="A7">
        <v>44865</v>
      </c>
      <c r="B7">
        <v>-12.04</v>
      </c>
      <c r="C7" t="s">
        <v>385</v>
      </c>
      <c r="D7" t="s">
        <v>388</v>
      </c>
      <c r="E7" t="s">
        <v>408</v>
      </c>
      <c r="F7" t="str">
        <f>VLOOKUP(E7, 'POS Categories'!$A$1:$B$1999, 2, FALSE)</f>
        <v>Food</v>
      </c>
    </row>
    <row r="8" spans="1:6" x14ac:dyDescent="0.25">
      <c r="A8">
        <v>44863</v>
      </c>
      <c r="B8">
        <v>-16.809999999999999</v>
      </c>
      <c r="C8" t="s">
        <v>385</v>
      </c>
      <c r="D8" t="s">
        <v>388</v>
      </c>
      <c r="E8" t="s">
        <v>171</v>
      </c>
      <c r="F8" t="str">
        <f>VLOOKUP(E8, 'POS Categories'!$A$1:$B$1999, 2, FALSE)</f>
        <v>Food</v>
      </c>
    </row>
    <row r="9" spans="1:6" x14ac:dyDescent="0.25">
      <c r="A9">
        <v>44863</v>
      </c>
      <c r="B9">
        <v>-6.94</v>
      </c>
      <c r="C9" t="s">
        <v>385</v>
      </c>
      <c r="D9" t="s">
        <v>388</v>
      </c>
      <c r="E9" t="s">
        <v>1225</v>
      </c>
      <c r="F9" t="str">
        <f>VLOOKUP(E9, 'POS Categories'!$A$1:$B$1999, 2, FALSE)</f>
        <v>Food</v>
      </c>
    </row>
    <row r="10" spans="1:6" x14ac:dyDescent="0.25">
      <c r="A10">
        <v>44863</v>
      </c>
      <c r="B10">
        <v>-12.2</v>
      </c>
      <c r="C10" t="s">
        <v>385</v>
      </c>
      <c r="D10" t="s">
        <v>388</v>
      </c>
      <c r="E10" t="s">
        <v>240</v>
      </c>
      <c r="F10" t="str">
        <f>VLOOKUP(E10, 'POS Categories'!$A$1:$B$1999, 2, FALSE)</f>
        <v>Food</v>
      </c>
    </row>
    <row r="11" spans="1:6" x14ac:dyDescent="0.25">
      <c r="A11">
        <v>44862</v>
      </c>
      <c r="B11">
        <v>-10.52</v>
      </c>
      <c r="C11" t="s">
        <v>385</v>
      </c>
      <c r="D11" t="s">
        <v>388</v>
      </c>
      <c r="E11" t="s">
        <v>408</v>
      </c>
      <c r="F11" t="str">
        <f>VLOOKUP(E11, 'POS Categories'!$A$1:$B$1999, 2, FALSE)</f>
        <v>Food</v>
      </c>
    </row>
    <row r="12" spans="1:6" x14ac:dyDescent="0.25">
      <c r="A12">
        <v>44861</v>
      </c>
      <c r="B12">
        <v>-14.96</v>
      </c>
      <c r="C12" t="s">
        <v>385</v>
      </c>
      <c r="D12" t="s">
        <v>388</v>
      </c>
      <c r="E12" t="s">
        <v>174</v>
      </c>
      <c r="F12" t="str">
        <f>VLOOKUP(E12, 'POS Categories'!$A$1:$B$1999, 2, FALSE)</f>
        <v>Food</v>
      </c>
    </row>
    <row r="13" spans="1:6" x14ac:dyDescent="0.25">
      <c r="A13">
        <v>44860</v>
      </c>
      <c r="B13">
        <v>-4.1399999999999997</v>
      </c>
      <c r="C13" t="s">
        <v>385</v>
      </c>
      <c r="D13" t="s">
        <v>388</v>
      </c>
      <c r="E13" t="s">
        <v>246</v>
      </c>
      <c r="F13" t="str">
        <f>VLOOKUP(E13, 'POS Categories'!$A$1:$B$1999, 2, FALSE)</f>
        <v>Food</v>
      </c>
    </row>
    <row r="14" spans="1:6" x14ac:dyDescent="0.25">
      <c r="A14">
        <v>44860</v>
      </c>
      <c r="B14">
        <v>-27.6</v>
      </c>
      <c r="C14" t="s">
        <v>385</v>
      </c>
      <c r="D14" t="s">
        <v>388</v>
      </c>
      <c r="E14" t="s">
        <v>378</v>
      </c>
      <c r="F14" t="str">
        <f>VLOOKUP(E14, 'POS Categories'!$A$1:$B$1999, 2, FALSE)</f>
        <v>Food</v>
      </c>
    </row>
    <row r="15" spans="1:6" x14ac:dyDescent="0.25">
      <c r="A15">
        <v>44860</v>
      </c>
      <c r="B15">
        <v>31.74</v>
      </c>
      <c r="C15" t="s">
        <v>385</v>
      </c>
      <c r="D15" t="s">
        <v>430</v>
      </c>
      <c r="E15" t="s">
        <v>378</v>
      </c>
      <c r="F15" t="str">
        <f>VLOOKUP(E15, 'POS Categories'!$A$1:$B$1999, 2, FALSE)</f>
        <v>Food</v>
      </c>
    </row>
    <row r="16" spans="1:6" x14ac:dyDescent="0.25">
      <c r="A16">
        <v>44860</v>
      </c>
      <c r="B16">
        <v>-31.74</v>
      </c>
      <c r="C16" t="s">
        <v>385</v>
      </c>
      <c r="D16" t="s">
        <v>388</v>
      </c>
      <c r="E16" t="s">
        <v>378</v>
      </c>
      <c r="F16" t="str">
        <f>VLOOKUP(E16, 'POS Categories'!$A$1:$B$1999, 2, FALSE)</f>
        <v>Food</v>
      </c>
    </row>
    <row r="17" spans="1:6" x14ac:dyDescent="0.25">
      <c r="A17">
        <v>44860</v>
      </c>
      <c r="B17">
        <v>-10.19</v>
      </c>
      <c r="C17" t="s">
        <v>385</v>
      </c>
      <c r="D17" t="s">
        <v>388</v>
      </c>
      <c r="E17" t="s">
        <v>171</v>
      </c>
      <c r="F17" t="str">
        <f>VLOOKUP(E17, 'POS Categories'!$A$1:$B$1999, 2, FALSE)</f>
        <v>Food</v>
      </c>
    </row>
    <row r="18" spans="1:6" x14ac:dyDescent="0.25">
      <c r="A18">
        <v>44860</v>
      </c>
      <c r="B18">
        <v>-7.58</v>
      </c>
      <c r="C18" t="s">
        <v>385</v>
      </c>
      <c r="D18" t="s">
        <v>388</v>
      </c>
      <c r="E18" t="s">
        <v>408</v>
      </c>
      <c r="F18" t="str">
        <f>VLOOKUP(E18, 'POS Categories'!$A$1:$B$1999, 2, FALSE)</f>
        <v>Food</v>
      </c>
    </row>
    <row r="19" spans="1:6" x14ac:dyDescent="0.25">
      <c r="A19">
        <v>44859</v>
      </c>
      <c r="B19">
        <v>-15.74</v>
      </c>
      <c r="C19" t="s">
        <v>385</v>
      </c>
      <c r="D19" t="s">
        <v>388</v>
      </c>
      <c r="E19" t="s">
        <v>149</v>
      </c>
      <c r="F19" t="str">
        <f>VLOOKUP(E19, 'POS Categories'!$A$1:$B$1999, 2, FALSE)</f>
        <v>Food</v>
      </c>
    </row>
    <row r="20" spans="1:6" x14ac:dyDescent="0.25">
      <c r="A20">
        <v>44859</v>
      </c>
      <c r="B20">
        <v>-34.590000000000003</v>
      </c>
      <c r="C20" t="s">
        <v>385</v>
      </c>
      <c r="D20" t="s">
        <v>388</v>
      </c>
      <c r="E20" t="s">
        <v>8</v>
      </c>
      <c r="F20" t="str">
        <f>VLOOKUP(E20, 'POS Categories'!$A$1:$B$1999, 2, FALSE)</f>
        <v>Food</v>
      </c>
    </row>
    <row r="21" spans="1:6" x14ac:dyDescent="0.25">
      <c r="A21">
        <v>44858</v>
      </c>
      <c r="B21">
        <v>-17.29</v>
      </c>
      <c r="C21" t="s">
        <v>385</v>
      </c>
      <c r="D21" t="s">
        <v>388</v>
      </c>
      <c r="E21" t="s">
        <v>8</v>
      </c>
      <c r="F21" t="str">
        <f>VLOOKUP(E21, 'POS Categories'!$A$1:$B$1999, 2, FALSE)</f>
        <v>Food</v>
      </c>
    </row>
    <row r="22" spans="1:6" x14ac:dyDescent="0.25">
      <c r="A22">
        <v>44858</v>
      </c>
      <c r="B22">
        <v>-73.75</v>
      </c>
      <c r="C22" t="s">
        <v>385</v>
      </c>
      <c r="D22" t="s">
        <v>388</v>
      </c>
      <c r="E22" t="s">
        <v>395</v>
      </c>
      <c r="F22" t="str">
        <f>VLOOKUP(E22, 'POS Categories'!$A$1:$B$1999, 2, FALSE)</f>
        <v>Vehicle</v>
      </c>
    </row>
    <row r="23" spans="1:6" x14ac:dyDescent="0.25">
      <c r="A23">
        <v>44858</v>
      </c>
      <c r="B23">
        <v>-11.18</v>
      </c>
      <c r="C23" t="s">
        <v>385</v>
      </c>
      <c r="D23" t="s">
        <v>388</v>
      </c>
      <c r="E23" t="s">
        <v>408</v>
      </c>
      <c r="F23" t="str">
        <f>VLOOKUP(E23, 'POS Categories'!$A$1:$B$1999, 2, FALSE)</f>
        <v>Food</v>
      </c>
    </row>
    <row r="24" spans="1:6" x14ac:dyDescent="0.25">
      <c r="A24">
        <v>44858</v>
      </c>
      <c r="B24">
        <v>-15.87</v>
      </c>
      <c r="C24" t="s">
        <v>385</v>
      </c>
      <c r="D24" t="s">
        <v>388</v>
      </c>
      <c r="E24" t="s">
        <v>1196</v>
      </c>
      <c r="F24" t="str">
        <f>VLOOKUP(E24, 'POS Categories'!$A$1:$B$1999, 2, FALSE)</f>
        <v>Food</v>
      </c>
    </row>
    <row r="25" spans="1:6" x14ac:dyDescent="0.25">
      <c r="A25">
        <v>44858</v>
      </c>
      <c r="B25">
        <v>-62.92</v>
      </c>
      <c r="C25" t="s">
        <v>385</v>
      </c>
      <c r="D25" t="s">
        <v>388</v>
      </c>
      <c r="E25" t="s">
        <v>261</v>
      </c>
      <c r="F25" t="str">
        <f>VLOOKUP(E25, 'POS Categories'!$A$1:$B$1999, 2, FALSE)</f>
        <v>Home</v>
      </c>
    </row>
    <row r="26" spans="1:6" x14ac:dyDescent="0.25">
      <c r="A26">
        <v>44858</v>
      </c>
      <c r="B26">
        <v>-11.35</v>
      </c>
      <c r="C26" t="s">
        <v>385</v>
      </c>
      <c r="D26" t="s">
        <v>388</v>
      </c>
      <c r="E26" t="s">
        <v>408</v>
      </c>
      <c r="F26" t="str">
        <f>VLOOKUP(E26, 'POS Categories'!$A$1:$B$1999, 2, FALSE)</f>
        <v>Food</v>
      </c>
    </row>
    <row r="27" spans="1:6" x14ac:dyDescent="0.25">
      <c r="A27">
        <v>44856</v>
      </c>
      <c r="B27">
        <v>-9.98</v>
      </c>
      <c r="C27" t="s">
        <v>385</v>
      </c>
      <c r="D27" t="s">
        <v>388</v>
      </c>
      <c r="E27" t="s">
        <v>213</v>
      </c>
      <c r="F27" t="str">
        <f>VLOOKUP(E27, 'POS Categories'!$A$1:$B$1999, 2, FALSE)</f>
        <v>Entertainment</v>
      </c>
    </row>
    <row r="28" spans="1:6" x14ac:dyDescent="0.25">
      <c r="A28">
        <v>44856</v>
      </c>
      <c r="B28">
        <v>-15.3</v>
      </c>
      <c r="C28" t="s">
        <v>385</v>
      </c>
      <c r="D28" t="s">
        <v>388</v>
      </c>
      <c r="E28" t="s">
        <v>185</v>
      </c>
      <c r="F28" t="str">
        <f>VLOOKUP(E28, 'POS Categories'!$A$1:$B$1999, 2, FALSE)</f>
        <v>Food</v>
      </c>
    </row>
    <row r="29" spans="1:6" x14ac:dyDescent="0.25">
      <c r="A29">
        <v>44856</v>
      </c>
      <c r="B29">
        <v>-64.069999999999993</v>
      </c>
      <c r="C29" t="s">
        <v>385</v>
      </c>
      <c r="D29" t="s">
        <v>435</v>
      </c>
      <c r="E29" t="s">
        <v>1257</v>
      </c>
      <c r="F29" t="str">
        <f>VLOOKUP(E29, 'POS Categories'!$A$1:$B$1999, 2, FALSE)</f>
        <v>Power</v>
      </c>
    </row>
    <row r="30" spans="1:6" x14ac:dyDescent="0.25">
      <c r="A30">
        <v>44856</v>
      </c>
      <c r="B30">
        <v>-10.63</v>
      </c>
      <c r="C30" t="s">
        <v>385</v>
      </c>
      <c r="D30" t="s">
        <v>388</v>
      </c>
      <c r="E30" t="s">
        <v>408</v>
      </c>
      <c r="F30" t="str">
        <f>VLOOKUP(E30, 'POS Categories'!$A$1:$B$1999, 2, FALSE)</f>
        <v>Food</v>
      </c>
    </row>
    <row r="31" spans="1:6" x14ac:dyDescent="0.25">
      <c r="A31">
        <v>44855</v>
      </c>
      <c r="B31">
        <v>-18.95</v>
      </c>
      <c r="C31" t="s">
        <v>385</v>
      </c>
      <c r="D31" t="s">
        <v>388</v>
      </c>
      <c r="E31" t="s">
        <v>142</v>
      </c>
      <c r="F31" t="str">
        <f>VLOOKUP(E31, 'POS Categories'!$A$1:$B$1999, 2, FALSE)</f>
        <v>Food</v>
      </c>
    </row>
    <row r="32" spans="1:6" x14ac:dyDescent="0.25">
      <c r="A32">
        <v>44855</v>
      </c>
      <c r="B32">
        <v>-6.94</v>
      </c>
      <c r="C32" t="s">
        <v>385</v>
      </c>
      <c r="D32" t="s">
        <v>388</v>
      </c>
      <c r="E32" t="s">
        <v>1225</v>
      </c>
      <c r="F32" t="str">
        <f>VLOOKUP(E32, 'POS Categories'!$A$1:$B$1999, 2, FALSE)</f>
        <v>Food</v>
      </c>
    </row>
    <row r="33" spans="1:6" x14ac:dyDescent="0.25">
      <c r="A33">
        <v>44855</v>
      </c>
      <c r="B33">
        <v>1996.65</v>
      </c>
      <c r="C33" t="s">
        <v>385</v>
      </c>
      <c r="D33" t="s">
        <v>386</v>
      </c>
      <c r="E33" t="s">
        <v>1193</v>
      </c>
      <c r="F33" t="str">
        <f>VLOOKUP(E33, 'POS Categories'!$A$1:$B$1999, 2, FALSE)</f>
        <v>Job</v>
      </c>
    </row>
    <row r="34" spans="1:6" x14ac:dyDescent="0.25">
      <c r="A34">
        <v>44854</v>
      </c>
      <c r="B34">
        <v>-8.3000000000000007</v>
      </c>
      <c r="C34" t="s">
        <v>385</v>
      </c>
      <c r="D34" t="s">
        <v>388</v>
      </c>
      <c r="E34" t="s">
        <v>408</v>
      </c>
      <c r="F34" t="str">
        <f>VLOOKUP(E34, 'POS Categories'!$A$1:$B$1999, 2, FALSE)</f>
        <v>Food</v>
      </c>
    </row>
    <row r="35" spans="1:6" x14ac:dyDescent="0.25">
      <c r="A35">
        <v>44853</v>
      </c>
      <c r="B35">
        <v>-24.41</v>
      </c>
      <c r="C35" t="s">
        <v>385</v>
      </c>
      <c r="D35" t="s">
        <v>388</v>
      </c>
      <c r="E35" t="s">
        <v>1246</v>
      </c>
      <c r="F35" t="str">
        <f>VLOOKUP(E35, 'POS Categories'!$A$1:$B$1999, 2, FALSE)</f>
        <v>Food</v>
      </c>
    </row>
    <row r="36" spans="1:6" x14ac:dyDescent="0.25">
      <c r="A36">
        <v>44853</v>
      </c>
      <c r="B36">
        <v>-17.29</v>
      </c>
      <c r="C36" t="s">
        <v>385</v>
      </c>
      <c r="D36" t="s">
        <v>388</v>
      </c>
      <c r="E36" t="s">
        <v>8</v>
      </c>
      <c r="F36" t="str">
        <f>VLOOKUP(E36, 'POS Categories'!$A$1:$B$1999, 2, FALSE)</f>
        <v>Food</v>
      </c>
    </row>
    <row r="37" spans="1:6" x14ac:dyDescent="0.25">
      <c r="A37">
        <v>44852</v>
      </c>
      <c r="B37">
        <v>-19.739999999999998</v>
      </c>
      <c r="C37" t="s">
        <v>385</v>
      </c>
      <c r="D37" t="s">
        <v>388</v>
      </c>
      <c r="E37" t="s">
        <v>171</v>
      </c>
      <c r="F37" t="str">
        <f>VLOOKUP(E37, 'POS Categories'!$A$1:$B$1999, 2, FALSE)</f>
        <v>Food</v>
      </c>
    </row>
    <row r="38" spans="1:6" x14ac:dyDescent="0.25">
      <c r="A38">
        <v>44852</v>
      </c>
      <c r="B38">
        <v>-14.96</v>
      </c>
      <c r="C38" t="s">
        <v>385</v>
      </c>
      <c r="D38" t="s">
        <v>388</v>
      </c>
      <c r="E38" t="s">
        <v>174</v>
      </c>
      <c r="F38" t="str">
        <f>VLOOKUP(E38, 'POS Categories'!$A$1:$B$1999, 2, FALSE)</f>
        <v>Food</v>
      </c>
    </row>
    <row r="39" spans="1:6" x14ac:dyDescent="0.25">
      <c r="A39">
        <v>44851</v>
      </c>
      <c r="B39">
        <v>-12</v>
      </c>
      <c r="C39" t="s">
        <v>385</v>
      </c>
      <c r="D39" t="s">
        <v>388</v>
      </c>
      <c r="E39" t="s">
        <v>185</v>
      </c>
      <c r="F39" t="str">
        <f>VLOOKUP(E39, 'POS Categories'!$A$1:$B$1999, 2, FALSE)</f>
        <v>Food</v>
      </c>
    </row>
    <row r="40" spans="1:6" x14ac:dyDescent="0.25">
      <c r="A40">
        <v>44851</v>
      </c>
      <c r="B40">
        <v>-11.18</v>
      </c>
      <c r="C40" t="s">
        <v>385</v>
      </c>
      <c r="D40" t="s">
        <v>388</v>
      </c>
      <c r="E40" t="s">
        <v>408</v>
      </c>
      <c r="F40" t="str">
        <f>VLOOKUP(E40, 'POS Categories'!$A$1:$B$1999, 2, FALSE)</f>
        <v>Food</v>
      </c>
    </row>
    <row r="41" spans="1:6" x14ac:dyDescent="0.25">
      <c r="A41">
        <v>44851</v>
      </c>
      <c r="B41">
        <v>-5.5</v>
      </c>
      <c r="C41" t="s">
        <v>385</v>
      </c>
      <c r="D41" t="s">
        <v>388</v>
      </c>
      <c r="E41" t="s">
        <v>1225</v>
      </c>
      <c r="F41" t="str">
        <f>VLOOKUP(E41, 'POS Categories'!$A$1:$B$1999, 2, FALSE)</f>
        <v>Food</v>
      </c>
    </row>
    <row r="42" spans="1:6" x14ac:dyDescent="0.25">
      <c r="A42">
        <v>44851</v>
      </c>
      <c r="B42">
        <v>-11.09</v>
      </c>
      <c r="C42" t="s">
        <v>385</v>
      </c>
      <c r="D42" t="s">
        <v>388</v>
      </c>
      <c r="E42" t="s">
        <v>240</v>
      </c>
      <c r="F42" t="str">
        <f>VLOOKUP(E42, 'POS Categories'!$A$1:$B$1999, 2, FALSE)</f>
        <v>Food</v>
      </c>
    </row>
    <row r="43" spans="1:6" x14ac:dyDescent="0.25">
      <c r="A43">
        <v>44849</v>
      </c>
      <c r="B43">
        <v>-14.97</v>
      </c>
      <c r="C43" t="s">
        <v>385</v>
      </c>
      <c r="D43" t="s">
        <v>388</v>
      </c>
      <c r="E43" t="s">
        <v>142</v>
      </c>
      <c r="F43" t="str">
        <f>VLOOKUP(E43, 'POS Categories'!$A$1:$B$1999, 2, FALSE)</f>
        <v>Food</v>
      </c>
    </row>
    <row r="44" spans="1:6" x14ac:dyDescent="0.25">
      <c r="A44">
        <v>44849</v>
      </c>
      <c r="B44">
        <v>14.97</v>
      </c>
      <c r="C44" t="s">
        <v>385</v>
      </c>
      <c r="D44" t="s">
        <v>430</v>
      </c>
      <c r="E44" t="s">
        <v>142</v>
      </c>
      <c r="F44" t="str">
        <f>VLOOKUP(E44, 'POS Categories'!$A$1:$B$1999, 2, FALSE)</f>
        <v>Food</v>
      </c>
    </row>
    <row r="45" spans="1:6" x14ac:dyDescent="0.25">
      <c r="A45">
        <v>44849</v>
      </c>
      <c r="B45">
        <v>-14.97</v>
      </c>
      <c r="C45" t="s">
        <v>385</v>
      </c>
      <c r="D45" t="s">
        <v>388</v>
      </c>
      <c r="E45" t="s">
        <v>142</v>
      </c>
      <c r="F45" t="str">
        <f>VLOOKUP(E45, 'POS Categories'!$A$1:$B$1999, 2, FALSE)</f>
        <v>Food</v>
      </c>
    </row>
    <row r="46" spans="1:6" x14ac:dyDescent="0.25">
      <c r="A46">
        <v>44849</v>
      </c>
      <c r="B46">
        <v>-25.75</v>
      </c>
      <c r="C46" t="s">
        <v>385</v>
      </c>
      <c r="D46" t="s">
        <v>388</v>
      </c>
      <c r="E46" t="s">
        <v>408</v>
      </c>
      <c r="F46" t="str">
        <f>VLOOKUP(E46, 'POS Categories'!$A$1:$B$1999, 2, FALSE)</f>
        <v>Food</v>
      </c>
    </row>
    <row r="47" spans="1:6" x14ac:dyDescent="0.25">
      <c r="A47">
        <v>44849</v>
      </c>
      <c r="B47">
        <v>-66.55</v>
      </c>
      <c r="C47" t="s">
        <v>385</v>
      </c>
      <c r="D47" t="s">
        <v>388</v>
      </c>
      <c r="E47" t="s">
        <v>175</v>
      </c>
      <c r="F47" t="str">
        <f>VLOOKUP(E47, 'POS Categories'!$A$1:$B$1999, 2, FALSE)</f>
        <v>Sasktel</v>
      </c>
    </row>
    <row r="48" spans="1:6" x14ac:dyDescent="0.25">
      <c r="A48">
        <v>44848</v>
      </c>
      <c r="B48">
        <v>-68.38</v>
      </c>
      <c r="C48" t="s">
        <v>385</v>
      </c>
      <c r="D48" t="s">
        <v>388</v>
      </c>
      <c r="E48" t="s">
        <v>1258</v>
      </c>
      <c r="F48" t="str">
        <f>VLOOKUP(E48, 'POS Categories'!$A$1:$B$1999, 2, FALSE)</f>
        <v>Unknown</v>
      </c>
    </row>
    <row r="49" spans="1:6" x14ac:dyDescent="0.25">
      <c r="A49">
        <v>44848</v>
      </c>
      <c r="B49">
        <v>-7.15</v>
      </c>
      <c r="C49" t="s">
        <v>385</v>
      </c>
      <c r="D49" t="s">
        <v>388</v>
      </c>
      <c r="E49" t="s">
        <v>241</v>
      </c>
      <c r="F49" t="str">
        <f>VLOOKUP(E49, 'POS Categories'!$A$1:$B$1999, 2, FALSE)</f>
        <v>Food</v>
      </c>
    </row>
    <row r="50" spans="1:6" x14ac:dyDescent="0.25">
      <c r="A50">
        <v>44848</v>
      </c>
      <c r="B50">
        <v>-22.64</v>
      </c>
      <c r="C50" t="s">
        <v>385</v>
      </c>
      <c r="D50" t="s">
        <v>388</v>
      </c>
      <c r="E50" t="s">
        <v>364</v>
      </c>
      <c r="F50" t="str">
        <f>VLOOKUP(E50, 'POS Categories'!$A$1:$B$1999, 2, FALSE)</f>
        <v>Food</v>
      </c>
    </row>
    <row r="51" spans="1:6" x14ac:dyDescent="0.25">
      <c r="A51">
        <v>44848</v>
      </c>
      <c r="B51">
        <v>137.5</v>
      </c>
      <c r="C51" t="s">
        <v>385</v>
      </c>
      <c r="D51" t="s">
        <v>1259</v>
      </c>
      <c r="E51" t="s">
        <v>280</v>
      </c>
      <c r="F51" t="str">
        <f>VLOOKUP(E51, 'POS Categories'!$A$1:$B$1999, 2, FALSE)</f>
        <v>Government</v>
      </c>
    </row>
    <row r="52" spans="1:6" x14ac:dyDescent="0.25">
      <c r="A52">
        <v>44847</v>
      </c>
      <c r="B52">
        <v>-19.739999999999998</v>
      </c>
      <c r="C52" t="s">
        <v>385</v>
      </c>
      <c r="D52" t="s">
        <v>388</v>
      </c>
      <c r="E52" t="s">
        <v>171</v>
      </c>
      <c r="F52" t="str">
        <f>VLOOKUP(E52, 'POS Categories'!$A$1:$B$1999, 2, FALSE)</f>
        <v>Food</v>
      </c>
    </row>
    <row r="53" spans="1:6" x14ac:dyDescent="0.25">
      <c r="A53">
        <v>44847</v>
      </c>
      <c r="B53">
        <v>-19.07</v>
      </c>
      <c r="C53" t="s">
        <v>385</v>
      </c>
      <c r="D53" t="s">
        <v>388</v>
      </c>
      <c r="E53" t="s">
        <v>8</v>
      </c>
      <c r="F53" t="str">
        <f>VLOOKUP(E53, 'POS Categories'!$A$1:$B$1999, 2, FALSE)</f>
        <v>Food</v>
      </c>
    </row>
    <row r="54" spans="1:6" x14ac:dyDescent="0.25">
      <c r="A54">
        <v>44846</v>
      </c>
      <c r="B54">
        <v>-14.47</v>
      </c>
      <c r="C54" t="s">
        <v>385</v>
      </c>
      <c r="D54" t="s">
        <v>388</v>
      </c>
      <c r="E54" t="s">
        <v>185</v>
      </c>
      <c r="F54" t="str">
        <f>VLOOKUP(E54, 'POS Categories'!$A$1:$B$1999, 2, FALSE)</f>
        <v>Food</v>
      </c>
    </row>
    <row r="55" spans="1:6" x14ac:dyDescent="0.25">
      <c r="A55">
        <v>44846</v>
      </c>
      <c r="B55">
        <v>-7.36</v>
      </c>
      <c r="C55" t="s">
        <v>385</v>
      </c>
      <c r="D55" t="s">
        <v>388</v>
      </c>
      <c r="E55" t="s">
        <v>408</v>
      </c>
      <c r="F55" t="str">
        <f>VLOOKUP(E55, 'POS Categories'!$A$1:$B$1999, 2, FALSE)</f>
        <v>Food</v>
      </c>
    </row>
    <row r="56" spans="1:6" x14ac:dyDescent="0.25">
      <c r="A56">
        <v>44845</v>
      </c>
      <c r="B56">
        <v>-38.840000000000003</v>
      </c>
      <c r="C56" t="s">
        <v>385</v>
      </c>
      <c r="D56" t="s">
        <v>388</v>
      </c>
      <c r="E56" t="s">
        <v>22</v>
      </c>
      <c r="F56" t="str">
        <f>VLOOKUP(E56, 'POS Categories'!$A$1:$B$1999, 2, FALSE)</f>
        <v>Entertainment</v>
      </c>
    </row>
    <row r="57" spans="1:6" x14ac:dyDescent="0.25">
      <c r="A57">
        <v>44845</v>
      </c>
      <c r="B57">
        <v>-11.09</v>
      </c>
      <c r="C57" t="s">
        <v>385</v>
      </c>
      <c r="D57" t="s">
        <v>388</v>
      </c>
      <c r="E57" t="s">
        <v>240</v>
      </c>
      <c r="F57" t="str">
        <f>VLOOKUP(E57, 'POS Categories'!$A$1:$B$1999, 2, FALSE)</f>
        <v>Food</v>
      </c>
    </row>
    <row r="58" spans="1:6" x14ac:dyDescent="0.25">
      <c r="A58">
        <v>44845</v>
      </c>
      <c r="B58">
        <v>-12.42</v>
      </c>
      <c r="C58" t="s">
        <v>385</v>
      </c>
      <c r="D58" t="s">
        <v>388</v>
      </c>
      <c r="E58" t="s">
        <v>1238</v>
      </c>
      <c r="F58" t="str">
        <f>VLOOKUP(E58, 'POS Categories'!$A$1:$B$1999, 2, FALSE)</f>
        <v>Food</v>
      </c>
    </row>
    <row r="59" spans="1:6" x14ac:dyDescent="0.25">
      <c r="A59">
        <v>44845</v>
      </c>
      <c r="B59">
        <v>-11.18</v>
      </c>
      <c r="C59" t="s">
        <v>385</v>
      </c>
      <c r="D59" t="s">
        <v>388</v>
      </c>
      <c r="E59" t="s">
        <v>408</v>
      </c>
      <c r="F59" t="str">
        <f>VLOOKUP(E59, 'POS Categories'!$A$1:$B$1999, 2, FALSE)</f>
        <v>Food</v>
      </c>
    </row>
    <row r="60" spans="1:6" x14ac:dyDescent="0.25">
      <c r="A60">
        <v>44845</v>
      </c>
      <c r="B60">
        <v>-8.93</v>
      </c>
      <c r="C60" t="s">
        <v>385</v>
      </c>
      <c r="D60" t="s">
        <v>388</v>
      </c>
      <c r="E60" t="s">
        <v>163</v>
      </c>
      <c r="F60" t="str">
        <f>VLOOKUP(E60, 'POS Categories'!$A$1:$B$1999, 2, FALSE)</f>
        <v>Vehicle</v>
      </c>
    </row>
    <row r="61" spans="1:6" x14ac:dyDescent="0.25">
      <c r="A61">
        <v>44845</v>
      </c>
      <c r="B61">
        <v>-45.29</v>
      </c>
      <c r="C61" t="s">
        <v>385</v>
      </c>
      <c r="D61" t="s">
        <v>388</v>
      </c>
      <c r="E61" t="s">
        <v>118</v>
      </c>
      <c r="F61" t="str">
        <f>VLOOKUP(E61, 'POS Categories'!$A$1:$B$1999, 2, FALSE)</f>
        <v>Food</v>
      </c>
    </row>
    <row r="62" spans="1:6" x14ac:dyDescent="0.25">
      <c r="A62">
        <v>44845</v>
      </c>
      <c r="B62">
        <v>-6.25</v>
      </c>
      <c r="C62" t="s">
        <v>385</v>
      </c>
      <c r="D62" t="s">
        <v>388</v>
      </c>
      <c r="E62" t="s">
        <v>65</v>
      </c>
      <c r="F62" t="str">
        <f>VLOOKUP(E62, 'POS Categories'!$A$1:$B$1999, 2, FALSE)</f>
        <v>Vehicle</v>
      </c>
    </row>
    <row r="63" spans="1:6" x14ac:dyDescent="0.25">
      <c r="A63">
        <v>44845</v>
      </c>
      <c r="B63">
        <v>-27.74</v>
      </c>
      <c r="C63" t="s">
        <v>385</v>
      </c>
      <c r="D63" t="s">
        <v>388</v>
      </c>
      <c r="E63" t="s">
        <v>1260</v>
      </c>
      <c r="F63" t="str">
        <f>VLOOKUP(E63, 'POS Categories'!$A$1:$B$1999, 2, FALSE)</f>
        <v>Entertainment</v>
      </c>
    </row>
    <row r="64" spans="1:6" x14ac:dyDescent="0.25">
      <c r="A64">
        <v>44842</v>
      </c>
      <c r="B64">
        <v>-7.54</v>
      </c>
      <c r="C64" t="s">
        <v>385</v>
      </c>
      <c r="D64" t="s">
        <v>388</v>
      </c>
      <c r="E64" t="s">
        <v>408</v>
      </c>
      <c r="F64" t="str">
        <f>VLOOKUP(E64, 'POS Categories'!$A$1:$B$1999, 2, FALSE)</f>
        <v>Food</v>
      </c>
    </row>
    <row r="65" spans="1:6" x14ac:dyDescent="0.25">
      <c r="A65">
        <v>44842</v>
      </c>
      <c r="B65">
        <v>-7.04</v>
      </c>
      <c r="C65" t="s">
        <v>385</v>
      </c>
      <c r="D65" t="s">
        <v>388</v>
      </c>
      <c r="E65" t="s">
        <v>395</v>
      </c>
      <c r="F65" t="str">
        <f>VLOOKUP(E65, 'POS Categories'!$A$1:$B$1999, 2, FALSE)</f>
        <v>Vehicle</v>
      </c>
    </row>
    <row r="66" spans="1:6" x14ac:dyDescent="0.25">
      <c r="A66">
        <v>44842</v>
      </c>
      <c r="B66">
        <v>-55.7</v>
      </c>
      <c r="C66" t="s">
        <v>385</v>
      </c>
      <c r="D66" t="s">
        <v>388</v>
      </c>
      <c r="E66" t="s">
        <v>395</v>
      </c>
      <c r="F66" t="str">
        <f>VLOOKUP(E66, 'POS Categories'!$A$1:$B$1999, 2, FALSE)</f>
        <v>Vehicle</v>
      </c>
    </row>
    <row r="67" spans="1:6" x14ac:dyDescent="0.25">
      <c r="A67">
        <v>44841</v>
      </c>
      <c r="B67">
        <v>-64.02</v>
      </c>
      <c r="C67" t="s">
        <v>385</v>
      </c>
      <c r="D67" t="s">
        <v>388</v>
      </c>
      <c r="E67" t="s">
        <v>1261</v>
      </c>
      <c r="F67" t="s">
        <v>1199</v>
      </c>
    </row>
    <row r="68" spans="1:6" x14ac:dyDescent="0.25">
      <c r="A68">
        <v>44841</v>
      </c>
      <c r="B68">
        <v>-83.23</v>
      </c>
      <c r="C68" t="s">
        <v>385</v>
      </c>
      <c r="D68" t="s">
        <v>388</v>
      </c>
      <c r="E68" t="s">
        <v>1262</v>
      </c>
      <c r="F68" t="s">
        <v>5</v>
      </c>
    </row>
    <row r="69" spans="1:6" x14ac:dyDescent="0.25">
      <c r="A69">
        <v>44841</v>
      </c>
      <c r="B69">
        <v>-19.739999999999998</v>
      </c>
      <c r="C69" t="s">
        <v>385</v>
      </c>
      <c r="D69" t="s">
        <v>388</v>
      </c>
      <c r="E69" t="s">
        <v>171</v>
      </c>
      <c r="F69" t="str">
        <f>VLOOKUP(E69, 'POS Categories'!$A$1:$B$1999, 2, FALSE)</f>
        <v>Food</v>
      </c>
    </row>
    <row r="70" spans="1:6" x14ac:dyDescent="0.25">
      <c r="A70">
        <v>44841</v>
      </c>
      <c r="B70">
        <v>-110.48</v>
      </c>
      <c r="C70" t="s">
        <v>385</v>
      </c>
      <c r="D70" t="s">
        <v>388</v>
      </c>
      <c r="E70" t="s">
        <v>411</v>
      </c>
      <c r="F70" t="str">
        <f>VLOOKUP(E70, 'POS Categories'!$A$1:$B$1999, 2, FALSE)</f>
        <v>Sasktel</v>
      </c>
    </row>
    <row r="71" spans="1:6" x14ac:dyDescent="0.25">
      <c r="A71">
        <v>44841</v>
      </c>
      <c r="B71">
        <v>-12.75</v>
      </c>
      <c r="C71" t="s">
        <v>385</v>
      </c>
      <c r="D71" t="s">
        <v>388</v>
      </c>
      <c r="E71" t="s">
        <v>8</v>
      </c>
      <c r="F71" t="str">
        <f>VLOOKUP(E71, 'POS Categories'!$A$1:$B$1999, 2, FALSE)</f>
        <v>Food</v>
      </c>
    </row>
    <row r="72" spans="1:6" x14ac:dyDescent="0.25">
      <c r="A72">
        <v>44841</v>
      </c>
      <c r="B72">
        <v>1996.65</v>
      </c>
      <c r="C72" t="s">
        <v>385</v>
      </c>
      <c r="D72" t="s">
        <v>386</v>
      </c>
      <c r="E72" t="s">
        <v>1193</v>
      </c>
      <c r="F72" t="str">
        <f>VLOOKUP(E72, 'POS Categories'!$A$1:$B$1999, 2, FALSE)</f>
        <v>Job</v>
      </c>
    </row>
    <row r="73" spans="1:6" x14ac:dyDescent="0.25">
      <c r="A73">
        <v>44840</v>
      </c>
      <c r="B73">
        <v>-19.18</v>
      </c>
      <c r="C73" t="s">
        <v>385</v>
      </c>
      <c r="D73" t="s">
        <v>388</v>
      </c>
      <c r="E73" t="s">
        <v>142</v>
      </c>
      <c r="F73" t="str">
        <f>VLOOKUP(E73, 'POS Categories'!$A$1:$B$1999, 2, FALSE)</f>
        <v>Food</v>
      </c>
    </row>
    <row r="74" spans="1:6" x14ac:dyDescent="0.25">
      <c r="A74">
        <v>44840</v>
      </c>
      <c r="B74">
        <v>75</v>
      </c>
      <c r="C74" t="s">
        <v>385</v>
      </c>
      <c r="D74" t="s">
        <v>427</v>
      </c>
      <c r="E74" t="s">
        <v>1263</v>
      </c>
      <c r="F74" t="s">
        <v>321</v>
      </c>
    </row>
    <row r="75" spans="1:6" x14ac:dyDescent="0.25">
      <c r="A75">
        <v>44840</v>
      </c>
      <c r="B75">
        <v>-11.18</v>
      </c>
      <c r="C75" t="s">
        <v>385</v>
      </c>
      <c r="D75" t="s">
        <v>388</v>
      </c>
      <c r="E75" t="s">
        <v>408</v>
      </c>
      <c r="F75" t="str">
        <f>VLOOKUP(E75, 'POS Categories'!$A$1:$B$1999, 2, FALSE)</f>
        <v>Food</v>
      </c>
    </row>
    <row r="76" spans="1:6" x14ac:dyDescent="0.25">
      <c r="A76">
        <v>44840</v>
      </c>
      <c r="B76">
        <v>-7.36</v>
      </c>
      <c r="C76" t="s">
        <v>385</v>
      </c>
      <c r="D76" t="s">
        <v>388</v>
      </c>
      <c r="E76" t="s">
        <v>408</v>
      </c>
      <c r="F76" t="str">
        <f>VLOOKUP(E76, 'POS Categories'!$A$1:$B$1999, 2, FALSE)</f>
        <v>Food</v>
      </c>
    </row>
    <row r="77" spans="1:6" x14ac:dyDescent="0.25">
      <c r="A77">
        <v>44839</v>
      </c>
      <c r="B77">
        <v>-10.24</v>
      </c>
      <c r="C77" t="s">
        <v>385</v>
      </c>
      <c r="D77" t="s">
        <v>388</v>
      </c>
      <c r="E77" t="s">
        <v>408</v>
      </c>
      <c r="F77" t="str">
        <f>VLOOKUP(E77, 'POS Categories'!$A$1:$B$1999, 2, FALSE)</f>
        <v>Food</v>
      </c>
    </row>
    <row r="78" spans="1:6" x14ac:dyDescent="0.25">
      <c r="A78">
        <v>44839</v>
      </c>
      <c r="B78">
        <v>-14.96</v>
      </c>
      <c r="C78" t="s">
        <v>385</v>
      </c>
      <c r="D78" t="s">
        <v>388</v>
      </c>
      <c r="E78" t="s">
        <v>174</v>
      </c>
      <c r="F78" t="str">
        <f>VLOOKUP(E78, 'POS Categories'!$A$1:$B$1999, 2, FALSE)</f>
        <v>Food</v>
      </c>
    </row>
    <row r="79" spans="1:6" x14ac:dyDescent="0.25">
      <c r="A79">
        <v>44838</v>
      </c>
      <c r="B79">
        <v>-203.85</v>
      </c>
      <c r="C79" t="s">
        <v>385</v>
      </c>
      <c r="D79" t="s">
        <v>388</v>
      </c>
      <c r="E79" t="s">
        <v>320</v>
      </c>
      <c r="F79" t="str">
        <f>VLOOKUP(E79, 'POS Categories'!$A$1:$B$1999, 2, FALSE)</f>
        <v>Sports</v>
      </c>
    </row>
    <row r="80" spans="1:6" x14ac:dyDescent="0.25">
      <c r="A80">
        <v>44838</v>
      </c>
      <c r="B80">
        <v>-8.65</v>
      </c>
      <c r="C80" t="s">
        <v>385</v>
      </c>
      <c r="D80" t="s">
        <v>388</v>
      </c>
      <c r="E80" t="s">
        <v>408</v>
      </c>
      <c r="F80" t="str">
        <f>VLOOKUP(E80, 'POS Categories'!$A$1:$B$1999, 2, FALSE)</f>
        <v>Food</v>
      </c>
    </row>
    <row r="81" spans="1:6" x14ac:dyDescent="0.25">
      <c r="A81">
        <v>44838</v>
      </c>
      <c r="B81">
        <v>-16.170000000000002</v>
      </c>
      <c r="C81" t="s">
        <v>385</v>
      </c>
      <c r="D81" t="s">
        <v>388</v>
      </c>
      <c r="E81" t="s">
        <v>286</v>
      </c>
      <c r="F81" t="str">
        <f>VLOOKUP(E81, 'POS Categories'!$A$1:$B$1999, 2, FALSE)</f>
        <v>Food</v>
      </c>
    </row>
    <row r="82" spans="1:6" x14ac:dyDescent="0.25">
      <c r="A82">
        <v>44838</v>
      </c>
      <c r="B82">
        <v>-100</v>
      </c>
      <c r="C82" t="s">
        <v>385</v>
      </c>
      <c r="D82" t="s">
        <v>957</v>
      </c>
      <c r="F82" t="s">
        <v>45</v>
      </c>
    </row>
    <row r="83" spans="1:6" x14ac:dyDescent="0.25">
      <c r="A83">
        <v>44838</v>
      </c>
      <c r="B83">
        <v>-100</v>
      </c>
      <c r="C83" t="s">
        <v>385</v>
      </c>
      <c r="D83" t="s">
        <v>957</v>
      </c>
      <c r="F83" t="s">
        <v>45</v>
      </c>
    </row>
    <row r="84" spans="1:6" x14ac:dyDescent="0.25">
      <c r="A84">
        <v>44838</v>
      </c>
      <c r="B84">
        <v>-11.18</v>
      </c>
      <c r="C84" t="s">
        <v>385</v>
      </c>
      <c r="D84" t="s">
        <v>388</v>
      </c>
      <c r="E84" t="s">
        <v>408</v>
      </c>
      <c r="F84" t="str">
        <f>VLOOKUP(E84, 'POS Categories'!$A$1:$B$1999, 2, FALSE)</f>
        <v>Food</v>
      </c>
    </row>
    <row r="85" spans="1:6" x14ac:dyDescent="0.25">
      <c r="A85">
        <v>44837</v>
      </c>
      <c r="B85">
        <v>-1325</v>
      </c>
      <c r="C85" t="s">
        <v>385</v>
      </c>
      <c r="D85" t="s">
        <v>414</v>
      </c>
      <c r="E85" t="s">
        <v>1224</v>
      </c>
      <c r="F85" t="str">
        <f>VLOOKUP(E85, 'POS Categories'!$A$1:$B$1999, 2, FALSE)</f>
        <v>Rent</v>
      </c>
    </row>
    <row r="86" spans="1:6" x14ac:dyDescent="0.25">
      <c r="A86">
        <v>44837</v>
      </c>
      <c r="B86">
        <v>-3.99</v>
      </c>
      <c r="C86" t="s">
        <v>385</v>
      </c>
      <c r="D86" t="s">
        <v>388</v>
      </c>
      <c r="E86" t="s">
        <v>245</v>
      </c>
      <c r="F86" t="str">
        <f>VLOOKUP(E86, 'POS Categories'!$A$1:$B$1999, 2, FALSE)</f>
        <v>Food</v>
      </c>
    </row>
    <row r="87" spans="1:6" x14ac:dyDescent="0.25">
      <c r="A87">
        <v>44837</v>
      </c>
      <c r="B87">
        <v>-19.98</v>
      </c>
      <c r="C87" t="s">
        <v>385</v>
      </c>
      <c r="D87" t="s">
        <v>388</v>
      </c>
      <c r="E87" t="s">
        <v>378</v>
      </c>
      <c r="F87" t="str">
        <f>VLOOKUP(E87, 'POS Categories'!$A$1:$B$1999, 2, FALSE)</f>
        <v>Food</v>
      </c>
    </row>
    <row r="88" spans="1:6" x14ac:dyDescent="0.25">
      <c r="A88">
        <v>44837</v>
      </c>
      <c r="B88">
        <v>-11.09</v>
      </c>
      <c r="C88" t="s">
        <v>385</v>
      </c>
      <c r="D88" t="s">
        <v>388</v>
      </c>
      <c r="E88" t="s">
        <v>240</v>
      </c>
      <c r="F88" t="str">
        <f>VLOOKUP(E88, 'POS Categories'!$A$1:$B$1999, 2, FALSE)</f>
        <v>Food</v>
      </c>
    </row>
    <row r="89" spans="1:6" x14ac:dyDescent="0.25">
      <c r="A89">
        <v>44837</v>
      </c>
      <c r="B89">
        <v>-5.49</v>
      </c>
      <c r="C89" t="s">
        <v>385</v>
      </c>
      <c r="D89" t="s">
        <v>388</v>
      </c>
      <c r="E89" t="s">
        <v>1225</v>
      </c>
      <c r="F89" t="str">
        <f>VLOOKUP(E89, 'POS Categories'!$A$1:$B$1999, 2, FALSE)</f>
        <v>Food</v>
      </c>
    </row>
    <row r="90" spans="1:6" x14ac:dyDescent="0.25">
      <c r="A90">
        <v>44837</v>
      </c>
      <c r="B90">
        <v>-14.88</v>
      </c>
      <c r="C90" t="s">
        <v>385</v>
      </c>
      <c r="D90" t="s">
        <v>388</v>
      </c>
      <c r="E90" t="s">
        <v>1198</v>
      </c>
      <c r="F90" t="str">
        <f>VLOOKUP(E90, 'POS Categories'!$A$1:$B$1999, 2, FALSE)</f>
        <v>Entertainment</v>
      </c>
    </row>
    <row r="91" spans="1:6" x14ac:dyDescent="0.25">
      <c r="A91">
        <v>44837</v>
      </c>
      <c r="B91">
        <v>-12.53</v>
      </c>
      <c r="C91" t="s">
        <v>385</v>
      </c>
      <c r="D91" t="s">
        <v>388</v>
      </c>
      <c r="E91" t="s">
        <v>171</v>
      </c>
      <c r="F91" t="str">
        <f>VLOOKUP(E91, 'POS Categories'!$A$1:$B$1999, 2, FALSE)</f>
        <v>Food</v>
      </c>
    </row>
    <row r="92" spans="1:6" x14ac:dyDescent="0.25">
      <c r="A92">
        <v>44837</v>
      </c>
      <c r="B92">
        <v>-15.18</v>
      </c>
      <c r="C92" t="s">
        <v>385</v>
      </c>
      <c r="D92" t="s">
        <v>388</v>
      </c>
      <c r="E92" t="s">
        <v>8</v>
      </c>
      <c r="F92" t="str">
        <f>VLOOKUP(E92, 'POS Categories'!$A$1:$B$1999, 2, FALSE)</f>
        <v>Food</v>
      </c>
    </row>
    <row r="93" spans="1:6" x14ac:dyDescent="0.25">
      <c r="A93">
        <v>44835</v>
      </c>
      <c r="B93">
        <v>-20.53</v>
      </c>
      <c r="C93" t="s">
        <v>385</v>
      </c>
      <c r="D93" t="s">
        <v>388</v>
      </c>
      <c r="E93" t="s">
        <v>241</v>
      </c>
      <c r="F93" t="str">
        <f>VLOOKUP(E93, 'POS Categories'!$A$1:$B$1999, 2, FALSE)</f>
        <v>Food</v>
      </c>
    </row>
    <row r="94" spans="1:6" x14ac:dyDescent="0.25">
      <c r="A94">
        <v>44835</v>
      </c>
      <c r="B94">
        <v>-8.5299999999999994</v>
      </c>
      <c r="C94" t="s">
        <v>385</v>
      </c>
      <c r="D94" t="s">
        <v>388</v>
      </c>
      <c r="E94" t="s">
        <v>1245</v>
      </c>
      <c r="F94" t="str">
        <f>VLOOKUP(E94, 'POS Categories'!$A$1:$B$1999, 2, FALSE)</f>
        <v>Food</v>
      </c>
    </row>
    <row r="95" spans="1:6" x14ac:dyDescent="0.25">
      <c r="A95">
        <v>44835</v>
      </c>
      <c r="B95">
        <v>-12.82</v>
      </c>
      <c r="C95" t="s">
        <v>385</v>
      </c>
      <c r="D95" t="s">
        <v>388</v>
      </c>
      <c r="E95" t="s">
        <v>408</v>
      </c>
      <c r="F95" t="str">
        <f>VLOOKUP(E95, 'POS Categories'!$A$1:$B$1999, 2, FALSE)</f>
        <v>Food</v>
      </c>
    </row>
    <row r="96" spans="1:6" x14ac:dyDescent="0.25">
      <c r="A96">
        <v>44835</v>
      </c>
      <c r="B96">
        <v>-8.3699999999999992</v>
      </c>
      <c r="C96" t="s">
        <v>385</v>
      </c>
      <c r="D96" t="s">
        <v>388</v>
      </c>
      <c r="E96" t="s">
        <v>183</v>
      </c>
      <c r="F96" t="str">
        <f>VLOOKUP(E96, 'POS Categories'!$A$1:$B$1999, 2, FALSE)</f>
        <v>Food</v>
      </c>
    </row>
    <row r="97" spans="1:6" x14ac:dyDescent="0.25">
      <c r="A97">
        <v>44835</v>
      </c>
      <c r="B97">
        <v>-12.29</v>
      </c>
      <c r="C97" t="s">
        <v>385</v>
      </c>
      <c r="D97" t="s">
        <v>388</v>
      </c>
      <c r="E97" t="s">
        <v>185</v>
      </c>
      <c r="F97" t="str">
        <f>VLOOKUP(E97, 'POS Categories'!$A$1:$B$1999, 2, FALSE)</f>
        <v>Food</v>
      </c>
    </row>
    <row r="98" spans="1:6" x14ac:dyDescent="0.25">
      <c r="A98">
        <v>44835</v>
      </c>
      <c r="B98">
        <v>-40</v>
      </c>
      <c r="C98" t="s">
        <v>385</v>
      </c>
      <c r="D98" t="s">
        <v>388</v>
      </c>
      <c r="E98" t="s">
        <v>343</v>
      </c>
      <c r="F98" t="str">
        <f>VLOOKUP(E98, 'POS Categories'!$A$1:$B$1999, 2, FALSE)</f>
        <v>Sports</v>
      </c>
    </row>
    <row r="99" spans="1:6" x14ac:dyDescent="0.25">
      <c r="A99">
        <v>44835</v>
      </c>
      <c r="B99">
        <v>-95</v>
      </c>
      <c r="C99" t="s">
        <v>385</v>
      </c>
      <c r="D99" t="s">
        <v>466</v>
      </c>
      <c r="E99" t="s">
        <v>200</v>
      </c>
      <c r="F99" t="str">
        <f>VLOOKUP(E99, 'POS Categories'!$A$1:$B$1999, 2, FALSE)</f>
        <v>Bills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92"/>
  <sheetViews>
    <sheetView topLeftCell="A69" workbookViewId="0">
      <selection activeCell="A31" sqref="A31:XFD31"/>
    </sheetView>
  </sheetViews>
  <sheetFormatPr defaultRowHeight="15" x14ac:dyDescent="0.25"/>
  <cols>
    <col min="4" max="4" width="23.28515625" bestFit="1" customWidth="1"/>
    <col min="5" max="5" width="33.28515625" bestFit="1" customWidth="1"/>
  </cols>
  <sheetData>
    <row r="1" spans="1:6" x14ac:dyDescent="0.25">
      <c r="A1">
        <v>44833</v>
      </c>
      <c r="B1">
        <v>-80.58</v>
      </c>
      <c r="C1" t="s">
        <v>385</v>
      </c>
      <c r="D1" t="s">
        <v>388</v>
      </c>
      <c r="E1" t="s">
        <v>452</v>
      </c>
      <c r="F1" t="str">
        <f>VLOOKUP(E1, 'POS Categories'!$A$1:$B$1999, 2, FALSE)</f>
        <v>Food</v>
      </c>
    </row>
    <row r="2" spans="1:6" x14ac:dyDescent="0.25">
      <c r="A2">
        <v>44833</v>
      </c>
      <c r="B2">
        <v>-75.19</v>
      </c>
      <c r="C2" t="s">
        <v>385</v>
      </c>
      <c r="D2" t="s">
        <v>388</v>
      </c>
      <c r="E2" t="s">
        <v>395</v>
      </c>
      <c r="F2" t="str">
        <f>VLOOKUP(E2, 'POS Categories'!$A$1:$B$1999, 2, FALSE)</f>
        <v>Vehicle</v>
      </c>
    </row>
    <row r="3" spans="1:6" x14ac:dyDescent="0.25">
      <c r="A3">
        <v>44833</v>
      </c>
      <c r="B3">
        <v>-11.18</v>
      </c>
      <c r="C3" t="s">
        <v>385</v>
      </c>
      <c r="D3" t="s">
        <v>388</v>
      </c>
      <c r="E3" t="s">
        <v>408</v>
      </c>
      <c r="F3" t="str">
        <f>VLOOKUP(E3, 'POS Categories'!$A$1:$B$1999, 2, FALSE)</f>
        <v>Food</v>
      </c>
    </row>
    <row r="4" spans="1:6" x14ac:dyDescent="0.25">
      <c r="A4">
        <v>44832</v>
      </c>
      <c r="B4">
        <v>-4.6100000000000003</v>
      </c>
      <c r="C4" t="s">
        <v>385</v>
      </c>
      <c r="D4" t="s">
        <v>388</v>
      </c>
      <c r="E4" t="s">
        <v>34</v>
      </c>
      <c r="F4" t="str">
        <f>VLOOKUP(E4, 'POS Categories'!$A$1:$B$1999, 2, FALSE)</f>
        <v>Food</v>
      </c>
    </row>
    <row r="5" spans="1:6" x14ac:dyDescent="0.25">
      <c r="A5">
        <v>44832</v>
      </c>
      <c r="B5">
        <v>-20.97</v>
      </c>
      <c r="C5" t="s">
        <v>385</v>
      </c>
      <c r="D5" t="s">
        <v>388</v>
      </c>
      <c r="E5" t="s">
        <v>213</v>
      </c>
      <c r="F5" t="str">
        <f>VLOOKUP(E5, 'POS Categories'!$A$1:$B$1999, 2, FALSE)</f>
        <v>Entertainment</v>
      </c>
    </row>
    <row r="6" spans="1:6" x14ac:dyDescent="0.25">
      <c r="A6">
        <v>44831</v>
      </c>
      <c r="B6">
        <v>-26.85</v>
      </c>
      <c r="C6" t="s">
        <v>385</v>
      </c>
      <c r="D6" t="s">
        <v>388</v>
      </c>
      <c r="E6" t="s">
        <v>1246</v>
      </c>
      <c r="F6" t="str">
        <f>VLOOKUP(E6, 'POS Categories'!$A$1:$B$1999, 2, FALSE)</f>
        <v>Food</v>
      </c>
    </row>
    <row r="7" spans="1:6" x14ac:dyDescent="0.25">
      <c r="A7">
        <v>44831</v>
      </c>
      <c r="B7">
        <v>-10.45</v>
      </c>
      <c r="C7" t="s">
        <v>385</v>
      </c>
      <c r="D7" t="s">
        <v>388</v>
      </c>
      <c r="E7" t="s">
        <v>185</v>
      </c>
      <c r="F7" t="str">
        <f>VLOOKUP(E7, 'POS Categories'!$A$1:$B$1999, 2, FALSE)</f>
        <v>Food</v>
      </c>
    </row>
    <row r="8" spans="1:6" x14ac:dyDescent="0.25">
      <c r="A8">
        <v>44831</v>
      </c>
      <c r="B8">
        <v>-8.3000000000000007</v>
      </c>
      <c r="C8" t="s">
        <v>385</v>
      </c>
      <c r="D8" t="s">
        <v>388</v>
      </c>
      <c r="E8" t="s">
        <v>408</v>
      </c>
      <c r="F8" t="str">
        <f>VLOOKUP(E8, 'POS Categories'!$A$1:$B$1999, 2, FALSE)</f>
        <v>Food</v>
      </c>
    </row>
    <row r="9" spans="1:6" x14ac:dyDescent="0.25">
      <c r="A9">
        <v>44830</v>
      </c>
      <c r="B9">
        <v>-19.28</v>
      </c>
      <c r="C9" t="s">
        <v>385</v>
      </c>
      <c r="D9" t="s">
        <v>388</v>
      </c>
      <c r="E9" t="s">
        <v>142</v>
      </c>
      <c r="F9" t="str">
        <f>VLOOKUP(E9, 'POS Categories'!$A$1:$B$1999, 2, FALSE)</f>
        <v>Food</v>
      </c>
    </row>
    <row r="10" spans="1:6" x14ac:dyDescent="0.25">
      <c r="A10">
        <v>44830</v>
      </c>
      <c r="B10">
        <v>-19.07</v>
      </c>
      <c r="C10" t="s">
        <v>385</v>
      </c>
      <c r="D10" t="s">
        <v>388</v>
      </c>
      <c r="E10" t="s">
        <v>8</v>
      </c>
      <c r="F10" t="str">
        <f>VLOOKUP(E10, 'POS Categories'!$A$1:$B$1999, 2, FALSE)</f>
        <v>Food</v>
      </c>
    </row>
    <row r="11" spans="1:6" x14ac:dyDescent="0.25">
      <c r="A11">
        <v>44830</v>
      </c>
      <c r="B11">
        <v>-3.92</v>
      </c>
      <c r="C11" t="s">
        <v>385</v>
      </c>
      <c r="D11" t="s">
        <v>388</v>
      </c>
      <c r="E11" t="s">
        <v>1247</v>
      </c>
      <c r="F11" t="str">
        <f>VLOOKUP(E11, 'POS Categories'!$A$1:$B$1999, 2, FALSE)</f>
        <v>Vehicle</v>
      </c>
    </row>
    <row r="12" spans="1:6" x14ac:dyDescent="0.25">
      <c r="A12">
        <v>44830</v>
      </c>
      <c r="B12">
        <v>-13.4</v>
      </c>
      <c r="C12" t="s">
        <v>385</v>
      </c>
      <c r="D12" t="s">
        <v>388</v>
      </c>
      <c r="E12" t="s">
        <v>240</v>
      </c>
      <c r="F12" t="str">
        <f>VLOOKUP(E12, 'POS Categories'!$A$1:$B$1999, 2, FALSE)</f>
        <v>Food</v>
      </c>
    </row>
    <row r="13" spans="1:6" x14ac:dyDescent="0.25">
      <c r="A13">
        <v>44828</v>
      </c>
      <c r="B13">
        <v>-16.829999999999998</v>
      </c>
      <c r="C13" t="s">
        <v>385</v>
      </c>
      <c r="D13" t="s">
        <v>388</v>
      </c>
      <c r="E13" t="s">
        <v>185</v>
      </c>
      <c r="F13" t="str">
        <f>VLOOKUP(E13, 'POS Categories'!$A$1:$B$1999, 2, FALSE)</f>
        <v>Food</v>
      </c>
    </row>
    <row r="14" spans="1:6" x14ac:dyDescent="0.25">
      <c r="A14">
        <v>44828</v>
      </c>
      <c r="B14">
        <v>-142.07</v>
      </c>
      <c r="C14" t="s">
        <v>385</v>
      </c>
      <c r="D14" t="s">
        <v>388</v>
      </c>
      <c r="E14" t="s">
        <v>314</v>
      </c>
      <c r="F14" t="s">
        <v>7</v>
      </c>
    </row>
    <row r="15" spans="1:6" x14ac:dyDescent="0.25">
      <c r="A15">
        <v>44828</v>
      </c>
      <c r="B15">
        <v>197.57</v>
      </c>
      <c r="C15" t="s">
        <v>385</v>
      </c>
      <c r="D15" t="s">
        <v>427</v>
      </c>
      <c r="E15" t="s">
        <v>314</v>
      </c>
      <c r="F15" t="s">
        <v>7</v>
      </c>
    </row>
    <row r="16" spans="1:6" x14ac:dyDescent="0.25">
      <c r="A16">
        <v>44828</v>
      </c>
      <c r="B16">
        <v>-13.88</v>
      </c>
      <c r="C16" t="s">
        <v>385</v>
      </c>
      <c r="D16" t="s">
        <v>388</v>
      </c>
      <c r="E16" t="s">
        <v>1225</v>
      </c>
      <c r="F16" t="s">
        <v>3</v>
      </c>
    </row>
    <row r="17" spans="1:6" x14ac:dyDescent="0.25">
      <c r="A17">
        <v>44827</v>
      </c>
      <c r="B17">
        <v>-9.99</v>
      </c>
      <c r="C17" t="s">
        <v>385</v>
      </c>
      <c r="D17" t="s">
        <v>388</v>
      </c>
      <c r="E17" t="s">
        <v>171</v>
      </c>
      <c r="F17" t="str">
        <f>VLOOKUP(E17, 'POS Categories'!$A$1:$B$1999, 2, FALSE)</f>
        <v>Food</v>
      </c>
    </row>
    <row r="18" spans="1:6" x14ac:dyDescent="0.25">
      <c r="A18">
        <v>44827</v>
      </c>
      <c r="B18">
        <v>-61.94</v>
      </c>
      <c r="C18" t="s">
        <v>385</v>
      </c>
      <c r="D18" t="s">
        <v>435</v>
      </c>
      <c r="E18" t="s">
        <v>177</v>
      </c>
      <c r="F18" t="str">
        <f>VLOOKUP(E18, 'POS Categories'!$A$1:$B$1999, 2, FALSE)</f>
        <v>Power</v>
      </c>
    </row>
    <row r="19" spans="1:6" x14ac:dyDescent="0.25">
      <c r="A19">
        <v>44827</v>
      </c>
      <c r="B19">
        <v>45</v>
      </c>
      <c r="C19" t="s">
        <v>385</v>
      </c>
      <c r="D19" t="s">
        <v>467</v>
      </c>
      <c r="E19" t="s">
        <v>200</v>
      </c>
      <c r="F19" t="str">
        <f>VLOOKUP(E19, 'POS Categories'!$A$1:$B$1999, 2, FALSE)</f>
        <v>Bills</v>
      </c>
    </row>
    <row r="20" spans="1:6" x14ac:dyDescent="0.25">
      <c r="A20">
        <v>44827</v>
      </c>
      <c r="B20">
        <v>26.17</v>
      </c>
      <c r="C20" t="s">
        <v>385</v>
      </c>
      <c r="D20" t="s">
        <v>430</v>
      </c>
      <c r="E20" t="s">
        <v>1248</v>
      </c>
      <c r="F20" t="str">
        <f>VLOOKUP(E20, 'POS Categories'!$A$1:$B$1999, 2, FALSE)</f>
        <v>Vehicle</v>
      </c>
    </row>
    <row r="21" spans="1:6" x14ac:dyDescent="0.25">
      <c r="A21">
        <v>44827</v>
      </c>
      <c r="B21">
        <v>-45.38</v>
      </c>
      <c r="C21" t="s">
        <v>385</v>
      </c>
      <c r="D21" t="s">
        <v>388</v>
      </c>
      <c r="E21" t="s">
        <v>246</v>
      </c>
      <c r="F21" t="str">
        <f>VLOOKUP(E21, 'POS Categories'!$A$1:$B$1999, 2, FALSE)</f>
        <v>Food</v>
      </c>
    </row>
    <row r="22" spans="1:6" x14ac:dyDescent="0.25">
      <c r="A22">
        <v>44827</v>
      </c>
      <c r="B22">
        <v>-26.17</v>
      </c>
      <c r="C22" t="s">
        <v>385</v>
      </c>
      <c r="D22" t="s">
        <v>388</v>
      </c>
      <c r="E22" t="s">
        <v>1248</v>
      </c>
      <c r="F22" t="str">
        <f>VLOOKUP(E22, 'POS Categories'!$A$1:$B$1999, 2, FALSE)</f>
        <v>Vehicle</v>
      </c>
    </row>
    <row r="23" spans="1:6" x14ac:dyDescent="0.25">
      <c r="A23">
        <v>44827</v>
      </c>
      <c r="B23">
        <v>-11.18</v>
      </c>
      <c r="C23" t="s">
        <v>385</v>
      </c>
      <c r="D23" t="s">
        <v>388</v>
      </c>
      <c r="E23" t="s">
        <v>408</v>
      </c>
      <c r="F23" t="str">
        <f>VLOOKUP(E23, 'POS Categories'!$A$1:$B$1999, 2, FALSE)</f>
        <v>Food</v>
      </c>
    </row>
    <row r="24" spans="1:6" x14ac:dyDescent="0.25">
      <c r="A24">
        <v>44827</v>
      </c>
      <c r="B24">
        <v>-197.57</v>
      </c>
      <c r="C24" t="s">
        <v>385</v>
      </c>
      <c r="D24" t="s">
        <v>388</v>
      </c>
      <c r="E24" t="s">
        <v>314</v>
      </c>
      <c r="F24" t="s">
        <v>7</v>
      </c>
    </row>
    <row r="25" spans="1:6" x14ac:dyDescent="0.25">
      <c r="A25">
        <v>44827</v>
      </c>
      <c r="B25">
        <v>27.66</v>
      </c>
      <c r="C25" t="s">
        <v>385</v>
      </c>
      <c r="D25" t="s">
        <v>430</v>
      </c>
      <c r="E25" t="s">
        <v>246</v>
      </c>
      <c r="F25" t="str">
        <f>VLOOKUP(E25, 'POS Categories'!$A$1:$B$1999, 2, FALSE)</f>
        <v>Food</v>
      </c>
    </row>
    <row r="26" spans="1:6" x14ac:dyDescent="0.25">
      <c r="A26">
        <v>44827</v>
      </c>
      <c r="B26">
        <v>-53.5</v>
      </c>
      <c r="C26" t="s">
        <v>385</v>
      </c>
      <c r="D26" t="s">
        <v>388</v>
      </c>
      <c r="E26" t="s">
        <v>1248</v>
      </c>
      <c r="F26" t="str">
        <f>VLOOKUP(E26, 'POS Categories'!$A$1:$B$1999, 2, FALSE)</f>
        <v>Vehicle</v>
      </c>
    </row>
    <row r="27" spans="1:6" x14ac:dyDescent="0.25">
      <c r="A27">
        <v>44827</v>
      </c>
      <c r="B27">
        <v>17.02</v>
      </c>
      <c r="C27" t="s">
        <v>385</v>
      </c>
      <c r="D27" t="s">
        <v>430</v>
      </c>
      <c r="E27" t="s">
        <v>246</v>
      </c>
      <c r="F27" t="str">
        <f>VLOOKUP(E27, 'POS Categories'!$A$1:$B$1999, 2, FALSE)</f>
        <v>Food</v>
      </c>
    </row>
    <row r="28" spans="1:6" x14ac:dyDescent="0.25">
      <c r="A28">
        <v>44827</v>
      </c>
      <c r="B28">
        <v>-27.66</v>
      </c>
      <c r="C28" t="s">
        <v>385</v>
      </c>
      <c r="D28" t="s">
        <v>388</v>
      </c>
      <c r="E28" t="s">
        <v>246</v>
      </c>
      <c r="F28" t="str">
        <f>VLOOKUP(E28, 'POS Categories'!$A$1:$B$1999, 2, FALSE)</f>
        <v>Food</v>
      </c>
    </row>
    <row r="29" spans="1:6" x14ac:dyDescent="0.25">
      <c r="A29">
        <v>44827</v>
      </c>
      <c r="B29">
        <v>-17.02</v>
      </c>
      <c r="C29" t="s">
        <v>385</v>
      </c>
      <c r="D29" t="s">
        <v>388</v>
      </c>
      <c r="E29" t="s">
        <v>246</v>
      </c>
      <c r="F29" t="str">
        <f>VLOOKUP(E29, 'POS Categories'!$A$1:$B$1999, 2, FALSE)</f>
        <v>Food</v>
      </c>
    </row>
    <row r="30" spans="1:6" x14ac:dyDescent="0.25">
      <c r="A30">
        <v>44827</v>
      </c>
      <c r="B30">
        <v>1996.66</v>
      </c>
      <c r="C30" t="s">
        <v>385</v>
      </c>
      <c r="D30" t="s">
        <v>386</v>
      </c>
      <c r="E30" t="s">
        <v>1193</v>
      </c>
      <c r="F30" t="str">
        <f>VLOOKUP(E30, 'POS Categories'!$A$1:$B$1999, 2, FALSE)</f>
        <v>Job</v>
      </c>
    </row>
    <row r="31" spans="1:6" x14ac:dyDescent="0.25">
      <c r="A31">
        <v>44827</v>
      </c>
      <c r="B31">
        <v>-828.97</v>
      </c>
      <c r="C31" t="s">
        <v>385</v>
      </c>
      <c r="D31" t="s">
        <v>388</v>
      </c>
      <c r="E31" t="s">
        <v>1249</v>
      </c>
      <c r="F31" t="str">
        <f>VLOOKUP(E31, 'POS Categories'!$A$1:$B$1999, 2, FALSE)</f>
        <v>Personal</v>
      </c>
    </row>
    <row r="32" spans="1:6" x14ac:dyDescent="0.25">
      <c r="A32">
        <v>44826</v>
      </c>
      <c r="B32">
        <v>-11.18</v>
      </c>
      <c r="C32" t="s">
        <v>385</v>
      </c>
      <c r="D32" t="s">
        <v>388</v>
      </c>
      <c r="E32" t="s">
        <v>408</v>
      </c>
      <c r="F32" t="str">
        <f>VLOOKUP(E32, 'POS Categories'!$A$1:$B$1999, 2, FALSE)</f>
        <v>Food</v>
      </c>
    </row>
    <row r="33" spans="1:6" x14ac:dyDescent="0.25">
      <c r="A33">
        <v>44826</v>
      </c>
      <c r="B33">
        <v>-14.41</v>
      </c>
      <c r="C33" t="s">
        <v>385</v>
      </c>
      <c r="D33" t="s">
        <v>388</v>
      </c>
      <c r="E33" t="s">
        <v>174</v>
      </c>
      <c r="F33" t="str">
        <f>VLOOKUP(E33, 'POS Categories'!$A$1:$B$1999, 2, FALSE)</f>
        <v>Food</v>
      </c>
    </row>
    <row r="34" spans="1:6" x14ac:dyDescent="0.25">
      <c r="A34">
        <v>44826</v>
      </c>
      <c r="B34">
        <v>-19.41</v>
      </c>
      <c r="C34" t="s">
        <v>385</v>
      </c>
      <c r="D34" t="s">
        <v>388</v>
      </c>
      <c r="E34" t="s">
        <v>213</v>
      </c>
      <c r="F34" t="str">
        <f>VLOOKUP(E34, 'POS Categories'!$A$1:$B$1999, 2, FALSE)</f>
        <v>Entertainment</v>
      </c>
    </row>
    <row r="35" spans="1:6" x14ac:dyDescent="0.25">
      <c r="A35">
        <v>44825</v>
      </c>
      <c r="B35">
        <v>-14.64</v>
      </c>
      <c r="C35" t="s">
        <v>385</v>
      </c>
      <c r="D35" t="s">
        <v>388</v>
      </c>
      <c r="E35" t="s">
        <v>1238</v>
      </c>
      <c r="F35" t="str">
        <f>VLOOKUP(E35, 'POS Categories'!$A$1:$B$1999, 2, FALSE)</f>
        <v>Food</v>
      </c>
    </row>
    <row r="36" spans="1:6" x14ac:dyDescent="0.25">
      <c r="A36">
        <v>44825</v>
      </c>
      <c r="B36">
        <v>-11.18</v>
      </c>
      <c r="C36" t="s">
        <v>385</v>
      </c>
      <c r="D36" t="s">
        <v>388</v>
      </c>
      <c r="E36" t="s">
        <v>408</v>
      </c>
      <c r="F36" t="str">
        <f>VLOOKUP(E36, 'POS Categories'!$A$1:$B$1999, 2, FALSE)</f>
        <v>Food</v>
      </c>
    </row>
    <row r="37" spans="1:6" x14ac:dyDescent="0.25">
      <c r="A37">
        <v>44824</v>
      </c>
      <c r="B37">
        <v>-16.829999999999998</v>
      </c>
      <c r="C37" t="s">
        <v>385</v>
      </c>
      <c r="D37" t="s">
        <v>388</v>
      </c>
      <c r="E37" t="s">
        <v>185</v>
      </c>
      <c r="F37" t="str">
        <f>VLOOKUP(E37, 'POS Categories'!$A$1:$B$1999, 2, FALSE)</f>
        <v>Food</v>
      </c>
    </row>
    <row r="38" spans="1:6" x14ac:dyDescent="0.25">
      <c r="A38">
        <v>44823</v>
      </c>
      <c r="B38">
        <v>-15.18</v>
      </c>
      <c r="C38" t="s">
        <v>385</v>
      </c>
      <c r="D38" t="s">
        <v>388</v>
      </c>
      <c r="E38" t="s">
        <v>8</v>
      </c>
      <c r="F38" t="str">
        <f>VLOOKUP(E38, 'POS Categories'!$A$1:$B$1999, 2, FALSE)</f>
        <v>Food</v>
      </c>
    </row>
    <row r="39" spans="1:6" x14ac:dyDescent="0.25">
      <c r="A39">
        <v>44823</v>
      </c>
      <c r="B39">
        <v>-11.09</v>
      </c>
      <c r="C39" t="s">
        <v>385</v>
      </c>
      <c r="D39" t="s">
        <v>388</v>
      </c>
      <c r="E39" t="s">
        <v>240</v>
      </c>
      <c r="F39" t="str">
        <f>VLOOKUP(E39, 'POS Categories'!$A$1:$B$1999, 2, FALSE)</f>
        <v>Food</v>
      </c>
    </row>
    <row r="40" spans="1:6" x14ac:dyDescent="0.25">
      <c r="A40">
        <v>44823</v>
      </c>
      <c r="B40">
        <v>-6.94</v>
      </c>
      <c r="C40" t="s">
        <v>385</v>
      </c>
      <c r="D40" t="s">
        <v>388</v>
      </c>
      <c r="E40" t="s">
        <v>34</v>
      </c>
      <c r="F40" t="str">
        <f>VLOOKUP(E40, 'POS Categories'!$A$1:$B$1999, 2, FALSE)</f>
        <v>Food</v>
      </c>
    </row>
    <row r="41" spans="1:6" x14ac:dyDescent="0.25">
      <c r="A41">
        <v>44823</v>
      </c>
      <c r="B41">
        <v>-52.98</v>
      </c>
      <c r="C41" t="s">
        <v>385</v>
      </c>
      <c r="D41" t="s">
        <v>388</v>
      </c>
      <c r="E41" t="s">
        <v>1233</v>
      </c>
      <c r="F41" t="str">
        <f>VLOOKUP(E41, 'POS Categories'!$A$1:$B$1999, 2, FALSE)</f>
        <v>Personal</v>
      </c>
    </row>
    <row r="42" spans="1:6" x14ac:dyDescent="0.25">
      <c r="A42">
        <v>44823</v>
      </c>
      <c r="B42">
        <v>-11.18</v>
      </c>
      <c r="C42" t="s">
        <v>385</v>
      </c>
      <c r="D42" t="s">
        <v>388</v>
      </c>
      <c r="E42" t="s">
        <v>408</v>
      </c>
      <c r="F42" t="str">
        <f>VLOOKUP(E42, 'POS Categories'!$A$1:$B$1999, 2, FALSE)</f>
        <v>Food</v>
      </c>
    </row>
    <row r="43" spans="1:6" x14ac:dyDescent="0.25">
      <c r="A43">
        <v>44823</v>
      </c>
      <c r="B43">
        <v>-31.46</v>
      </c>
      <c r="C43" t="s">
        <v>385</v>
      </c>
      <c r="D43" t="s">
        <v>388</v>
      </c>
      <c r="E43" t="s">
        <v>213</v>
      </c>
      <c r="F43" t="str">
        <f>VLOOKUP(E43, 'POS Categories'!$A$1:$B$1999, 2, FALSE)</f>
        <v>Entertainment</v>
      </c>
    </row>
    <row r="44" spans="1:6" x14ac:dyDescent="0.25">
      <c r="A44">
        <v>44820</v>
      </c>
      <c r="B44">
        <v>-52.45</v>
      </c>
      <c r="C44" t="s">
        <v>385</v>
      </c>
      <c r="D44" t="s">
        <v>388</v>
      </c>
      <c r="E44" t="s">
        <v>33</v>
      </c>
      <c r="F44" t="str">
        <f>VLOOKUP(E44, 'POS Categories'!$A$1:$B$1999, 2, FALSE)</f>
        <v>Food</v>
      </c>
    </row>
    <row r="45" spans="1:6" x14ac:dyDescent="0.25">
      <c r="A45">
        <v>44820</v>
      </c>
      <c r="B45">
        <v>-15.3</v>
      </c>
      <c r="C45" t="s">
        <v>385</v>
      </c>
      <c r="D45" t="s">
        <v>388</v>
      </c>
      <c r="E45" t="s">
        <v>185</v>
      </c>
      <c r="F45" t="str">
        <f>VLOOKUP(E45, 'POS Categories'!$A$1:$B$1999, 2, FALSE)</f>
        <v>Food</v>
      </c>
    </row>
    <row r="46" spans="1:6" x14ac:dyDescent="0.25">
      <c r="A46">
        <v>44819</v>
      </c>
      <c r="B46">
        <v>-14.51</v>
      </c>
      <c r="C46" t="s">
        <v>385</v>
      </c>
      <c r="D46" t="s">
        <v>388</v>
      </c>
      <c r="E46" t="s">
        <v>171</v>
      </c>
      <c r="F46" t="str">
        <f>VLOOKUP(E46, 'POS Categories'!$A$1:$B$1999, 2, FALSE)</f>
        <v>Food</v>
      </c>
    </row>
    <row r="47" spans="1:6" x14ac:dyDescent="0.25">
      <c r="A47">
        <v>44819</v>
      </c>
      <c r="B47">
        <v>-15.18</v>
      </c>
      <c r="C47" t="s">
        <v>385</v>
      </c>
      <c r="D47" t="s">
        <v>388</v>
      </c>
      <c r="E47" t="s">
        <v>174</v>
      </c>
      <c r="F47" t="str">
        <f>VLOOKUP(E47, 'POS Categories'!$A$1:$B$1999, 2, FALSE)</f>
        <v>Food</v>
      </c>
    </row>
    <row r="48" spans="1:6" x14ac:dyDescent="0.25">
      <c r="A48">
        <v>44819</v>
      </c>
      <c r="B48">
        <v>-66.55</v>
      </c>
      <c r="C48" t="s">
        <v>385</v>
      </c>
      <c r="D48" t="s">
        <v>388</v>
      </c>
      <c r="E48" t="s">
        <v>175</v>
      </c>
      <c r="F48" t="str">
        <f>VLOOKUP(E48, 'POS Categories'!$A$1:$B$1999, 2, FALSE)</f>
        <v>Sasktel</v>
      </c>
    </row>
    <row r="49" spans="1:6" x14ac:dyDescent="0.25">
      <c r="A49">
        <v>44818</v>
      </c>
      <c r="B49">
        <v>-10.52</v>
      </c>
      <c r="C49" t="s">
        <v>385</v>
      </c>
      <c r="D49" t="s">
        <v>388</v>
      </c>
      <c r="E49" t="s">
        <v>408</v>
      </c>
      <c r="F49" t="str">
        <f>VLOOKUP(E49, 'POS Categories'!$A$1:$B$1999, 2, FALSE)</f>
        <v>Food</v>
      </c>
    </row>
    <row r="50" spans="1:6" x14ac:dyDescent="0.25">
      <c r="A50">
        <v>44818</v>
      </c>
      <c r="B50">
        <v>-12.53</v>
      </c>
      <c r="C50" t="s">
        <v>385</v>
      </c>
      <c r="D50" t="s">
        <v>388</v>
      </c>
      <c r="E50" t="s">
        <v>171</v>
      </c>
      <c r="F50" t="str">
        <f>VLOOKUP(E50, 'POS Categories'!$A$1:$B$1999, 2, FALSE)</f>
        <v>Food</v>
      </c>
    </row>
    <row r="51" spans="1:6" x14ac:dyDescent="0.25">
      <c r="A51">
        <v>44818</v>
      </c>
      <c r="B51">
        <v>-8.3000000000000007</v>
      </c>
      <c r="C51" t="s">
        <v>385</v>
      </c>
      <c r="D51" t="s">
        <v>388</v>
      </c>
      <c r="E51" t="s">
        <v>408</v>
      </c>
      <c r="F51" t="str">
        <f>VLOOKUP(E51, 'POS Categories'!$A$1:$B$1999, 2, FALSE)</f>
        <v>Food</v>
      </c>
    </row>
    <row r="52" spans="1:6" x14ac:dyDescent="0.25">
      <c r="A52">
        <v>44817</v>
      </c>
      <c r="B52">
        <v>-13.4</v>
      </c>
      <c r="C52" t="s">
        <v>385</v>
      </c>
      <c r="D52" t="s">
        <v>388</v>
      </c>
      <c r="E52" t="s">
        <v>1238</v>
      </c>
      <c r="F52" t="str">
        <f>VLOOKUP(E52, 'POS Categories'!$A$1:$B$1999, 2, FALSE)</f>
        <v>Food</v>
      </c>
    </row>
    <row r="53" spans="1:6" x14ac:dyDescent="0.25">
      <c r="A53">
        <v>44816</v>
      </c>
      <c r="B53">
        <v>-25.83</v>
      </c>
      <c r="C53" t="s">
        <v>385</v>
      </c>
      <c r="D53" t="s">
        <v>388</v>
      </c>
      <c r="E53" t="s">
        <v>378</v>
      </c>
      <c r="F53" t="str">
        <f>VLOOKUP(E53, 'POS Categories'!$A$1:$B$1999, 2, FALSE)</f>
        <v>Food</v>
      </c>
    </row>
    <row r="54" spans="1:6" x14ac:dyDescent="0.25">
      <c r="A54">
        <v>44816</v>
      </c>
      <c r="B54">
        <v>30.47</v>
      </c>
      <c r="C54" t="s">
        <v>385</v>
      </c>
      <c r="D54" t="s">
        <v>430</v>
      </c>
      <c r="E54" t="s">
        <v>378</v>
      </c>
      <c r="F54" t="str">
        <f>VLOOKUP(E54, 'POS Categories'!$A$1:$B$1999, 2, FALSE)</f>
        <v>Food</v>
      </c>
    </row>
    <row r="55" spans="1:6" x14ac:dyDescent="0.25">
      <c r="A55">
        <v>44816</v>
      </c>
      <c r="B55">
        <v>-4.6399999999999997</v>
      </c>
      <c r="C55" t="s">
        <v>385</v>
      </c>
      <c r="D55" t="s">
        <v>388</v>
      </c>
      <c r="E55" t="s">
        <v>246</v>
      </c>
      <c r="F55" t="str">
        <f>VLOOKUP(E55, 'POS Categories'!$A$1:$B$1999, 2, FALSE)</f>
        <v>Food</v>
      </c>
    </row>
    <row r="56" spans="1:6" x14ac:dyDescent="0.25">
      <c r="A56">
        <v>44816</v>
      </c>
      <c r="B56">
        <v>-30.47</v>
      </c>
      <c r="C56" t="s">
        <v>385</v>
      </c>
      <c r="D56" t="s">
        <v>388</v>
      </c>
      <c r="E56" t="s">
        <v>378</v>
      </c>
      <c r="F56" t="str">
        <f>VLOOKUP(E56, 'POS Categories'!$A$1:$B$1999, 2, FALSE)</f>
        <v>Food</v>
      </c>
    </row>
    <row r="57" spans="1:6" x14ac:dyDescent="0.25">
      <c r="A57">
        <v>44816</v>
      </c>
      <c r="B57">
        <v>-13.88</v>
      </c>
      <c r="C57" t="s">
        <v>385</v>
      </c>
      <c r="D57" t="s">
        <v>388</v>
      </c>
      <c r="E57" t="s">
        <v>33</v>
      </c>
      <c r="F57" t="str">
        <f>VLOOKUP(E57, 'POS Categories'!$A$1:$B$1999, 2, FALSE)</f>
        <v>Food</v>
      </c>
    </row>
    <row r="58" spans="1:6" x14ac:dyDescent="0.25">
      <c r="A58">
        <v>44816</v>
      </c>
      <c r="B58">
        <v>-13.53</v>
      </c>
      <c r="C58" t="s">
        <v>385</v>
      </c>
      <c r="D58" t="s">
        <v>388</v>
      </c>
      <c r="E58" t="s">
        <v>185</v>
      </c>
      <c r="F58" t="str">
        <f>VLOOKUP(E58, 'POS Categories'!$A$1:$B$1999, 2, FALSE)</f>
        <v>Food</v>
      </c>
    </row>
    <row r="59" spans="1:6" x14ac:dyDescent="0.25">
      <c r="A59">
        <v>44816</v>
      </c>
      <c r="B59">
        <v>-6.94</v>
      </c>
      <c r="C59" t="s">
        <v>385</v>
      </c>
      <c r="D59" t="s">
        <v>388</v>
      </c>
      <c r="E59" t="s">
        <v>1225</v>
      </c>
      <c r="F59" t="str">
        <f>VLOOKUP(E59, 'POS Categories'!$A$1:$B$1999, 2, FALSE)</f>
        <v>Food</v>
      </c>
    </row>
    <row r="60" spans="1:6" x14ac:dyDescent="0.25">
      <c r="A60">
        <v>44814</v>
      </c>
      <c r="B60">
        <v>-14.41</v>
      </c>
      <c r="C60" t="s">
        <v>385</v>
      </c>
      <c r="D60" t="s">
        <v>388</v>
      </c>
      <c r="E60" t="s">
        <v>174</v>
      </c>
      <c r="F60" t="str">
        <f>VLOOKUP(E60, 'POS Categories'!$A$1:$B$1999, 2, FALSE)</f>
        <v>Food</v>
      </c>
    </row>
    <row r="61" spans="1:6" x14ac:dyDescent="0.25">
      <c r="A61">
        <v>44814</v>
      </c>
      <c r="B61">
        <v>-11.18</v>
      </c>
      <c r="C61" t="s">
        <v>385</v>
      </c>
      <c r="D61" t="s">
        <v>388</v>
      </c>
      <c r="E61" t="s">
        <v>408</v>
      </c>
      <c r="F61" t="str">
        <f>VLOOKUP(E61, 'POS Categories'!$A$1:$B$1999, 2, FALSE)</f>
        <v>Food</v>
      </c>
    </row>
    <row r="62" spans="1:6" x14ac:dyDescent="0.25">
      <c r="A62">
        <v>44813</v>
      </c>
      <c r="B62">
        <v>-19.07</v>
      </c>
      <c r="C62" t="s">
        <v>385</v>
      </c>
      <c r="D62" t="s">
        <v>388</v>
      </c>
      <c r="E62" t="s">
        <v>8</v>
      </c>
      <c r="F62" t="str">
        <f>VLOOKUP(E62, 'POS Categories'!$A$1:$B$1999, 2, FALSE)</f>
        <v>Food</v>
      </c>
    </row>
    <row r="63" spans="1:6" x14ac:dyDescent="0.25">
      <c r="A63">
        <v>44813</v>
      </c>
      <c r="B63">
        <v>-284.72000000000003</v>
      </c>
      <c r="C63" t="s">
        <v>385</v>
      </c>
      <c r="D63" t="s">
        <v>400</v>
      </c>
      <c r="E63" t="s">
        <v>401</v>
      </c>
      <c r="F63" t="str">
        <f>VLOOKUP(E63, 'POS Categories'!$A$1:$B$1999, 2, FALSE)</f>
        <v>Misc</v>
      </c>
    </row>
    <row r="64" spans="1:6" x14ac:dyDescent="0.25">
      <c r="A64">
        <v>44813</v>
      </c>
      <c r="B64">
        <v>-12.82</v>
      </c>
      <c r="C64" t="s">
        <v>385</v>
      </c>
      <c r="D64" t="s">
        <v>388</v>
      </c>
      <c r="E64" t="s">
        <v>408</v>
      </c>
      <c r="F64" t="str">
        <f>VLOOKUP(E64, 'POS Categories'!$A$1:$B$1999, 2, FALSE)</f>
        <v>Food</v>
      </c>
    </row>
    <row r="65" spans="1:6" x14ac:dyDescent="0.25">
      <c r="A65">
        <v>44813</v>
      </c>
      <c r="B65">
        <v>1996.67</v>
      </c>
      <c r="C65" t="s">
        <v>385</v>
      </c>
      <c r="D65" t="s">
        <v>386</v>
      </c>
      <c r="E65" t="s">
        <v>1193</v>
      </c>
      <c r="F65" t="str">
        <f>VLOOKUP(E65, 'POS Categories'!$A$1:$B$1999, 2, FALSE)</f>
        <v>Job</v>
      </c>
    </row>
    <row r="66" spans="1:6" x14ac:dyDescent="0.25">
      <c r="A66">
        <v>44812</v>
      </c>
      <c r="B66">
        <v>-6.63</v>
      </c>
      <c r="C66" t="s">
        <v>385</v>
      </c>
      <c r="D66" t="s">
        <v>388</v>
      </c>
      <c r="E66" t="s">
        <v>157</v>
      </c>
      <c r="F66" t="str">
        <f>VLOOKUP(E66, 'POS Categories'!$A$1:$B$1999, 2, FALSE)</f>
        <v>Personal</v>
      </c>
    </row>
    <row r="67" spans="1:6" x14ac:dyDescent="0.25">
      <c r="A67">
        <v>44812</v>
      </c>
      <c r="B67">
        <v>-13.88</v>
      </c>
      <c r="C67" t="s">
        <v>385</v>
      </c>
      <c r="D67" t="s">
        <v>388</v>
      </c>
      <c r="E67" t="s">
        <v>1225</v>
      </c>
      <c r="F67" t="str">
        <f>VLOOKUP(E67, 'POS Categories'!$A$1:$B$1999, 2, FALSE)</f>
        <v>Food</v>
      </c>
    </row>
    <row r="68" spans="1:6" x14ac:dyDescent="0.25">
      <c r="A68">
        <v>44812</v>
      </c>
      <c r="B68">
        <v>-16.829999999999998</v>
      </c>
      <c r="C68" t="s">
        <v>385</v>
      </c>
      <c r="D68" t="s">
        <v>388</v>
      </c>
      <c r="E68" t="s">
        <v>185</v>
      </c>
      <c r="F68" t="str">
        <f>VLOOKUP(E68, 'POS Categories'!$A$1:$B$1999, 2, FALSE)</f>
        <v>Food</v>
      </c>
    </row>
    <row r="69" spans="1:6" x14ac:dyDescent="0.25">
      <c r="A69">
        <v>44811</v>
      </c>
      <c r="B69">
        <v>-52.58</v>
      </c>
      <c r="C69" t="s">
        <v>385</v>
      </c>
      <c r="D69" t="s">
        <v>388</v>
      </c>
      <c r="E69" t="s">
        <v>1233</v>
      </c>
      <c r="F69" t="str">
        <f>VLOOKUP(E69, 'POS Categories'!$A$1:$B$1999, 2, FALSE)</f>
        <v>Personal</v>
      </c>
    </row>
    <row r="70" spans="1:6" x14ac:dyDescent="0.25">
      <c r="A70">
        <v>44811</v>
      </c>
      <c r="B70">
        <v>-8.74</v>
      </c>
      <c r="C70" t="s">
        <v>385</v>
      </c>
      <c r="D70" t="s">
        <v>388</v>
      </c>
      <c r="E70" t="s">
        <v>240</v>
      </c>
      <c r="F70" t="str">
        <f>VLOOKUP(E70, 'POS Categories'!$A$1:$B$1999, 2, FALSE)</f>
        <v>Food</v>
      </c>
    </row>
    <row r="71" spans="1:6" x14ac:dyDescent="0.25">
      <c r="A71">
        <v>44810</v>
      </c>
      <c r="B71">
        <v>-4.26</v>
      </c>
      <c r="C71" t="s">
        <v>385</v>
      </c>
      <c r="D71" t="s">
        <v>388</v>
      </c>
      <c r="E71" t="s">
        <v>245</v>
      </c>
      <c r="F71" t="str">
        <f>VLOOKUP(E71, 'POS Categories'!$A$1:$B$1999, 2, FALSE)</f>
        <v>Food</v>
      </c>
    </row>
    <row r="72" spans="1:6" x14ac:dyDescent="0.25">
      <c r="A72">
        <v>44810</v>
      </c>
      <c r="B72">
        <v>-23.67</v>
      </c>
      <c r="C72" t="s">
        <v>385</v>
      </c>
      <c r="D72" t="s">
        <v>388</v>
      </c>
      <c r="E72" t="s">
        <v>378</v>
      </c>
      <c r="F72" t="str">
        <f>VLOOKUP(E72, 'POS Categories'!$A$1:$B$1999, 2, FALSE)</f>
        <v>Food</v>
      </c>
    </row>
    <row r="73" spans="1:6" x14ac:dyDescent="0.25">
      <c r="A73">
        <v>44810</v>
      </c>
      <c r="B73">
        <v>27.93</v>
      </c>
      <c r="C73" t="s">
        <v>385</v>
      </c>
      <c r="D73" t="s">
        <v>430</v>
      </c>
      <c r="E73" t="s">
        <v>378</v>
      </c>
      <c r="F73" t="str">
        <f>VLOOKUP(E73, 'POS Categories'!$A$1:$B$1999, 2, FALSE)</f>
        <v>Food</v>
      </c>
    </row>
    <row r="74" spans="1:6" x14ac:dyDescent="0.25">
      <c r="A74">
        <v>44810</v>
      </c>
      <c r="B74">
        <v>-27.93</v>
      </c>
      <c r="C74" t="s">
        <v>385</v>
      </c>
      <c r="D74" t="s">
        <v>388</v>
      </c>
      <c r="E74" t="s">
        <v>378</v>
      </c>
      <c r="F74" t="str">
        <f>VLOOKUP(E74, 'POS Categories'!$A$1:$B$1999, 2, FALSE)</f>
        <v>Food</v>
      </c>
    </row>
    <row r="75" spans="1:6" x14ac:dyDescent="0.25">
      <c r="A75">
        <v>44810</v>
      </c>
      <c r="B75">
        <v>-60.53</v>
      </c>
      <c r="C75" t="s">
        <v>385</v>
      </c>
      <c r="D75" t="s">
        <v>388</v>
      </c>
      <c r="E75" t="s">
        <v>411</v>
      </c>
      <c r="F75" t="str">
        <f>VLOOKUP(E75, 'POS Categories'!$A$1:$B$1999, 2, FALSE)</f>
        <v>Sasktel</v>
      </c>
    </row>
    <row r="76" spans="1:6" x14ac:dyDescent="0.25">
      <c r="A76">
        <v>44810</v>
      </c>
      <c r="B76">
        <v>-36.75</v>
      </c>
      <c r="C76" t="s">
        <v>385</v>
      </c>
      <c r="D76" t="s">
        <v>388</v>
      </c>
      <c r="E76" t="s">
        <v>35</v>
      </c>
      <c r="F76" t="str">
        <f>VLOOKUP(E76, 'POS Categories'!$A$1:$B$1999, 2, FALSE)</f>
        <v>Personal</v>
      </c>
    </row>
    <row r="77" spans="1:6" x14ac:dyDescent="0.25">
      <c r="A77">
        <v>44810</v>
      </c>
      <c r="B77">
        <v>-6.98</v>
      </c>
      <c r="C77" t="s">
        <v>385</v>
      </c>
      <c r="D77" t="s">
        <v>388</v>
      </c>
      <c r="E77" t="s">
        <v>408</v>
      </c>
      <c r="F77" t="str">
        <f>VLOOKUP(E77, 'POS Categories'!$A$1:$B$1999, 2, FALSE)</f>
        <v>Food</v>
      </c>
    </row>
    <row r="78" spans="1:6" x14ac:dyDescent="0.25">
      <c r="A78">
        <v>44810</v>
      </c>
      <c r="B78">
        <v>-10.33</v>
      </c>
      <c r="C78" t="s">
        <v>385</v>
      </c>
      <c r="D78" t="s">
        <v>388</v>
      </c>
      <c r="E78" t="s">
        <v>185</v>
      </c>
      <c r="F78" t="str">
        <f>VLOOKUP(E78, 'POS Categories'!$A$1:$B$1999, 2, FALSE)</f>
        <v>Food</v>
      </c>
    </row>
    <row r="79" spans="1:6" x14ac:dyDescent="0.25">
      <c r="A79">
        <v>44810</v>
      </c>
      <c r="B79">
        <v>-54.37</v>
      </c>
      <c r="C79" t="s">
        <v>385</v>
      </c>
      <c r="D79" t="s">
        <v>388</v>
      </c>
      <c r="E79" t="s">
        <v>158</v>
      </c>
      <c r="F79" t="str">
        <f>VLOOKUP(E79, 'POS Categories'!$A$1:$B$1999, 2, FALSE)</f>
        <v>Personal</v>
      </c>
    </row>
    <row r="80" spans="1:6" x14ac:dyDescent="0.25">
      <c r="A80">
        <v>44810</v>
      </c>
      <c r="B80">
        <v>-11.18</v>
      </c>
      <c r="C80" t="s">
        <v>385</v>
      </c>
      <c r="D80" t="s">
        <v>388</v>
      </c>
      <c r="E80" t="s">
        <v>408</v>
      </c>
      <c r="F80" t="str">
        <f>VLOOKUP(E80, 'POS Categories'!$A$1:$B$1999, 2, FALSE)</f>
        <v>Food</v>
      </c>
    </row>
    <row r="81" spans="1:6" x14ac:dyDescent="0.25">
      <c r="A81">
        <v>44810</v>
      </c>
      <c r="B81">
        <v>-18.63</v>
      </c>
      <c r="C81" t="s">
        <v>385</v>
      </c>
      <c r="D81" t="s">
        <v>388</v>
      </c>
      <c r="E81" t="s">
        <v>142</v>
      </c>
      <c r="F81" t="str">
        <f>VLOOKUP(E81, 'POS Categories'!$A$1:$B$1999, 2, FALSE)</f>
        <v>Food</v>
      </c>
    </row>
    <row r="82" spans="1:6" x14ac:dyDescent="0.25">
      <c r="A82">
        <v>44810</v>
      </c>
      <c r="B82">
        <v>-11.18</v>
      </c>
      <c r="C82" t="s">
        <v>385</v>
      </c>
      <c r="D82" t="s">
        <v>388</v>
      </c>
      <c r="E82" t="s">
        <v>408</v>
      </c>
      <c r="F82" t="str">
        <f>VLOOKUP(E82, 'POS Categories'!$A$1:$B$1999, 2, FALSE)</f>
        <v>Food</v>
      </c>
    </row>
    <row r="83" spans="1:6" x14ac:dyDescent="0.25">
      <c r="A83">
        <v>44810</v>
      </c>
      <c r="B83">
        <v>-5.2</v>
      </c>
      <c r="C83" t="s">
        <v>385</v>
      </c>
      <c r="D83" t="s">
        <v>388</v>
      </c>
      <c r="E83" t="s">
        <v>1250</v>
      </c>
      <c r="F83" t="str">
        <f>VLOOKUP(E83, 'POS Categories'!$A$1:$B$1999, 2, FALSE)</f>
        <v>Food</v>
      </c>
    </row>
    <row r="84" spans="1:6" x14ac:dyDescent="0.25">
      <c r="A84">
        <v>44807</v>
      </c>
      <c r="B84">
        <v>-5.47</v>
      </c>
      <c r="C84" t="s">
        <v>385</v>
      </c>
      <c r="D84" t="s">
        <v>388</v>
      </c>
      <c r="E84" t="s">
        <v>1251</v>
      </c>
      <c r="F84" t="str">
        <f>VLOOKUP(E84, 'POS Categories'!$A$1:$B$1999, 2, FALSE)</f>
        <v>Vehicle</v>
      </c>
    </row>
    <row r="85" spans="1:6" x14ac:dyDescent="0.25">
      <c r="A85">
        <v>44807</v>
      </c>
      <c r="B85">
        <v>-4.3899999999999997</v>
      </c>
      <c r="C85" t="s">
        <v>385</v>
      </c>
      <c r="D85" t="s">
        <v>388</v>
      </c>
      <c r="E85" t="s">
        <v>1252</v>
      </c>
      <c r="F85" t="str">
        <f>VLOOKUP(E85, 'POS Categories'!$A$1:$B$1999, 2, FALSE)</f>
        <v>Food</v>
      </c>
    </row>
    <row r="86" spans="1:6" x14ac:dyDescent="0.25">
      <c r="A86">
        <v>44807</v>
      </c>
      <c r="B86">
        <v>-28.58</v>
      </c>
      <c r="C86" t="s">
        <v>385</v>
      </c>
      <c r="D86" t="s">
        <v>388</v>
      </c>
      <c r="E86" t="s">
        <v>1253</v>
      </c>
      <c r="F86" t="str">
        <f>VLOOKUP(E86, 'POS Categories'!$A$1:$B$1999, 2, FALSE)</f>
        <v>Food</v>
      </c>
    </row>
    <row r="87" spans="1:6" x14ac:dyDescent="0.25">
      <c r="A87">
        <v>44807</v>
      </c>
      <c r="B87">
        <v>-7</v>
      </c>
      <c r="C87" t="s">
        <v>385</v>
      </c>
      <c r="D87" t="s">
        <v>388</v>
      </c>
      <c r="E87" t="s">
        <v>1254</v>
      </c>
      <c r="F87" t="str">
        <f>VLOOKUP(E87, 'POS Categories'!$A$1:$B$1999, 2, FALSE)</f>
        <v>Food</v>
      </c>
    </row>
    <row r="88" spans="1:6" x14ac:dyDescent="0.25">
      <c r="A88">
        <v>44807</v>
      </c>
      <c r="B88">
        <v>-14.81</v>
      </c>
      <c r="C88" t="s">
        <v>385</v>
      </c>
      <c r="D88" t="s">
        <v>388</v>
      </c>
      <c r="E88" t="s">
        <v>1198</v>
      </c>
      <c r="F88" t="str">
        <f>VLOOKUP(E88, 'POS Categories'!$A$1:$B$1999, 2, FALSE)</f>
        <v>Entertainment</v>
      </c>
    </row>
    <row r="89" spans="1:6" x14ac:dyDescent="0.25">
      <c r="A89">
        <v>44806</v>
      </c>
      <c r="B89">
        <v>-122.67</v>
      </c>
      <c r="C89" t="s">
        <v>385</v>
      </c>
      <c r="D89" t="s">
        <v>388</v>
      </c>
      <c r="E89" t="s">
        <v>1255</v>
      </c>
      <c r="F89" t="str">
        <f>VLOOKUP(E89, 'POS Categories'!$A$1:$B$1999, 2, FALSE)</f>
        <v>Food</v>
      </c>
    </row>
    <row r="90" spans="1:6" x14ac:dyDescent="0.25">
      <c r="A90">
        <v>44805</v>
      </c>
      <c r="B90">
        <v>-1325</v>
      </c>
      <c r="C90" t="s">
        <v>385</v>
      </c>
      <c r="D90" t="s">
        <v>414</v>
      </c>
      <c r="E90" t="s">
        <v>1224</v>
      </c>
      <c r="F90" t="str">
        <f>VLOOKUP(E90, 'POS Categories'!$A$1:$B$1999, 2, FALSE)</f>
        <v>Rent</v>
      </c>
    </row>
    <row r="91" spans="1:6" x14ac:dyDescent="0.25">
      <c r="A91">
        <v>44805</v>
      </c>
      <c r="B91">
        <v>-33.6</v>
      </c>
      <c r="C91" t="s">
        <v>385</v>
      </c>
      <c r="D91" t="s">
        <v>388</v>
      </c>
      <c r="E91" t="s">
        <v>1256</v>
      </c>
      <c r="F91" t="str">
        <f>VLOOKUP(E91, 'POS Categories'!$A$1:$B$1999, 2, FALSE)</f>
        <v>Food</v>
      </c>
    </row>
    <row r="92" spans="1:6" x14ac:dyDescent="0.25">
      <c r="A92">
        <v>44805</v>
      </c>
      <c r="B92">
        <v>-70</v>
      </c>
      <c r="C92" t="s">
        <v>385</v>
      </c>
      <c r="D92" t="s">
        <v>466</v>
      </c>
      <c r="E92" t="s">
        <v>200</v>
      </c>
      <c r="F92" t="str">
        <f>VLOOKUP(E92, 'POS Categories'!$A$1:$B$1999, 2, FALSE)</f>
        <v>Bills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99"/>
  <sheetViews>
    <sheetView topLeftCell="A77" workbookViewId="0">
      <selection activeCell="I96" sqref="I96"/>
    </sheetView>
  </sheetViews>
  <sheetFormatPr defaultRowHeight="15" x14ac:dyDescent="0.25"/>
  <sheetData>
    <row r="1" spans="1:6" x14ac:dyDescent="0.25">
      <c r="A1">
        <v>44800</v>
      </c>
      <c r="B1">
        <v>-37.799999999999997</v>
      </c>
      <c r="C1" t="s">
        <v>385</v>
      </c>
      <c r="D1" t="s">
        <v>388</v>
      </c>
      <c r="E1" t="s">
        <v>14</v>
      </c>
      <c r="F1" t="str">
        <f>VLOOKUP(E1, 'POS Categories'!$A$1:$B$1999, 2, FALSE)</f>
        <v>Vehicle</v>
      </c>
    </row>
    <row r="2" spans="1:6" x14ac:dyDescent="0.25">
      <c r="A2">
        <v>44799</v>
      </c>
      <c r="B2">
        <v>-12.53</v>
      </c>
      <c r="C2" t="s">
        <v>385</v>
      </c>
      <c r="D2" t="s">
        <v>388</v>
      </c>
      <c r="E2" t="s">
        <v>171</v>
      </c>
      <c r="F2" t="str">
        <f>VLOOKUP(E2, 'POS Categories'!$A$1:$B$1999, 2, FALSE)</f>
        <v>Food</v>
      </c>
    </row>
    <row r="3" spans="1:6" x14ac:dyDescent="0.25">
      <c r="A3">
        <v>44799</v>
      </c>
      <c r="B3">
        <v>-74.05</v>
      </c>
      <c r="C3" t="s">
        <v>385</v>
      </c>
      <c r="D3" t="s">
        <v>388</v>
      </c>
      <c r="E3" t="s">
        <v>1237</v>
      </c>
      <c r="F3" t="str">
        <f>VLOOKUP(E3, 'POS Categories'!$A$1:$B$1999, 2, FALSE)</f>
        <v>Personal</v>
      </c>
    </row>
    <row r="4" spans="1:6" x14ac:dyDescent="0.25">
      <c r="A4">
        <v>44799</v>
      </c>
      <c r="B4">
        <v>-14.17</v>
      </c>
      <c r="C4" t="s">
        <v>385</v>
      </c>
      <c r="D4" t="s">
        <v>388</v>
      </c>
      <c r="E4" t="s">
        <v>408</v>
      </c>
      <c r="F4" t="str">
        <f>VLOOKUP(E4, 'POS Categories'!$A$1:$B$1999, 2, FALSE)</f>
        <v>Food</v>
      </c>
    </row>
    <row r="5" spans="1:6" x14ac:dyDescent="0.25">
      <c r="A5">
        <v>44799</v>
      </c>
      <c r="B5">
        <v>1991.32</v>
      </c>
      <c r="C5" t="s">
        <v>385</v>
      </c>
      <c r="D5" t="s">
        <v>386</v>
      </c>
      <c r="E5" t="s">
        <v>1193</v>
      </c>
      <c r="F5" t="str">
        <f>VLOOKUP(E5, 'POS Categories'!$A$1:$B$1999, 2, FALSE)</f>
        <v>Job</v>
      </c>
    </row>
    <row r="6" spans="1:6" x14ac:dyDescent="0.25">
      <c r="A6">
        <v>44798</v>
      </c>
      <c r="B6">
        <v>-15.21</v>
      </c>
      <c r="C6" t="s">
        <v>385</v>
      </c>
      <c r="D6" t="s">
        <v>388</v>
      </c>
      <c r="E6" t="s">
        <v>315</v>
      </c>
      <c r="F6" t="str">
        <f>VLOOKUP(E6, 'POS Categories'!$A$1:$B$1999, 2, FALSE)</f>
        <v>Food</v>
      </c>
    </row>
    <row r="7" spans="1:6" x14ac:dyDescent="0.25">
      <c r="A7">
        <v>44798</v>
      </c>
      <c r="B7">
        <v>-9.8800000000000008</v>
      </c>
      <c r="C7" t="s">
        <v>385</v>
      </c>
      <c r="D7" t="s">
        <v>388</v>
      </c>
      <c r="E7" t="s">
        <v>185</v>
      </c>
      <c r="F7" t="str">
        <f>VLOOKUP(E7, 'POS Categories'!$A$1:$B$1999, 2, FALSE)</f>
        <v>Food</v>
      </c>
    </row>
    <row r="8" spans="1:6" x14ac:dyDescent="0.25">
      <c r="A8">
        <v>44798</v>
      </c>
      <c r="B8">
        <v>-165.75</v>
      </c>
      <c r="C8" t="s">
        <v>385</v>
      </c>
      <c r="D8" t="s">
        <v>400</v>
      </c>
      <c r="E8" t="s">
        <v>401</v>
      </c>
      <c r="F8" t="str">
        <f>VLOOKUP(E8, 'POS Categories'!$A$1:$B$1999, 2, FALSE)</f>
        <v>Misc</v>
      </c>
    </row>
    <row r="9" spans="1:6" x14ac:dyDescent="0.25">
      <c r="A9">
        <v>44798</v>
      </c>
      <c r="B9">
        <v>-68.27</v>
      </c>
      <c r="C9" t="s">
        <v>385</v>
      </c>
      <c r="D9" t="s">
        <v>435</v>
      </c>
      <c r="E9" t="s">
        <v>177</v>
      </c>
      <c r="F9" t="str">
        <f>VLOOKUP(E9, 'POS Categories'!$A$1:$B$1999, 2, FALSE)</f>
        <v>Power</v>
      </c>
    </row>
    <row r="10" spans="1:6" x14ac:dyDescent="0.25">
      <c r="A10">
        <v>44797</v>
      </c>
      <c r="B10">
        <v>-11.98</v>
      </c>
      <c r="C10" t="s">
        <v>385</v>
      </c>
      <c r="D10" t="s">
        <v>388</v>
      </c>
      <c r="E10" t="s">
        <v>8</v>
      </c>
      <c r="F10" t="str">
        <f>VLOOKUP(E10, 'POS Categories'!$A$1:$B$1999, 2, FALSE)</f>
        <v>Food</v>
      </c>
    </row>
    <row r="11" spans="1:6" x14ac:dyDescent="0.25">
      <c r="A11">
        <v>44797</v>
      </c>
      <c r="B11">
        <v>-8.3000000000000007</v>
      </c>
      <c r="C11" t="s">
        <v>385</v>
      </c>
      <c r="D11" t="s">
        <v>388</v>
      </c>
      <c r="E11" t="s">
        <v>408</v>
      </c>
      <c r="F11" t="str">
        <f>VLOOKUP(E11, 'POS Categories'!$A$1:$B$1999, 2, FALSE)</f>
        <v>Food</v>
      </c>
    </row>
    <row r="12" spans="1:6" x14ac:dyDescent="0.25">
      <c r="A12">
        <v>44796</v>
      </c>
      <c r="B12">
        <v>-11.97</v>
      </c>
      <c r="C12" t="s">
        <v>385</v>
      </c>
      <c r="D12" t="s">
        <v>388</v>
      </c>
      <c r="E12" t="s">
        <v>408</v>
      </c>
      <c r="F12" t="str">
        <f>VLOOKUP(E12, 'POS Categories'!$A$1:$B$1999, 2, FALSE)</f>
        <v>Food</v>
      </c>
    </row>
    <row r="13" spans="1:6" x14ac:dyDescent="0.25">
      <c r="A13">
        <v>44796</v>
      </c>
      <c r="B13">
        <v>18.920000000000002</v>
      </c>
      <c r="C13" t="s">
        <v>385</v>
      </c>
      <c r="D13" t="s">
        <v>467</v>
      </c>
      <c r="E13" t="s">
        <v>200</v>
      </c>
      <c r="F13" t="str">
        <f>VLOOKUP(E13, 'POS Categories'!$A$1:$B$1999, 2, FALSE)</f>
        <v>Bills</v>
      </c>
    </row>
    <row r="14" spans="1:6" x14ac:dyDescent="0.25">
      <c r="A14">
        <v>44796</v>
      </c>
      <c r="B14">
        <v>-14.63</v>
      </c>
      <c r="C14" t="s">
        <v>385</v>
      </c>
      <c r="D14" t="s">
        <v>388</v>
      </c>
      <c r="E14" t="s">
        <v>174</v>
      </c>
      <c r="F14" t="str">
        <f>VLOOKUP(E14, 'POS Categories'!$A$1:$B$1999, 2, FALSE)</f>
        <v>Food</v>
      </c>
    </row>
    <row r="15" spans="1:6" x14ac:dyDescent="0.25">
      <c r="A15">
        <v>44795</v>
      </c>
      <c r="B15">
        <v>-14.64</v>
      </c>
      <c r="C15" t="s">
        <v>385</v>
      </c>
      <c r="D15" t="s">
        <v>388</v>
      </c>
      <c r="E15" t="s">
        <v>1238</v>
      </c>
      <c r="F15" t="str">
        <f>VLOOKUP(E15, 'POS Categories'!$A$1:$B$1999, 2, FALSE)</f>
        <v>Food</v>
      </c>
    </row>
    <row r="16" spans="1:6" x14ac:dyDescent="0.25">
      <c r="A16">
        <v>44795</v>
      </c>
      <c r="B16">
        <v>-13.88</v>
      </c>
      <c r="C16" t="s">
        <v>385</v>
      </c>
      <c r="D16" t="s">
        <v>388</v>
      </c>
      <c r="E16" t="s">
        <v>1225</v>
      </c>
      <c r="F16" t="str">
        <f>VLOOKUP(E16, 'POS Categories'!$A$1:$B$1999, 2, FALSE)</f>
        <v>Food</v>
      </c>
    </row>
    <row r="17" spans="1:6" x14ac:dyDescent="0.25">
      <c r="A17">
        <v>44795</v>
      </c>
      <c r="B17">
        <v>-12.53</v>
      </c>
      <c r="C17" t="s">
        <v>385</v>
      </c>
      <c r="D17" t="s">
        <v>388</v>
      </c>
      <c r="E17" t="s">
        <v>171</v>
      </c>
      <c r="F17" t="str">
        <f>VLOOKUP(E17, 'POS Categories'!$A$1:$B$1999, 2, FALSE)</f>
        <v>Food</v>
      </c>
    </row>
    <row r="18" spans="1:6" x14ac:dyDescent="0.25">
      <c r="A18">
        <v>44795</v>
      </c>
      <c r="B18">
        <v>-8.8699999999999992</v>
      </c>
      <c r="C18" t="s">
        <v>385</v>
      </c>
      <c r="D18" t="s">
        <v>388</v>
      </c>
      <c r="E18" t="s">
        <v>420</v>
      </c>
      <c r="F18" t="str">
        <f>VLOOKUP(E18, 'POS Categories'!$A$1:$B$1999, 2, FALSE)</f>
        <v>Home</v>
      </c>
    </row>
    <row r="19" spans="1:6" x14ac:dyDescent="0.25">
      <c r="A19">
        <v>44795</v>
      </c>
      <c r="B19">
        <v>-13.35</v>
      </c>
      <c r="C19" t="s">
        <v>385</v>
      </c>
      <c r="D19" t="s">
        <v>388</v>
      </c>
      <c r="E19" t="s">
        <v>1239</v>
      </c>
      <c r="F19" t="str">
        <f>VLOOKUP(E19, 'POS Categories'!$A$1:$B$1999, 2, FALSE)</f>
        <v>Food</v>
      </c>
    </row>
    <row r="20" spans="1:6" x14ac:dyDescent="0.25">
      <c r="A20">
        <v>44793</v>
      </c>
      <c r="B20">
        <v>-21.74</v>
      </c>
      <c r="C20" t="s">
        <v>385</v>
      </c>
      <c r="D20" t="s">
        <v>388</v>
      </c>
      <c r="E20" t="s">
        <v>1196</v>
      </c>
      <c r="F20" t="str">
        <f>VLOOKUP(E20, 'POS Categories'!$A$1:$B$1999, 2, FALSE)</f>
        <v>Food</v>
      </c>
    </row>
    <row r="21" spans="1:6" x14ac:dyDescent="0.25">
      <c r="A21">
        <v>44793</v>
      </c>
      <c r="B21">
        <v>-12.82</v>
      </c>
      <c r="C21" t="s">
        <v>385</v>
      </c>
      <c r="D21" t="s">
        <v>388</v>
      </c>
      <c r="E21" t="s">
        <v>408</v>
      </c>
      <c r="F21" t="str">
        <f>VLOOKUP(E21, 'POS Categories'!$A$1:$B$1999, 2, FALSE)</f>
        <v>Food</v>
      </c>
    </row>
    <row r="22" spans="1:6" x14ac:dyDescent="0.25">
      <c r="A22">
        <v>44792</v>
      </c>
      <c r="B22">
        <v>-37.49</v>
      </c>
      <c r="C22" t="s">
        <v>385</v>
      </c>
      <c r="D22" t="s">
        <v>388</v>
      </c>
      <c r="E22" t="s">
        <v>378</v>
      </c>
      <c r="F22" t="str">
        <f>VLOOKUP(E22, 'POS Categories'!$A$1:$B$1999, 2, FALSE)</f>
        <v>Food</v>
      </c>
    </row>
    <row r="23" spans="1:6" x14ac:dyDescent="0.25">
      <c r="A23">
        <v>44792</v>
      </c>
      <c r="B23">
        <v>43.11</v>
      </c>
      <c r="C23" t="s">
        <v>385</v>
      </c>
      <c r="D23" t="s">
        <v>430</v>
      </c>
      <c r="E23" t="s">
        <v>378</v>
      </c>
      <c r="F23" t="str">
        <f>VLOOKUP(E23, 'POS Categories'!$A$1:$B$1999, 2, FALSE)</f>
        <v>Food</v>
      </c>
    </row>
    <row r="24" spans="1:6" x14ac:dyDescent="0.25">
      <c r="A24">
        <v>44792</v>
      </c>
      <c r="B24">
        <v>-5.62</v>
      </c>
      <c r="C24" t="s">
        <v>385</v>
      </c>
      <c r="D24" t="s">
        <v>388</v>
      </c>
      <c r="E24" t="s">
        <v>246</v>
      </c>
      <c r="F24" t="str">
        <f>VLOOKUP(E24, 'POS Categories'!$A$1:$B$1999, 2, FALSE)</f>
        <v>Food</v>
      </c>
    </row>
    <row r="25" spans="1:6" x14ac:dyDescent="0.25">
      <c r="A25">
        <v>44792</v>
      </c>
      <c r="B25">
        <v>-43.11</v>
      </c>
      <c r="C25" t="s">
        <v>385</v>
      </c>
      <c r="D25" t="s">
        <v>388</v>
      </c>
      <c r="E25" t="s">
        <v>378</v>
      </c>
      <c r="F25" t="str">
        <f>VLOOKUP(E25, 'POS Categories'!$A$1:$B$1999, 2, FALSE)</f>
        <v>Food</v>
      </c>
    </row>
    <row r="26" spans="1:6" x14ac:dyDescent="0.25">
      <c r="A26">
        <v>44792</v>
      </c>
      <c r="B26">
        <v>-11.98</v>
      </c>
      <c r="C26" t="s">
        <v>385</v>
      </c>
      <c r="D26" t="s">
        <v>388</v>
      </c>
      <c r="E26" t="s">
        <v>8</v>
      </c>
      <c r="F26" t="str">
        <f>VLOOKUP(E26, 'POS Categories'!$A$1:$B$1999, 2, FALSE)</f>
        <v>Food</v>
      </c>
    </row>
    <row r="27" spans="1:6" x14ac:dyDescent="0.25">
      <c r="A27">
        <v>44792</v>
      </c>
      <c r="B27">
        <v>-6.94</v>
      </c>
      <c r="C27" t="s">
        <v>385</v>
      </c>
      <c r="D27" t="s">
        <v>388</v>
      </c>
      <c r="E27" t="s">
        <v>1225</v>
      </c>
      <c r="F27" t="str">
        <f>VLOOKUP(E27, 'POS Categories'!$A$1:$B$1999, 2, FALSE)</f>
        <v>Food</v>
      </c>
    </row>
    <row r="28" spans="1:6" x14ac:dyDescent="0.25">
      <c r="A28">
        <v>44791</v>
      </c>
      <c r="B28">
        <v>-17.829999999999998</v>
      </c>
      <c r="C28" t="s">
        <v>385</v>
      </c>
      <c r="D28" t="s">
        <v>388</v>
      </c>
      <c r="E28" t="s">
        <v>315</v>
      </c>
      <c r="F28" t="str">
        <f>VLOOKUP(E28, 'POS Categories'!$A$1:$B$1999, 2, FALSE)</f>
        <v>Food</v>
      </c>
    </row>
    <row r="29" spans="1:6" x14ac:dyDescent="0.25">
      <c r="A29">
        <v>44791</v>
      </c>
      <c r="B29">
        <v>-13.88</v>
      </c>
      <c r="C29" t="s">
        <v>385</v>
      </c>
      <c r="D29" t="s">
        <v>388</v>
      </c>
      <c r="E29" t="s">
        <v>1225</v>
      </c>
      <c r="F29" t="str">
        <f>VLOOKUP(E29, 'POS Categories'!$A$1:$B$1999, 2, FALSE)</f>
        <v>Food</v>
      </c>
    </row>
    <row r="30" spans="1:6" x14ac:dyDescent="0.25">
      <c r="A30">
        <v>44791</v>
      </c>
      <c r="B30">
        <v>-13.4</v>
      </c>
      <c r="C30" t="s">
        <v>385</v>
      </c>
      <c r="D30" t="s">
        <v>388</v>
      </c>
      <c r="E30" t="s">
        <v>240</v>
      </c>
      <c r="F30" t="str">
        <f>VLOOKUP(E30, 'POS Categories'!$A$1:$B$1999, 2, FALSE)</f>
        <v>Food</v>
      </c>
    </row>
    <row r="31" spans="1:6" x14ac:dyDescent="0.25">
      <c r="A31">
        <v>44790</v>
      </c>
      <c r="B31">
        <v>52.5</v>
      </c>
      <c r="C31" t="s">
        <v>385</v>
      </c>
      <c r="D31" t="s">
        <v>427</v>
      </c>
      <c r="E31" t="s">
        <v>1194</v>
      </c>
      <c r="F31" t="str">
        <f>VLOOKUP(E31, 'POS Categories'!$A$1:$B$1999, 2, FALSE)</f>
        <v>Sports</v>
      </c>
    </row>
    <row r="32" spans="1:6" x14ac:dyDescent="0.25">
      <c r="A32">
        <v>44790</v>
      </c>
      <c r="B32">
        <v>-11.98</v>
      </c>
      <c r="C32" t="s">
        <v>385</v>
      </c>
      <c r="D32" t="s">
        <v>388</v>
      </c>
      <c r="E32" t="s">
        <v>8</v>
      </c>
      <c r="F32" t="str">
        <f>VLOOKUP(E32, 'POS Categories'!$A$1:$B$1999, 2, FALSE)</f>
        <v>Food</v>
      </c>
    </row>
    <row r="33" spans="1:6" x14ac:dyDescent="0.25">
      <c r="A33">
        <v>44789</v>
      </c>
      <c r="B33">
        <v>-10.87</v>
      </c>
      <c r="C33" t="s">
        <v>385</v>
      </c>
      <c r="D33" t="s">
        <v>388</v>
      </c>
      <c r="E33" t="s">
        <v>174</v>
      </c>
      <c r="F33" t="str">
        <f>VLOOKUP(E33, 'POS Categories'!$A$1:$B$1999, 2, FALSE)</f>
        <v>Food</v>
      </c>
    </row>
    <row r="34" spans="1:6" x14ac:dyDescent="0.25">
      <c r="A34">
        <v>44789</v>
      </c>
      <c r="B34">
        <v>-6.94</v>
      </c>
      <c r="C34" t="s">
        <v>385</v>
      </c>
      <c r="D34" t="s">
        <v>388</v>
      </c>
      <c r="E34" t="s">
        <v>1225</v>
      </c>
      <c r="F34" t="str">
        <f>VLOOKUP(E34, 'POS Categories'!$A$1:$B$1999, 2, FALSE)</f>
        <v>Food</v>
      </c>
    </row>
    <row r="35" spans="1:6" x14ac:dyDescent="0.25">
      <c r="A35">
        <v>44789</v>
      </c>
      <c r="B35">
        <v>-57.62</v>
      </c>
      <c r="C35" t="s">
        <v>385</v>
      </c>
      <c r="D35" t="s">
        <v>388</v>
      </c>
      <c r="E35" t="s">
        <v>199</v>
      </c>
      <c r="F35" t="str">
        <f>VLOOKUP(E35, 'POS Categories'!$A$1:$B$1999, 2, FALSE)</f>
        <v>Personal</v>
      </c>
    </row>
    <row r="36" spans="1:6" x14ac:dyDescent="0.25">
      <c r="A36">
        <v>44788</v>
      </c>
      <c r="B36">
        <v>-28.07</v>
      </c>
      <c r="C36" t="s">
        <v>385</v>
      </c>
      <c r="D36" t="s">
        <v>388</v>
      </c>
      <c r="E36" t="s">
        <v>162</v>
      </c>
      <c r="F36" t="str">
        <f>VLOOKUP(E36, 'POS Categories'!$A$1:$B$1999, 2, FALSE)</f>
        <v>Food</v>
      </c>
    </row>
    <row r="37" spans="1:6" x14ac:dyDescent="0.25">
      <c r="A37">
        <v>44788</v>
      </c>
      <c r="B37">
        <v>-3.32</v>
      </c>
      <c r="C37" t="s">
        <v>385</v>
      </c>
      <c r="D37" t="s">
        <v>388</v>
      </c>
      <c r="E37" t="s">
        <v>171</v>
      </c>
      <c r="F37" t="str">
        <f>VLOOKUP(E37, 'POS Categories'!$A$1:$B$1999, 2, FALSE)</f>
        <v>Food</v>
      </c>
    </row>
    <row r="38" spans="1:6" x14ac:dyDescent="0.25">
      <c r="A38">
        <v>44788</v>
      </c>
      <c r="B38">
        <v>-19.07</v>
      </c>
      <c r="C38" t="s">
        <v>385</v>
      </c>
      <c r="D38" t="s">
        <v>388</v>
      </c>
      <c r="E38" t="s">
        <v>8</v>
      </c>
      <c r="F38" t="str">
        <f>VLOOKUP(E38, 'POS Categories'!$A$1:$B$1999, 2, FALSE)</f>
        <v>Food</v>
      </c>
    </row>
    <row r="39" spans="1:6" x14ac:dyDescent="0.25">
      <c r="A39">
        <v>44788</v>
      </c>
      <c r="B39">
        <v>-66.55</v>
      </c>
      <c r="C39" t="s">
        <v>385</v>
      </c>
      <c r="D39" t="s">
        <v>388</v>
      </c>
      <c r="E39" t="s">
        <v>175</v>
      </c>
      <c r="F39" t="str">
        <f>VLOOKUP(E39, 'POS Categories'!$A$1:$B$1999, 2, FALSE)</f>
        <v>Sasktel</v>
      </c>
    </row>
    <row r="40" spans="1:6" x14ac:dyDescent="0.25">
      <c r="A40">
        <v>44788</v>
      </c>
      <c r="B40">
        <v>-9.99</v>
      </c>
      <c r="C40" t="s">
        <v>385</v>
      </c>
      <c r="D40" t="s">
        <v>388</v>
      </c>
      <c r="E40" t="s">
        <v>171</v>
      </c>
      <c r="F40" t="str">
        <f>VLOOKUP(E40, 'POS Categories'!$A$1:$B$1999, 2, FALSE)</f>
        <v>Food</v>
      </c>
    </row>
    <row r="41" spans="1:6" x14ac:dyDescent="0.25">
      <c r="A41">
        <v>44788</v>
      </c>
      <c r="B41">
        <v>-3.35</v>
      </c>
      <c r="C41" t="s">
        <v>385</v>
      </c>
      <c r="D41" t="s">
        <v>388</v>
      </c>
      <c r="E41" t="s">
        <v>1158</v>
      </c>
      <c r="F41" t="str">
        <f>VLOOKUP(E41, 'POS Categories'!$A$1:$B$1999, 2, FALSE)</f>
        <v>Personal</v>
      </c>
    </row>
    <row r="42" spans="1:6" x14ac:dyDescent="0.25">
      <c r="A42">
        <v>44788</v>
      </c>
      <c r="B42">
        <v>-11.18</v>
      </c>
      <c r="C42" t="s">
        <v>385</v>
      </c>
      <c r="D42" t="s">
        <v>388</v>
      </c>
      <c r="E42" t="s">
        <v>408</v>
      </c>
      <c r="F42" t="str">
        <f>VLOOKUP(E42, 'POS Categories'!$A$1:$B$1999, 2, FALSE)</f>
        <v>Food</v>
      </c>
    </row>
    <row r="43" spans="1:6" x14ac:dyDescent="0.25">
      <c r="A43">
        <v>44786</v>
      </c>
      <c r="B43">
        <v>-4.55</v>
      </c>
      <c r="C43" t="s">
        <v>385</v>
      </c>
      <c r="D43" t="s">
        <v>388</v>
      </c>
      <c r="E43" t="s">
        <v>246</v>
      </c>
      <c r="F43" t="str">
        <f>VLOOKUP(E43, 'POS Categories'!$A$1:$B$1999, 2, FALSE)</f>
        <v>Food</v>
      </c>
    </row>
    <row r="44" spans="1:6" x14ac:dyDescent="0.25">
      <c r="A44">
        <v>44786</v>
      </c>
      <c r="B44">
        <v>-23.82</v>
      </c>
      <c r="C44" t="s">
        <v>385</v>
      </c>
      <c r="D44" t="s">
        <v>388</v>
      </c>
      <c r="E44" t="s">
        <v>246</v>
      </c>
      <c r="F44" t="str">
        <f>VLOOKUP(E44, 'POS Categories'!$A$1:$B$1999, 2, FALSE)</f>
        <v>Food</v>
      </c>
    </row>
    <row r="45" spans="1:6" x14ac:dyDescent="0.25">
      <c r="A45">
        <v>44786</v>
      </c>
      <c r="B45">
        <v>28.37</v>
      </c>
      <c r="C45" t="s">
        <v>385</v>
      </c>
      <c r="D45" t="s">
        <v>430</v>
      </c>
      <c r="E45" t="s">
        <v>246</v>
      </c>
      <c r="F45" t="str">
        <f>VLOOKUP(E45, 'POS Categories'!$A$1:$B$1999, 2, FALSE)</f>
        <v>Food</v>
      </c>
    </row>
    <row r="46" spans="1:6" x14ac:dyDescent="0.25">
      <c r="A46">
        <v>44786</v>
      </c>
      <c r="B46">
        <v>-28.37</v>
      </c>
      <c r="C46" t="s">
        <v>385</v>
      </c>
      <c r="D46" t="s">
        <v>388</v>
      </c>
      <c r="E46" t="s">
        <v>246</v>
      </c>
      <c r="F46" t="str">
        <f>VLOOKUP(E46, 'POS Categories'!$A$1:$B$1999, 2, FALSE)</f>
        <v>Food</v>
      </c>
    </row>
    <row r="47" spans="1:6" x14ac:dyDescent="0.25">
      <c r="A47">
        <v>44786</v>
      </c>
      <c r="B47">
        <v>-12.82</v>
      </c>
      <c r="C47" t="s">
        <v>385</v>
      </c>
      <c r="D47" t="s">
        <v>388</v>
      </c>
      <c r="E47" t="s">
        <v>408</v>
      </c>
      <c r="F47" t="str">
        <f>VLOOKUP(E47, 'POS Categories'!$A$1:$B$1999, 2, FALSE)</f>
        <v>Food</v>
      </c>
    </row>
    <row r="48" spans="1:6" x14ac:dyDescent="0.25">
      <c r="A48">
        <v>44785</v>
      </c>
      <c r="B48">
        <v>-10.99</v>
      </c>
      <c r="C48" t="s">
        <v>385</v>
      </c>
      <c r="D48" t="s">
        <v>388</v>
      </c>
      <c r="E48" t="s">
        <v>1196</v>
      </c>
      <c r="F48" t="str">
        <f>VLOOKUP(E48, 'POS Categories'!$A$1:$B$1999, 2, FALSE)</f>
        <v>Food</v>
      </c>
    </row>
    <row r="49" spans="1:6" x14ac:dyDescent="0.25">
      <c r="A49">
        <v>44785</v>
      </c>
      <c r="B49">
        <v>-12</v>
      </c>
      <c r="C49" t="s">
        <v>385</v>
      </c>
      <c r="D49" t="s">
        <v>388</v>
      </c>
      <c r="E49" t="s">
        <v>185</v>
      </c>
      <c r="F49" t="str">
        <f>VLOOKUP(E49, 'POS Categories'!$A$1:$B$1999, 2, FALSE)</f>
        <v>Food</v>
      </c>
    </row>
    <row r="50" spans="1:6" x14ac:dyDescent="0.25">
      <c r="A50">
        <v>44785</v>
      </c>
      <c r="B50">
        <v>-6.94</v>
      </c>
      <c r="C50" t="s">
        <v>385</v>
      </c>
      <c r="D50" t="s">
        <v>388</v>
      </c>
      <c r="E50" t="s">
        <v>1225</v>
      </c>
      <c r="F50" t="str">
        <f>VLOOKUP(E50, 'POS Categories'!$A$1:$B$1999, 2, FALSE)</f>
        <v>Food</v>
      </c>
    </row>
    <row r="51" spans="1:6" x14ac:dyDescent="0.25">
      <c r="A51">
        <v>44785</v>
      </c>
      <c r="B51">
        <v>1991.33</v>
      </c>
      <c r="C51" t="s">
        <v>385</v>
      </c>
      <c r="D51" t="s">
        <v>386</v>
      </c>
      <c r="E51" t="s">
        <v>1193</v>
      </c>
      <c r="F51" t="str">
        <f>VLOOKUP(E51, 'POS Categories'!$A$1:$B$1999, 2, FALSE)</f>
        <v>Job</v>
      </c>
    </row>
    <row r="52" spans="1:6" x14ac:dyDescent="0.25">
      <c r="A52">
        <v>44784</v>
      </c>
      <c r="B52">
        <v>-7.54</v>
      </c>
      <c r="C52" t="s">
        <v>385</v>
      </c>
      <c r="D52" t="s">
        <v>388</v>
      </c>
      <c r="E52" t="s">
        <v>408</v>
      </c>
      <c r="F52" t="str">
        <f>VLOOKUP(E52, 'POS Categories'!$A$1:$B$1999, 2, FALSE)</f>
        <v>Food</v>
      </c>
    </row>
    <row r="53" spans="1:6" x14ac:dyDescent="0.25">
      <c r="A53">
        <v>44784</v>
      </c>
      <c r="B53">
        <v>-7.61</v>
      </c>
      <c r="C53" t="s">
        <v>385</v>
      </c>
      <c r="D53" t="s">
        <v>388</v>
      </c>
      <c r="E53" t="s">
        <v>315</v>
      </c>
      <c r="F53" t="str">
        <f>VLOOKUP(E53, 'POS Categories'!$A$1:$B$1999, 2, FALSE)</f>
        <v>Food</v>
      </c>
    </row>
    <row r="54" spans="1:6" x14ac:dyDescent="0.25">
      <c r="A54">
        <v>44784</v>
      </c>
      <c r="B54">
        <v>-11.42</v>
      </c>
      <c r="C54" t="s">
        <v>385</v>
      </c>
      <c r="D54" t="s">
        <v>388</v>
      </c>
      <c r="E54" t="s">
        <v>174</v>
      </c>
      <c r="F54" t="str">
        <f>VLOOKUP(E54, 'POS Categories'!$A$1:$B$1999, 2, FALSE)</f>
        <v>Food</v>
      </c>
    </row>
    <row r="55" spans="1:6" x14ac:dyDescent="0.25">
      <c r="A55">
        <v>44784</v>
      </c>
      <c r="B55">
        <v>-13.8</v>
      </c>
      <c r="C55" t="s">
        <v>385</v>
      </c>
      <c r="D55" t="s">
        <v>388</v>
      </c>
      <c r="E55" t="s">
        <v>1240</v>
      </c>
      <c r="F55" t="str">
        <f>VLOOKUP(E55, 'POS Categories'!$A$1:$B$1999, 2, FALSE)</f>
        <v>Food</v>
      </c>
    </row>
    <row r="56" spans="1:6" x14ac:dyDescent="0.25">
      <c r="A56">
        <v>44783</v>
      </c>
      <c r="B56">
        <v>-34</v>
      </c>
      <c r="C56" t="s">
        <v>385</v>
      </c>
      <c r="D56" t="s">
        <v>388</v>
      </c>
      <c r="E56" t="s">
        <v>1241</v>
      </c>
      <c r="F56" t="str">
        <f>VLOOKUP(E56, 'POS Categories'!$A$1:$B$1999, 2, FALSE)</f>
        <v>Entertainment</v>
      </c>
    </row>
    <row r="57" spans="1:6" x14ac:dyDescent="0.25">
      <c r="A57">
        <v>44783</v>
      </c>
      <c r="B57">
        <v>-30.84</v>
      </c>
      <c r="C57" t="s">
        <v>385</v>
      </c>
      <c r="D57" t="s">
        <v>388</v>
      </c>
      <c r="E57" t="s">
        <v>171</v>
      </c>
      <c r="F57" t="str">
        <f>VLOOKUP(E57, 'POS Categories'!$A$1:$B$1999, 2, FALSE)</f>
        <v>Food</v>
      </c>
    </row>
    <row r="58" spans="1:6" x14ac:dyDescent="0.25">
      <c r="A58">
        <v>44783</v>
      </c>
      <c r="B58">
        <v>-15.74</v>
      </c>
      <c r="C58" t="s">
        <v>385</v>
      </c>
      <c r="D58" t="s">
        <v>388</v>
      </c>
      <c r="E58" t="s">
        <v>8</v>
      </c>
      <c r="F58" t="str">
        <f>VLOOKUP(E58, 'POS Categories'!$A$1:$B$1999, 2, FALSE)</f>
        <v>Food</v>
      </c>
    </row>
    <row r="59" spans="1:6" x14ac:dyDescent="0.25">
      <c r="A59">
        <v>44782</v>
      </c>
      <c r="B59">
        <v>-14.09</v>
      </c>
      <c r="C59" t="s">
        <v>385</v>
      </c>
      <c r="D59" t="s">
        <v>388</v>
      </c>
      <c r="E59" t="s">
        <v>183</v>
      </c>
      <c r="F59" t="str">
        <f>VLOOKUP(E59, 'POS Categories'!$A$1:$B$1999, 2, FALSE)</f>
        <v>Food</v>
      </c>
    </row>
    <row r="60" spans="1:6" x14ac:dyDescent="0.25">
      <c r="A60">
        <v>44782</v>
      </c>
      <c r="B60">
        <v>-120</v>
      </c>
      <c r="C60" t="s">
        <v>385</v>
      </c>
      <c r="D60" t="s">
        <v>388</v>
      </c>
      <c r="E60" t="s">
        <v>1231</v>
      </c>
      <c r="F60" t="str">
        <f>VLOOKUP(E60, 'POS Categories'!$A$1:$B$1999, 2, FALSE)</f>
        <v>Entertainment</v>
      </c>
    </row>
    <row r="61" spans="1:6" x14ac:dyDescent="0.25">
      <c r="A61">
        <v>44782</v>
      </c>
      <c r="B61">
        <v>-45.13</v>
      </c>
      <c r="C61" t="s">
        <v>385</v>
      </c>
      <c r="D61" t="s">
        <v>388</v>
      </c>
      <c r="E61" t="s">
        <v>319</v>
      </c>
      <c r="F61" t="str">
        <f>VLOOKUP(E61, 'POS Categories'!$A$1:$B$1999, 2, FALSE)</f>
        <v>Food</v>
      </c>
    </row>
    <row r="62" spans="1:6" x14ac:dyDescent="0.25">
      <c r="A62">
        <v>44782</v>
      </c>
      <c r="B62">
        <v>-6.78</v>
      </c>
      <c r="C62" t="s">
        <v>385</v>
      </c>
      <c r="D62" t="s">
        <v>388</v>
      </c>
      <c r="E62" t="s">
        <v>185</v>
      </c>
      <c r="F62" t="str">
        <f>VLOOKUP(E62, 'POS Categories'!$A$1:$B$1999, 2, FALSE)</f>
        <v>Food</v>
      </c>
    </row>
    <row r="63" spans="1:6" x14ac:dyDescent="0.25">
      <c r="A63">
        <v>44782</v>
      </c>
      <c r="B63">
        <v>-6.94</v>
      </c>
      <c r="C63" t="s">
        <v>385</v>
      </c>
      <c r="D63" t="s">
        <v>388</v>
      </c>
      <c r="E63" t="s">
        <v>1225</v>
      </c>
      <c r="F63" t="str">
        <f>VLOOKUP(E63, 'POS Categories'!$A$1:$B$1999, 2, FALSE)</f>
        <v>Food</v>
      </c>
    </row>
    <row r="64" spans="1:6" x14ac:dyDescent="0.25">
      <c r="A64">
        <v>44782</v>
      </c>
      <c r="B64">
        <v>-9.0500000000000007</v>
      </c>
      <c r="C64" t="s">
        <v>385</v>
      </c>
      <c r="D64" t="s">
        <v>388</v>
      </c>
      <c r="E64" t="s">
        <v>408</v>
      </c>
      <c r="F64" t="str">
        <f>VLOOKUP(E64, 'POS Categories'!$A$1:$B$1999, 2, FALSE)</f>
        <v>Food</v>
      </c>
    </row>
    <row r="65" spans="1:6" x14ac:dyDescent="0.25">
      <c r="A65">
        <v>44781</v>
      </c>
      <c r="B65">
        <v>-52.5</v>
      </c>
      <c r="C65" t="s">
        <v>385</v>
      </c>
      <c r="D65" t="s">
        <v>388</v>
      </c>
      <c r="E65" t="s">
        <v>1194</v>
      </c>
      <c r="F65" t="str">
        <f>VLOOKUP(E65, 'POS Categories'!$A$1:$B$1999, 2, FALSE)</f>
        <v>Sports</v>
      </c>
    </row>
    <row r="66" spans="1:6" x14ac:dyDescent="0.25">
      <c r="A66">
        <v>44781</v>
      </c>
      <c r="B66">
        <v>-16.420000000000002</v>
      </c>
      <c r="C66" t="s">
        <v>385</v>
      </c>
      <c r="D66" t="s">
        <v>388</v>
      </c>
      <c r="E66" t="s">
        <v>171</v>
      </c>
      <c r="F66" t="str">
        <f>VLOOKUP(E66, 'POS Categories'!$A$1:$B$1999, 2, FALSE)</f>
        <v>Food</v>
      </c>
    </row>
    <row r="67" spans="1:6" x14ac:dyDescent="0.25">
      <c r="A67">
        <v>44781</v>
      </c>
      <c r="B67">
        <v>-11.98</v>
      </c>
      <c r="C67" t="s">
        <v>385</v>
      </c>
      <c r="D67" t="s">
        <v>388</v>
      </c>
      <c r="E67" t="s">
        <v>8</v>
      </c>
      <c r="F67" t="str">
        <f>VLOOKUP(E67, 'POS Categories'!$A$1:$B$1999, 2, FALSE)</f>
        <v>Food</v>
      </c>
    </row>
    <row r="68" spans="1:6" x14ac:dyDescent="0.25">
      <c r="A68">
        <v>44781</v>
      </c>
      <c r="B68">
        <v>-19.18</v>
      </c>
      <c r="C68" t="s">
        <v>385</v>
      </c>
      <c r="D68" t="s">
        <v>388</v>
      </c>
      <c r="E68" t="s">
        <v>142</v>
      </c>
      <c r="F68" t="str">
        <f>VLOOKUP(E68, 'POS Categories'!$A$1:$B$1999, 2, FALSE)</f>
        <v>Food</v>
      </c>
    </row>
    <row r="69" spans="1:6" x14ac:dyDescent="0.25">
      <c r="A69">
        <v>44781</v>
      </c>
      <c r="B69">
        <v>-11.09</v>
      </c>
      <c r="C69" t="s">
        <v>385</v>
      </c>
      <c r="D69" t="s">
        <v>388</v>
      </c>
      <c r="E69" t="s">
        <v>240</v>
      </c>
      <c r="F69" t="str">
        <f>VLOOKUP(E69, 'POS Categories'!$A$1:$B$1999, 2, FALSE)</f>
        <v>Food</v>
      </c>
    </row>
    <row r="70" spans="1:6" x14ac:dyDescent="0.25">
      <c r="A70">
        <v>44781</v>
      </c>
      <c r="B70">
        <v>-6.94</v>
      </c>
      <c r="C70" t="s">
        <v>385</v>
      </c>
      <c r="D70" t="s">
        <v>388</v>
      </c>
      <c r="E70" t="s">
        <v>1225</v>
      </c>
      <c r="F70" t="str">
        <f>VLOOKUP(E70, 'POS Categories'!$A$1:$B$1999, 2, FALSE)</f>
        <v>Food</v>
      </c>
    </row>
    <row r="71" spans="1:6" x14ac:dyDescent="0.25">
      <c r="A71">
        <v>44779</v>
      </c>
      <c r="B71">
        <v>-32.229999999999997</v>
      </c>
      <c r="C71" t="s">
        <v>385</v>
      </c>
      <c r="D71" t="s">
        <v>388</v>
      </c>
      <c r="E71" t="s">
        <v>1242</v>
      </c>
      <c r="F71" t="str">
        <f>VLOOKUP(E71, 'POS Categories'!$A$1:$B$1999, 2, FALSE)</f>
        <v>Food</v>
      </c>
    </row>
    <row r="72" spans="1:6" x14ac:dyDescent="0.25">
      <c r="A72">
        <v>44779</v>
      </c>
      <c r="B72">
        <v>-279.63</v>
      </c>
      <c r="C72" t="s">
        <v>385</v>
      </c>
      <c r="D72" t="s">
        <v>400</v>
      </c>
      <c r="E72" t="s">
        <v>401</v>
      </c>
      <c r="F72" t="str">
        <f>VLOOKUP(E72, 'POS Categories'!$A$1:$B$1999, 2, FALSE)</f>
        <v>Misc</v>
      </c>
    </row>
    <row r="73" spans="1:6" x14ac:dyDescent="0.25">
      <c r="A73">
        <v>44779</v>
      </c>
      <c r="B73">
        <v>-12.82</v>
      </c>
      <c r="C73" t="s">
        <v>385</v>
      </c>
      <c r="D73" t="s">
        <v>388</v>
      </c>
      <c r="E73" t="s">
        <v>408</v>
      </c>
      <c r="F73" t="str">
        <f>VLOOKUP(E73, 'POS Categories'!$A$1:$B$1999, 2, FALSE)</f>
        <v>Food</v>
      </c>
    </row>
    <row r="74" spans="1:6" x14ac:dyDescent="0.25">
      <c r="A74">
        <v>44779</v>
      </c>
      <c r="B74">
        <v>-99.38</v>
      </c>
      <c r="C74" t="s">
        <v>385</v>
      </c>
      <c r="D74" t="s">
        <v>388</v>
      </c>
      <c r="E74" t="s">
        <v>411</v>
      </c>
      <c r="F74" t="str">
        <f>VLOOKUP(E74, 'POS Categories'!$A$1:$B$1999, 2, FALSE)</f>
        <v>Sasktel</v>
      </c>
    </row>
    <row r="75" spans="1:6" x14ac:dyDescent="0.25">
      <c r="A75">
        <v>44778</v>
      </c>
      <c r="B75">
        <v>-13.88</v>
      </c>
      <c r="C75" t="s">
        <v>385</v>
      </c>
      <c r="D75" t="s">
        <v>388</v>
      </c>
      <c r="E75" t="s">
        <v>1225</v>
      </c>
      <c r="F75" t="str">
        <f>VLOOKUP(E75, 'POS Categories'!$A$1:$B$1999, 2, FALSE)</f>
        <v>Food</v>
      </c>
    </row>
    <row r="76" spans="1:6" x14ac:dyDescent="0.25">
      <c r="A76">
        <v>44778</v>
      </c>
      <c r="B76">
        <v>-16.829999999999998</v>
      </c>
      <c r="C76" t="s">
        <v>385</v>
      </c>
      <c r="D76" t="s">
        <v>388</v>
      </c>
      <c r="E76" t="s">
        <v>185</v>
      </c>
      <c r="F76" t="str">
        <f>VLOOKUP(E76, 'POS Categories'!$A$1:$B$1999, 2, FALSE)</f>
        <v>Food</v>
      </c>
    </row>
    <row r="77" spans="1:6" x14ac:dyDescent="0.25">
      <c r="A77">
        <v>44777</v>
      </c>
      <c r="B77">
        <v>-24.36</v>
      </c>
      <c r="C77" t="s">
        <v>385</v>
      </c>
      <c r="D77" t="s">
        <v>388</v>
      </c>
      <c r="E77" t="s">
        <v>1209</v>
      </c>
      <c r="F77" t="str">
        <f>VLOOKUP(E77, 'POS Categories'!$A$1:$B$1999, 2, FALSE)</f>
        <v>Food</v>
      </c>
    </row>
    <row r="78" spans="1:6" x14ac:dyDescent="0.25">
      <c r="A78">
        <v>44777</v>
      </c>
      <c r="B78">
        <v>-67.56</v>
      </c>
      <c r="C78" t="s">
        <v>385</v>
      </c>
      <c r="D78" t="s">
        <v>388</v>
      </c>
      <c r="E78" t="s">
        <v>395</v>
      </c>
      <c r="F78" t="str">
        <f>VLOOKUP(E78, 'POS Categories'!$A$1:$B$1999, 2, FALSE)</f>
        <v>Vehicle</v>
      </c>
    </row>
    <row r="79" spans="1:6" x14ac:dyDescent="0.25">
      <c r="A79">
        <v>44777</v>
      </c>
      <c r="B79">
        <v>-6.94</v>
      </c>
      <c r="C79" t="s">
        <v>385</v>
      </c>
      <c r="D79" t="s">
        <v>388</v>
      </c>
      <c r="E79" t="s">
        <v>1225</v>
      </c>
      <c r="F79" t="str">
        <f>VLOOKUP(E79, 'POS Categories'!$A$1:$B$1999, 2, FALSE)</f>
        <v>Food</v>
      </c>
    </row>
    <row r="80" spans="1:6" x14ac:dyDescent="0.25">
      <c r="A80">
        <v>44777</v>
      </c>
      <c r="B80">
        <v>-13.85</v>
      </c>
      <c r="C80" t="s">
        <v>385</v>
      </c>
      <c r="D80" t="s">
        <v>388</v>
      </c>
      <c r="E80" t="s">
        <v>174</v>
      </c>
      <c r="F80" t="str">
        <f>VLOOKUP(E80, 'POS Categories'!$A$1:$B$1999, 2, FALSE)</f>
        <v>Food</v>
      </c>
    </row>
    <row r="81" spans="1:6" x14ac:dyDescent="0.25">
      <c r="A81">
        <v>44776</v>
      </c>
      <c r="B81">
        <v>-5.62</v>
      </c>
      <c r="C81" t="s">
        <v>385</v>
      </c>
      <c r="D81" t="s">
        <v>388</v>
      </c>
      <c r="E81" t="s">
        <v>246</v>
      </c>
      <c r="F81" t="str">
        <f>VLOOKUP(E81, 'POS Categories'!$A$1:$B$1999, 2, FALSE)</f>
        <v>Food</v>
      </c>
    </row>
    <row r="82" spans="1:6" x14ac:dyDescent="0.25">
      <c r="A82">
        <v>44776</v>
      </c>
      <c r="B82">
        <v>-37.49</v>
      </c>
      <c r="C82" t="s">
        <v>385</v>
      </c>
      <c r="D82" t="s">
        <v>388</v>
      </c>
      <c r="E82" t="s">
        <v>378</v>
      </c>
      <c r="F82" t="str">
        <f>VLOOKUP(E82, 'POS Categories'!$A$1:$B$1999, 2, FALSE)</f>
        <v>Food</v>
      </c>
    </row>
    <row r="83" spans="1:6" x14ac:dyDescent="0.25">
      <c r="A83">
        <v>44776</v>
      </c>
      <c r="B83">
        <v>43.11</v>
      </c>
      <c r="C83" t="s">
        <v>385</v>
      </c>
      <c r="D83" t="s">
        <v>430</v>
      </c>
      <c r="E83" t="s">
        <v>378</v>
      </c>
      <c r="F83" t="str">
        <f>VLOOKUP(E83, 'POS Categories'!$A$1:$B$1999, 2, FALSE)</f>
        <v>Food</v>
      </c>
    </row>
    <row r="84" spans="1:6" x14ac:dyDescent="0.25">
      <c r="A84">
        <v>44776</v>
      </c>
      <c r="B84">
        <v>-43.11</v>
      </c>
      <c r="C84" t="s">
        <v>385</v>
      </c>
      <c r="D84" t="s">
        <v>388</v>
      </c>
      <c r="E84" t="s">
        <v>378</v>
      </c>
      <c r="F84" t="str">
        <f>VLOOKUP(E84, 'POS Categories'!$A$1:$B$1999, 2, FALSE)</f>
        <v>Food</v>
      </c>
    </row>
    <row r="85" spans="1:6" x14ac:dyDescent="0.25">
      <c r="A85">
        <v>44776</v>
      </c>
      <c r="B85">
        <v>-13.88</v>
      </c>
      <c r="C85" t="s">
        <v>385</v>
      </c>
      <c r="D85" t="s">
        <v>388</v>
      </c>
      <c r="E85" t="s">
        <v>1225</v>
      </c>
      <c r="F85" t="str">
        <f>VLOOKUP(E85, 'POS Categories'!$A$1:$B$1999, 2, FALSE)</f>
        <v>Food</v>
      </c>
    </row>
    <row r="86" spans="1:6" x14ac:dyDescent="0.25">
      <c r="A86">
        <v>44776</v>
      </c>
      <c r="B86">
        <v>-17.29</v>
      </c>
      <c r="C86" t="s">
        <v>385</v>
      </c>
      <c r="D86" t="s">
        <v>388</v>
      </c>
      <c r="E86" t="s">
        <v>8</v>
      </c>
      <c r="F86" t="str">
        <f>VLOOKUP(E86, 'POS Categories'!$A$1:$B$1999, 2, FALSE)</f>
        <v>Food</v>
      </c>
    </row>
    <row r="87" spans="1:6" x14ac:dyDescent="0.25">
      <c r="A87">
        <v>44776</v>
      </c>
      <c r="B87">
        <v>-14.77</v>
      </c>
      <c r="C87" t="s">
        <v>385</v>
      </c>
      <c r="D87" t="s">
        <v>388</v>
      </c>
      <c r="E87" t="s">
        <v>1198</v>
      </c>
      <c r="F87" t="str">
        <f>VLOOKUP(E87, 'POS Categories'!$A$1:$B$1999, 2, FALSE)</f>
        <v>Entertainment</v>
      </c>
    </row>
    <row r="88" spans="1:6" x14ac:dyDescent="0.25">
      <c r="A88">
        <v>44775</v>
      </c>
      <c r="B88">
        <v>-1235</v>
      </c>
      <c r="C88" t="s">
        <v>385</v>
      </c>
      <c r="D88" t="s">
        <v>414</v>
      </c>
      <c r="E88" t="s">
        <v>1224</v>
      </c>
      <c r="F88" t="str">
        <f>VLOOKUP(E88, 'POS Categories'!$A$1:$B$1999, 2, FALSE)</f>
        <v>Rent</v>
      </c>
    </row>
    <row r="89" spans="1:6" x14ac:dyDescent="0.25">
      <c r="A89">
        <v>44775</v>
      </c>
      <c r="B89">
        <v>-14.97</v>
      </c>
      <c r="C89" t="s">
        <v>385</v>
      </c>
      <c r="D89" t="s">
        <v>388</v>
      </c>
      <c r="E89" t="s">
        <v>142</v>
      </c>
      <c r="F89" t="str">
        <f>VLOOKUP(E89, 'POS Categories'!$A$1:$B$1999, 2, FALSE)</f>
        <v>Food</v>
      </c>
    </row>
    <row r="90" spans="1:6" x14ac:dyDescent="0.25">
      <c r="A90">
        <v>44775</v>
      </c>
      <c r="B90">
        <v>-104.86</v>
      </c>
      <c r="C90" t="s">
        <v>385</v>
      </c>
      <c r="D90" t="s">
        <v>388</v>
      </c>
      <c r="E90" t="s">
        <v>261</v>
      </c>
      <c r="F90" t="str">
        <f>VLOOKUP(E90, 'POS Categories'!$A$1:$B$1999, 2, FALSE)</f>
        <v>Home</v>
      </c>
    </row>
    <row r="91" spans="1:6" x14ac:dyDescent="0.25">
      <c r="A91">
        <v>44775</v>
      </c>
      <c r="B91">
        <v>-16.829999999999998</v>
      </c>
      <c r="C91" t="s">
        <v>385</v>
      </c>
      <c r="D91" t="s">
        <v>388</v>
      </c>
      <c r="E91" t="s">
        <v>185</v>
      </c>
      <c r="F91" t="str">
        <f>VLOOKUP(E91, 'POS Categories'!$A$1:$B$1999, 2, FALSE)</f>
        <v>Food</v>
      </c>
    </row>
    <row r="92" spans="1:6" x14ac:dyDescent="0.25">
      <c r="A92">
        <v>44774</v>
      </c>
      <c r="B92">
        <v>-10.16</v>
      </c>
      <c r="C92" t="s">
        <v>385</v>
      </c>
      <c r="D92" t="s">
        <v>388</v>
      </c>
      <c r="E92" t="s">
        <v>158</v>
      </c>
      <c r="F92" t="str">
        <f>VLOOKUP(E92, 'POS Categories'!$A$1:$B$1999, 2, FALSE)</f>
        <v>Personal</v>
      </c>
    </row>
    <row r="93" spans="1:6" x14ac:dyDescent="0.25">
      <c r="A93">
        <v>44774</v>
      </c>
      <c r="B93">
        <v>-7.54</v>
      </c>
      <c r="C93" t="s">
        <v>385</v>
      </c>
      <c r="D93" t="s">
        <v>388</v>
      </c>
      <c r="E93" t="s">
        <v>202</v>
      </c>
      <c r="F93" t="str">
        <f>VLOOKUP(E93, 'POS Categories'!$A$1:$B$1999, 2, FALSE)</f>
        <v>Food</v>
      </c>
    </row>
    <row r="94" spans="1:6" x14ac:dyDescent="0.25">
      <c r="A94">
        <v>44774</v>
      </c>
      <c r="B94">
        <v>-52.44</v>
      </c>
      <c r="C94" t="s">
        <v>385</v>
      </c>
      <c r="D94" t="s">
        <v>388</v>
      </c>
      <c r="E94" t="s">
        <v>1243</v>
      </c>
      <c r="F94" t="str">
        <f>VLOOKUP(E94, 'POS Categories'!$A$1:$B$1999, 2, FALSE)</f>
        <v>Personal</v>
      </c>
    </row>
    <row r="95" spans="1:6" x14ac:dyDescent="0.25">
      <c r="A95">
        <v>44774</v>
      </c>
      <c r="B95">
        <v>-11.4</v>
      </c>
      <c r="C95" t="s">
        <v>385</v>
      </c>
      <c r="D95" t="s">
        <v>388</v>
      </c>
      <c r="E95" t="s">
        <v>171</v>
      </c>
      <c r="F95" t="str">
        <f>VLOOKUP(E95, 'POS Categories'!$A$1:$B$1999, 2, FALSE)</f>
        <v>Food</v>
      </c>
    </row>
    <row r="96" spans="1:6" x14ac:dyDescent="0.25">
      <c r="A96">
        <v>44774</v>
      </c>
      <c r="B96">
        <v>-15.86</v>
      </c>
      <c r="C96" t="s">
        <v>385</v>
      </c>
      <c r="D96" t="s">
        <v>388</v>
      </c>
      <c r="E96" t="s">
        <v>1244</v>
      </c>
      <c r="F96" t="str">
        <f>VLOOKUP(E96, 'POS Categories'!$A$1:$B$1999, 2, FALSE)</f>
        <v>Food</v>
      </c>
    </row>
    <row r="97" spans="1:6" x14ac:dyDescent="0.25">
      <c r="A97">
        <v>44774</v>
      </c>
      <c r="B97">
        <v>-6.49</v>
      </c>
      <c r="C97" t="s">
        <v>385</v>
      </c>
      <c r="D97" t="s">
        <v>388</v>
      </c>
      <c r="E97" t="s">
        <v>1225</v>
      </c>
      <c r="F97" t="str">
        <f>VLOOKUP(E97, 'POS Categories'!$A$1:$B$1999, 2, FALSE)</f>
        <v>Food</v>
      </c>
    </row>
    <row r="98" spans="1:6" x14ac:dyDescent="0.25">
      <c r="A98">
        <v>44774</v>
      </c>
      <c r="B98">
        <v>-15.6</v>
      </c>
      <c r="C98" t="s">
        <v>385</v>
      </c>
      <c r="D98" t="s">
        <v>388</v>
      </c>
      <c r="E98" t="s">
        <v>158</v>
      </c>
      <c r="F98" t="str">
        <f>VLOOKUP(E98, 'POS Categories'!$A$1:$B$1999, 2, FALSE)</f>
        <v>Personal</v>
      </c>
    </row>
    <row r="99" spans="1:6" x14ac:dyDescent="0.25">
      <c r="A99">
        <v>44774</v>
      </c>
      <c r="B99">
        <v>-9.3800000000000008</v>
      </c>
      <c r="C99" t="s">
        <v>385</v>
      </c>
      <c r="D99" t="s">
        <v>388</v>
      </c>
      <c r="E99" t="s">
        <v>1245</v>
      </c>
      <c r="F99" t="str">
        <f>VLOOKUP(E99, 'POS Categories'!$A$1:$B$1999, 2, FALSE)</f>
        <v>Food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88"/>
  <sheetViews>
    <sheetView topLeftCell="A45" workbookViewId="0">
      <selection activeCell="F60" sqref="F60"/>
    </sheetView>
  </sheetViews>
  <sheetFormatPr defaultRowHeight="15" x14ac:dyDescent="0.25"/>
  <cols>
    <col min="5" max="5" width="33.85546875" bestFit="1" customWidth="1"/>
  </cols>
  <sheetData>
    <row r="1" spans="1:6" x14ac:dyDescent="0.25">
      <c r="A1">
        <v>44772</v>
      </c>
      <c r="B1">
        <v>-18.399999999999999</v>
      </c>
      <c r="C1" t="s">
        <v>385</v>
      </c>
      <c r="D1" t="s">
        <v>388</v>
      </c>
      <c r="E1" t="s">
        <v>142</v>
      </c>
      <c r="F1" t="str">
        <f>VLOOKUP(E1, 'POS Categories'!$A$1:$B$1999, 2, FALSE)</f>
        <v>Food</v>
      </c>
    </row>
    <row r="2" spans="1:6" x14ac:dyDescent="0.25">
      <c r="A2">
        <v>44772</v>
      </c>
      <c r="B2">
        <v>-11.18</v>
      </c>
      <c r="C2" t="s">
        <v>385</v>
      </c>
      <c r="D2" t="s">
        <v>388</v>
      </c>
      <c r="E2" t="s">
        <v>408</v>
      </c>
      <c r="F2" t="str">
        <f>VLOOKUP(E2, 'POS Categories'!$A$1:$B$1999, 2, FALSE)</f>
        <v>Food</v>
      </c>
    </row>
    <row r="3" spans="1:6" x14ac:dyDescent="0.25">
      <c r="A3">
        <v>44771</v>
      </c>
      <c r="B3">
        <v>-19.07</v>
      </c>
      <c r="C3" t="s">
        <v>385</v>
      </c>
      <c r="D3" t="s">
        <v>388</v>
      </c>
      <c r="E3" t="s">
        <v>8</v>
      </c>
      <c r="F3" t="str">
        <f>VLOOKUP(E3, 'POS Categories'!$A$1:$B$1999, 2, FALSE)</f>
        <v>Food</v>
      </c>
    </row>
    <row r="4" spans="1:6" x14ac:dyDescent="0.25">
      <c r="A4">
        <v>44771</v>
      </c>
      <c r="B4">
        <v>2037.74</v>
      </c>
      <c r="C4" t="s">
        <v>385</v>
      </c>
      <c r="D4" t="s">
        <v>386</v>
      </c>
      <c r="E4" t="s">
        <v>1193</v>
      </c>
      <c r="F4" t="str">
        <f>VLOOKUP(E4, 'POS Categories'!$A$1:$B$1999, 2, FALSE)</f>
        <v>Job</v>
      </c>
    </row>
    <row r="5" spans="1:6" x14ac:dyDescent="0.25">
      <c r="A5">
        <v>44770</v>
      </c>
      <c r="B5">
        <v>-7.61</v>
      </c>
      <c r="C5" t="s">
        <v>385</v>
      </c>
      <c r="D5" t="s">
        <v>388</v>
      </c>
      <c r="E5" t="s">
        <v>315</v>
      </c>
      <c r="F5" t="str">
        <f>VLOOKUP(E5, 'POS Categories'!$A$1:$B$1999, 2, FALSE)</f>
        <v>Food</v>
      </c>
    </row>
    <row r="6" spans="1:6" x14ac:dyDescent="0.25">
      <c r="A6">
        <v>44770</v>
      </c>
      <c r="B6">
        <v>-11.76</v>
      </c>
      <c r="C6" t="s">
        <v>385</v>
      </c>
      <c r="D6" t="s">
        <v>388</v>
      </c>
      <c r="E6" t="s">
        <v>171</v>
      </c>
      <c r="F6" t="str">
        <f>VLOOKUP(E6, 'POS Categories'!$A$1:$B$1999, 2, FALSE)</f>
        <v>Food</v>
      </c>
    </row>
    <row r="7" spans="1:6" x14ac:dyDescent="0.25">
      <c r="A7">
        <v>44770</v>
      </c>
      <c r="B7">
        <v>-0.75</v>
      </c>
      <c r="C7" t="s">
        <v>385</v>
      </c>
      <c r="D7" t="s">
        <v>388</v>
      </c>
      <c r="E7" t="s">
        <v>1203</v>
      </c>
      <c r="F7" t="str">
        <f>VLOOKUP(E7, 'POS Categories'!$A$1:$B$1999, 2, FALSE)</f>
        <v>Vehicle</v>
      </c>
    </row>
    <row r="8" spans="1:6" x14ac:dyDescent="0.25">
      <c r="A8">
        <v>44770</v>
      </c>
      <c r="B8">
        <v>-12.89</v>
      </c>
      <c r="C8" t="s">
        <v>385</v>
      </c>
      <c r="D8" t="s">
        <v>388</v>
      </c>
      <c r="E8" t="s">
        <v>158</v>
      </c>
      <c r="F8" t="str">
        <f>VLOOKUP(E8, 'POS Categories'!$A$1:$B$1999, 2, FALSE)</f>
        <v>Personal</v>
      </c>
    </row>
    <row r="9" spans="1:6" x14ac:dyDescent="0.25">
      <c r="A9">
        <v>44770</v>
      </c>
      <c r="B9">
        <v>-13.88</v>
      </c>
      <c r="C9" t="s">
        <v>385</v>
      </c>
      <c r="D9" t="s">
        <v>388</v>
      </c>
      <c r="E9" t="s">
        <v>1225</v>
      </c>
      <c r="F9" t="str">
        <f>VLOOKUP(E9, 'POS Categories'!$A$1:$B$1999, 2, FALSE)</f>
        <v>Food</v>
      </c>
    </row>
    <row r="10" spans="1:6" x14ac:dyDescent="0.25">
      <c r="A10">
        <v>44770</v>
      </c>
      <c r="B10">
        <v>-5.31</v>
      </c>
      <c r="C10" t="s">
        <v>385</v>
      </c>
      <c r="D10" t="s">
        <v>388</v>
      </c>
      <c r="E10" t="s">
        <v>408</v>
      </c>
      <c r="F10" t="str">
        <f>VLOOKUP(E10, 'POS Categories'!$A$1:$B$1999, 2, FALSE)</f>
        <v>Food</v>
      </c>
    </row>
    <row r="11" spans="1:6" x14ac:dyDescent="0.25">
      <c r="A11">
        <v>44769</v>
      </c>
      <c r="B11">
        <v>-14.97</v>
      </c>
      <c r="C11" t="s">
        <v>385</v>
      </c>
      <c r="D11" t="s">
        <v>388</v>
      </c>
      <c r="E11" t="s">
        <v>142</v>
      </c>
      <c r="F11" t="str">
        <f>VLOOKUP(E11, 'POS Categories'!$A$1:$B$1999, 2, FALSE)</f>
        <v>Food</v>
      </c>
    </row>
    <row r="12" spans="1:6" x14ac:dyDescent="0.25">
      <c r="A12">
        <v>44769</v>
      </c>
      <c r="B12">
        <v>-5.95</v>
      </c>
      <c r="C12" t="s">
        <v>385</v>
      </c>
      <c r="D12" t="s">
        <v>388</v>
      </c>
      <c r="E12" t="s">
        <v>183</v>
      </c>
      <c r="F12" t="str">
        <f>VLOOKUP(E12, 'POS Categories'!$A$1:$B$1999, 2, FALSE)</f>
        <v>Food</v>
      </c>
    </row>
    <row r="13" spans="1:6" x14ac:dyDescent="0.25">
      <c r="A13">
        <v>44769</v>
      </c>
      <c r="B13">
        <v>-12.5</v>
      </c>
      <c r="C13" t="s">
        <v>385</v>
      </c>
      <c r="D13" t="s">
        <v>388</v>
      </c>
      <c r="E13" t="s">
        <v>174</v>
      </c>
      <c r="F13" t="str">
        <f>VLOOKUP(E13, 'POS Categories'!$A$1:$B$1999, 2, FALSE)</f>
        <v>Food</v>
      </c>
    </row>
    <row r="14" spans="1:6" x14ac:dyDescent="0.25">
      <c r="A14">
        <v>44768</v>
      </c>
      <c r="B14">
        <v>-3</v>
      </c>
      <c r="C14" t="s">
        <v>385</v>
      </c>
      <c r="D14" t="s">
        <v>388</v>
      </c>
      <c r="E14" t="s">
        <v>1203</v>
      </c>
      <c r="F14" t="str">
        <f>VLOOKUP(E14, 'POS Categories'!$A$1:$B$1999, 2, FALSE)</f>
        <v>Vehicle</v>
      </c>
    </row>
    <row r="15" spans="1:6" x14ac:dyDescent="0.25">
      <c r="A15">
        <v>44768</v>
      </c>
      <c r="B15">
        <v>-14.42</v>
      </c>
      <c r="C15" t="s">
        <v>385</v>
      </c>
      <c r="D15" t="s">
        <v>388</v>
      </c>
      <c r="E15" t="s">
        <v>149</v>
      </c>
      <c r="F15" t="str">
        <f>VLOOKUP(E15, 'POS Categories'!$A$1:$B$1999, 2, FALSE)</f>
        <v>Food</v>
      </c>
    </row>
    <row r="16" spans="1:6" x14ac:dyDescent="0.25">
      <c r="A16">
        <v>44767</v>
      </c>
      <c r="B16">
        <v>-37.479999999999997</v>
      </c>
      <c r="C16" t="s">
        <v>385</v>
      </c>
      <c r="D16" t="s">
        <v>388</v>
      </c>
      <c r="E16" t="s">
        <v>8</v>
      </c>
      <c r="F16" t="str">
        <f>VLOOKUP(E16, 'POS Categories'!$A$1:$B$1999, 2, FALSE)</f>
        <v>Food</v>
      </c>
    </row>
    <row r="17" spans="1:6" x14ac:dyDescent="0.25">
      <c r="A17">
        <v>44767</v>
      </c>
      <c r="B17">
        <v>-13.44</v>
      </c>
      <c r="C17" t="s">
        <v>385</v>
      </c>
      <c r="D17" t="s">
        <v>388</v>
      </c>
      <c r="E17" t="s">
        <v>1225</v>
      </c>
      <c r="F17" t="str">
        <f>VLOOKUP(E17, 'POS Categories'!$A$1:$B$1999, 2, FALSE)</f>
        <v>Food</v>
      </c>
    </row>
    <row r="18" spans="1:6" x14ac:dyDescent="0.25">
      <c r="A18">
        <v>44767</v>
      </c>
      <c r="B18">
        <v>-11.09</v>
      </c>
      <c r="C18" t="s">
        <v>385</v>
      </c>
      <c r="D18" t="s">
        <v>388</v>
      </c>
      <c r="E18" t="s">
        <v>240</v>
      </c>
      <c r="F18" t="str">
        <f>VLOOKUP(E18, 'POS Categories'!$A$1:$B$1999, 2, FALSE)</f>
        <v>Food</v>
      </c>
    </row>
    <row r="19" spans="1:6" x14ac:dyDescent="0.25">
      <c r="A19">
        <v>44767</v>
      </c>
      <c r="B19">
        <v>-6.94</v>
      </c>
      <c r="C19" t="s">
        <v>385</v>
      </c>
      <c r="D19" t="s">
        <v>388</v>
      </c>
      <c r="E19" t="s">
        <v>1225</v>
      </c>
      <c r="F19" t="str">
        <f>VLOOKUP(E19, 'POS Categories'!$A$1:$B$1999, 2, FALSE)</f>
        <v>Food</v>
      </c>
    </row>
    <row r="20" spans="1:6" x14ac:dyDescent="0.25">
      <c r="A20">
        <v>44767</v>
      </c>
      <c r="B20">
        <v>-11.18</v>
      </c>
      <c r="C20" t="s">
        <v>385</v>
      </c>
      <c r="D20" t="s">
        <v>388</v>
      </c>
      <c r="E20" t="s">
        <v>408</v>
      </c>
      <c r="F20" t="str">
        <f>VLOOKUP(E20, 'POS Categories'!$A$1:$B$1999, 2, FALSE)</f>
        <v>Food</v>
      </c>
    </row>
    <row r="21" spans="1:6" x14ac:dyDescent="0.25">
      <c r="A21">
        <v>44765</v>
      </c>
      <c r="B21">
        <v>-240.76</v>
      </c>
      <c r="C21" t="s">
        <v>385</v>
      </c>
      <c r="D21" t="s">
        <v>388</v>
      </c>
      <c r="E21" t="s">
        <v>36</v>
      </c>
      <c r="F21" t="str">
        <f>VLOOKUP(E21, 'POS Categories'!$A$1:$B$1999, 2, FALSE)</f>
        <v>Food</v>
      </c>
    </row>
    <row r="22" spans="1:6" x14ac:dyDescent="0.25">
      <c r="A22">
        <v>44764</v>
      </c>
      <c r="B22">
        <v>-10.14</v>
      </c>
      <c r="C22" t="s">
        <v>385</v>
      </c>
      <c r="D22" t="s">
        <v>388</v>
      </c>
      <c r="E22" t="s">
        <v>395</v>
      </c>
      <c r="F22" t="str">
        <f>VLOOKUP(E22, 'POS Categories'!$A$1:$B$1999, 2, FALSE)</f>
        <v>Vehicle</v>
      </c>
    </row>
    <row r="23" spans="1:6" x14ac:dyDescent="0.25">
      <c r="A23">
        <v>44764</v>
      </c>
      <c r="B23">
        <v>-51.13</v>
      </c>
      <c r="C23" t="s">
        <v>385</v>
      </c>
      <c r="D23" t="s">
        <v>388</v>
      </c>
      <c r="E23" t="s">
        <v>395</v>
      </c>
      <c r="F23" t="str">
        <f>VLOOKUP(E23, 'POS Categories'!$A$1:$B$1999, 2, FALSE)</f>
        <v>Vehicle</v>
      </c>
    </row>
    <row r="24" spans="1:6" x14ac:dyDescent="0.25">
      <c r="A24">
        <v>44764</v>
      </c>
      <c r="B24">
        <v>-11.76</v>
      </c>
      <c r="C24" t="s">
        <v>385</v>
      </c>
      <c r="D24" t="s">
        <v>388</v>
      </c>
      <c r="E24" t="s">
        <v>171</v>
      </c>
      <c r="F24" t="str">
        <f>VLOOKUP(E24, 'POS Categories'!$A$1:$B$1999, 2, FALSE)</f>
        <v>Food</v>
      </c>
    </row>
    <row r="25" spans="1:6" x14ac:dyDescent="0.25">
      <c r="A25">
        <v>44764</v>
      </c>
      <c r="B25">
        <v>-36.47</v>
      </c>
      <c r="C25" t="s">
        <v>385</v>
      </c>
      <c r="D25" t="s">
        <v>435</v>
      </c>
      <c r="E25" t="s">
        <v>177</v>
      </c>
      <c r="F25" t="str">
        <f>VLOOKUP(E25, 'POS Categories'!$A$1:$B$1999, 2, FALSE)</f>
        <v>Power</v>
      </c>
    </row>
    <row r="26" spans="1:6" x14ac:dyDescent="0.25">
      <c r="A26">
        <v>44764</v>
      </c>
      <c r="B26">
        <v>-11.18</v>
      </c>
      <c r="C26" t="s">
        <v>385</v>
      </c>
      <c r="D26" t="s">
        <v>388</v>
      </c>
      <c r="E26" t="s">
        <v>408</v>
      </c>
      <c r="F26" t="str">
        <f>VLOOKUP(E26, 'POS Categories'!$A$1:$B$1999, 2, FALSE)</f>
        <v>Food</v>
      </c>
    </row>
    <row r="27" spans="1:6" x14ac:dyDescent="0.25">
      <c r="A27">
        <v>44763</v>
      </c>
      <c r="B27">
        <v>-24.9</v>
      </c>
      <c r="C27" t="s">
        <v>385</v>
      </c>
      <c r="D27" t="s">
        <v>388</v>
      </c>
      <c r="E27" t="s">
        <v>1226</v>
      </c>
      <c r="F27" t="str">
        <f>VLOOKUP(E27, 'POS Categories'!$A$1:$B$1999, 2, FALSE)</f>
        <v>Food</v>
      </c>
    </row>
    <row r="28" spans="1:6" x14ac:dyDescent="0.25">
      <c r="A28">
        <v>44763</v>
      </c>
      <c r="B28">
        <v>-27.57</v>
      </c>
      <c r="C28" t="s">
        <v>385</v>
      </c>
      <c r="D28" t="s">
        <v>388</v>
      </c>
      <c r="E28" t="s">
        <v>13</v>
      </c>
      <c r="F28" t="str">
        <f>VLOOKUP(E28, 'POS Categories'!$A$1:$B$1999, 2, FALSE)</f>
        <v>Food</v>
      </c>
    </row>
    <row r="29" spans="1:6" x14ac:dyDescent="0.25">
      <c r="A29">
        <v>44763</v>
      </c>
      <c r="B29">
        <v>-5.67</v>
      </c>
      <c r="C29" t="s">
        <v>385</v>
      </c>
      <c r="D29" t="s">
        <v>388</v>
      </c>
      <c r="E29" t="s">
        <v>1227</v>
      </c>
      <c r="F29" t="str">
        <f>VLOOKUP(E29, 'POS Categories'!$A$1:$B$1999, 2, FALSE)</f>
        <v>Food</v>
      </c>
    </row>
    <row r="30" spans="1:6" x14ac:dyDescent="0.25">
      <c r="A30">
        <v>44762</v>
      </c>
      <c r="B30">
        <v>-36.39</v>
      </c>
      <c r="C30" t="s">
        <v>385</v>
      </c>
      <c r="D30" t="s">
        <v>388</v>
      </c>
      <c r="E30" t="s">
        <v>1228</v>
      </c>
      <c r="F30" t="str">
        <f>VLOOKUP(E30, 'POS Categories'!$A$1:$B$1999, 2, FALSE)</f>
        <v>Food</v>
      </c>
    </row>
    <row r="31" spans="1:6" x14ac:dyDescent="0.25">
      <c r="A31">
        <v>44761</v>
      </c>
      <c r="B31">
        <v>-31.77</v>
      </c>
      <c r="C31" t="s">
        <v>385</v>
      </c>
      <c r="D31" t="s">
        <v>388</v>
      </c>
      <c r="E31" t="s">
        <v>1229</v>
      </c>
      <c r="F31" t="str">
        <f>VLOOKUP(E31, 'POS Categories'!$A$1:$B$1999, 2, FALSE)</f>
        <v>Food</v>
      </c>
    </row>
    <row r="32" spans="1:6" x14ac:dyDescent="0.25">
      <c r="A32">
        <v>44761</v>
      </c>
      <c r="B32">
        <v>-3.16</v>
      </c>
      <c r="C32" t="s">
        <v>385</v>
      </c>
      <c r="D32" t="s">
        <v>388</v>
      </c>
      <c r="E32" t="s">
        <v>310</v>
      </c>
      <c r="F32" t="str">
        <f>VLOOKUP(E32, 'POS Categories'!$A$1:$B$1999, 2, FALSE)</f>
        <v>Vacation</v>
      </c>
    </row>
    <row r="33" spans="1:6" x14ac:dyDescent="0.25">
      <c r="A33">
        <v>44761</v>
      </c>
      <c r="B33">
        <v>67.98</v>
      </c>
      <c r="C33" t="s">
        <v>385</v>
      </c>
      <c r="D33" t="s">
        <v>430</v>
      </c>
      <c r="E33" t="s">
        <v>1230</v>
      </c>
      <c r="F33" t="str">
        <f>VLOOKUP(E33, 'POS Categories'!$A$1:$B$1999, 2, FALSE)</f>
        <v>Entertainment</v>
      </c>
    </row>
    <row r="34" spans="1:6" x14ac:dyDescent="0.25">
      <c r="A34">
        <v>44760</v>
      </c>
      <c r="B34">
        <v>-6.94</v>
      </c>
      <c r="C34" t="s">
        <v>385</v>
      </c>
      <c r="D34" t="s">
        <v>388</v>
      </c>
      <c r="E34" t="s">
        <v>1225</v>
      </c>
      <c r="F34" t="str">
        <f>VLOOKUP(E34, 'POS Categories'!$A$1:$B$1999, 2, FALSE)</f>
        <v>Food</v>
      </c>
    </row>
    <row r="35" spans="1:6" x14ac:dyDescent="0.25">
      <c r="A35">
        <v>44760</v>
      </c>
      <c r="B35">
        <v>-13.43</v>
      </c>
      <c r="C35" t="s">
        <v>385</v>
      </c>
      <c r="D35" t="s">
        <v>388</v>
      </c>
      <c r="E35" t="s">
        <v>1196</v>
      </c>
      <c r="F35" t="str">
        <f>VLOOKUP(E35, 'POS Categories'!$A$1:$B$1999, 2, FALSE)</f>
        <v>Food</v>
      </c>
    </row>
    <row r="36" spans="1:6" x14ac:dyDescent="0.25">
      <c r="A36">
        <v>44760</v>
      </c>
      <c r="B36">
        <v>-8.3000000000000007</v>
      </c>
      <c r="C36" t="s">
        <v>385</v>
      </c>
      <c r="D36" t="s">
        <v>388</v>
      </c>
      <c r="E36" t="s">
        <v>408</v>
      </c>
      <c r="F36" t="str">
        <f>VLOOKUP(E36, 'POS Categories'!$A$1:$B$1999, 2, FALSE)</f>
        <v>Food</v>
      </c>
    </row>
    <row r="37" spans="1:6" x14ac:dyDescent="0.25">
      <c r="A37">
        <v>44758</v>
      </c>
      <c r="B37">
        <v>-15.53</v>
      </c>
      <c r="C37" t="s">
        <v>385</v>
      </c>
      <c r="D37" t="s">
        <v>388</v>
      </c>
      <c r="E37" t="s">
        <v>142</v>
      </c>
      <c r="F37" t="str">
        <f>VLOOKUP(E37, 'POS Categories'!$A$1:$B$1999, 2, FALSE)</f>
        <v>Food</v>
      </c>
    </row>
    <row r="38" spans="1:6" x14ac:dyDescent="0.25">
      <c r="A38">
        <v>44758</v>
      </c>
      <c r="B38">
        <v>-11.76</v>
      </c>
      <c r="C38" t="s">
        <v>385</v>
      </c>
      <c r="D38" t="s">
        <v>388</v>
      </c>
      <c r="E38" t="s">
        <v>171</v>
      </c>
      <c r="F38" t="str">
        <f>VLOOKUP(E38, 'POS Categories'!$A$1:$B$1999, 2, FALSE)</f>
        <v>Food</v>
      </c>
    </row>
    <row r="39" spans="1:6" x14ac:dyDescent="0.25">
      <c r="A39">
        <v>44758</v>
      </c>
      <c r="B39">
        <v>-11.18</v>
      </c>
      <c r="C39" t="s">
        <v>385</v>
      </c>
      <c r="D39" t="s">
        <v>388</v>
      </c>
      <c r="E39" t="s">
        <v>408</v>
      </c>
      <c r="F39" t="str">
        <f>VLOOKUP(E39, 'POS Categories'!$A$1:$B$1999, 2, FALSE)</f>
        <v>Food</v>
      </c>
    </row>
    <row r="40" spans="1:6" x14ac:dyDescent="0.25">
      <c r="A40">
        <v>44757</v>
      </c>
      <c r="B40">
        <v>-5</v>
      </c>
      <c r="C40" t="s">
        <v>385</v>
      </c>
      <c r="D40" t="s">
        <v>388</v>
      </c>
      <c r="E40" t="s">
        <v>1231</v>
      </c>
      <c r="F40" t="str">
        <f>VLOOKUP(E40, 'POS Categories'!$A$1:$B$1999, 2, FALSE)</f>
        <v>Entertainment</v>
      </c>
    </row>
    <row r="41" spans="1:6" x14ac:dyDescent="0.25">
      <c r="A41">
        <v>44757</v>
      </c>
      <c r="B41">
        <v>-5</v>
      </c>
      <c r="C41" t="s">
        <v>385</v>
      </c>
      <c r="D41" t="s">
        <v>388</v>
      </c>
      <c r="E41" t="s">
        <v>1231</v>
      </c>
      <c r="F41" t="str">
        <f>VLOOKUP(E41, 'POS Categories'!$A$1:$B$1999, 2, FALSE)</f>
        <v>Entertainment</v>
      </c>
    </row>
    <row r="42" spans="1:6" x14ac:dyDescent="0.25">
      <c r="A42">
        <v>44757</v>
      </c>
      <c r="B42">
        <v>-5</v>
      </c>
      <c r="C42" t="s">
        <v>385</v>
      </c>
      <c r="D42" t="s">
        <v>388</v>
      </c>
      <c r="E42" t="s">
        <v>1231</v>
      </c>
      <c r="F42" t="str">
        <f>VLOOKUP(E42, 'POS Categories'!$A$1:$B$1999, 2, FALSE)</f>
        <v>Entertainment</v>
      </c>
    </row>
    <row r="43" spans="1:6" x14ac:dyDescent="0.25">
      <c r="A43">
        <v>44757</v>
      </c>
      <c r="B43">
        <v>-7.5</v>
      </c>
      <c r="C43" t="s">
        <v>385</v>
      </c>
      <c r="D43" t="s">
        <v>388</v>
      </c>
      <c r="E43" t="s">
        <v>1231</v>
      </c>
      <c r="F43" t="str">
        <f>VLOOKUP(E43, 'POS Categories'!$A$1:$B$1999, 2, FALSE)</f>
        <v>Entertainment</v>
      </c>
    </row>
    <row r="44" spans="1:6" x14ac:dyDescent="0.25">
      <c r="A44">
        <v>44757</v>
      </c>
      <c r="B44">
        <v>-5.5</v>
      </c>
      <c r="C44" t="s">
        <v>385</v>
      </c>
      <c r="D44" t="s">
        <v>388</v>
      </c>
      <c r="E44" t="s">
        <v>1231</v>
      </c>
      <c r="F44" t="str">
        <f>VLOOKUP(E44, 'POS Categories'!$A$1:$B$1999, 2, FALSE)</f>
        <v>Entertainment</v>
      </c>
    </row>
    <row r="45" spans="1:6" x14ac:dyDescent="0.25">
      <c r="A45">
        <v>44757</v>
      </c>
      <c r="B45">
        <v>-15.18</v>
      </c>
      <c r="C45" t="s">
        <v>385</v>
      </c>
      <c r="D45" t="s">
        <v>388</v>
      </c>
      <c r="E45" t="s">
        <v>8</v>
      </c>
      <c r="F45" t="str">
        <f>VLOOKUP(E45, 'POS Categories'!$A$1:$B$1999, 2, FALSE)</f>
        <v>Food</v>
      </c>
    </row>
    <row r="46" spans="1:6" x14ac:dyDescent="0.25">
      <c r="A46">
        <v>44757</v>
      </c>
      <c r="B46">
        <v>-66.55</v>
      </c>
      <c r="C46" t="s">
        <v>385</v>
      </c>
      <c r="D46" t="s">
        <v>388</v>
      </c>
      <c r="E46" t="s">
        <v>175</v>
      </c>
      <c r="F46" t="str">
        <f>VLOOKUP(E46, 'POS Categories'!$A$1:$B$1999, 2, FALSE)</f>
        <v>Sasktel</v>
      </c>
    </row>
    <row r="47" spans="1:6" x14ac:dyDescent="0.25">
      <c r="A47">
        <v>44757</v>
      </c>
      <c r="B47">
        <v>1991.33</v>
      </c>
      <c r="C47" t="s">
        <v>385</v>
      </c>
      <c r="D47" t="s">
        <v>386</v>
      </c>
      <c r="E47" t="s">
        <v>1193</v>
      </c>
      <c r="F47" t="str">
        <f>VLOOKUP(E47, 'POS Categories'!$A$1:$B$1999, 2, FALSE)</f>
        <v>Job</v>
      </c>
    </row>
    <row r="48" spans="1:6" x14ac:dyDescent="0.25">
      <c r="A48">
        <v>44757</v>
      </c>
      <c r="B48">
        <v>275</v>
      </c>
      <c r="C48" t="s">
        <v>385</v>
      </c>
      <c r="D48" t="s">
        <v>1232</v>
      </c>
      <c r="E48" t="s">
        <v>280</v>
      </c>
      <c r="F48" t="str">
        <f>VLOOKUP(E48, 'POS Categories'!$A$1:$B$1999, 2, FALSE)</f>
        <v>Government</v>
      </c>
    </row>
    <row r="49" spans="1:6" x14ac:dyDescent="0.25">
      <c r="A49">
        <v>44756</v>
      </c>
      <c r="B49">
        <v>-52.64</v>
      </c>
      <c r="C49" t="s">
        <v>385</v>
      </c>
      <c r="D49" t="s">
        <v>388</v>
      </c>
      <c r="E49" t="s">
        <v>1233</v>
      </c>
      <c r="F49" t="str">
        <f>VLOOKUP(E49, 'POS Categories'!$A$1:$B$1999, 2, FALSE)</f>
        <v>Personal</v>
      </c>
    </row>
    <row r="50" spans="1:6" x14ac:dyDescent="0.25">
      <c r="A50">
        <v>44756</v>
      </c>
      <c r="B50">
        <v>-9.81</v>
      </c>
      <c r="C50" t="s">
        <v>385</v>
      </c>
      <c r="D50" t="s">
        <v>388</v>
      </c>
      <c r="E50" t="s">
        <v>1209</v>
      </c>
      <c r="F50" t="str">
        <f>VLOOKUP(E50, 'POS Categories'!$A$1:$B$1999, 2, FALSE)</f>
        <v>Food</v>
      </c>
    </row>
    <row r="51" spans="1:6" x14ac:dyDescent="0.25">
      <c r="A51">
        <v>44756</v>
      </c>
      <c r="B51">
        <v>-13.85</v>
      </c>
      <c r="C51" t="s">
        <v>385</v>
      </c>
      <c r="D51" t="s">
        <v>388</v>
      </c>
      <c r="E51" t="s">
        <v>174</v>
      </c>
      <c r="F51" t="str">
        <f>VLOOKUP(E51, 'POS Categories'!$A$1:$B$1999, 2, FALSE)</f>
        <v>Food</v>
      </c>
    </row>
    <row r="52" spans="1:6" x14ac:dyDescent="0.25">
      <c r="A52">
        <v>44755</v>
      </c>
      <c r="B52">
        <v>-5.38</v>
      </c>
      <c r="C52" t="s">
        <v>385</v>
      </c>
      <c r="D52" t="s">
        <v>388</v>
      </c>
      <c r="E52" t="s">
        <v>183</v>
      </c>
      <c r="F52" t="str">
        <f>VLOOKUP(E52, 'POS Categories'!$A$1:$B$1999, 2, FALSE)</f>
        <v>Food</v>
      </c>
    </row>
    <row r="53" spans="1:6" x14ac:dyDescent="0.25">
      <c r="A53">
        <v>44755</v>
      </c>
      <c r="B53">
        <v>-39.85</v>
      </c>
      <c r="C53" t="s">
        <v>385</v>
      </c>
      <c r="D53" t="s">
        <v>388</v>
      </c>
      <c r="E53" t="s">
        <v>35</v>
      </c>
      <c r="F53" t="str">
        <f>VLOOKUP(E53, 'POS Categories'!$A$1:$B$1999, 2, FALSE)</f>
        <v>Personal</v>
      </c>
    </row>
    <row r="54" spans="1:6" x14ac:dyDescent="0.25">
      <c r="A54">
        <v>44755</v>
      </c>
      <c r="B54">
        <v>-11.18</v>
      </c>
      <c r="C54" t="s">
        <v>385</v>
      </c>
      <c r="D54" t="s">
        <v>388</v>
      </c>
      <c r="E54" t="s">
        <v>179</v>
      </c>
      <c r="F54" t="str">
        <f>VLOOKUP(E54, 'POS Categories'!$A$1:$B$1999, 2, FALSE)</f>
        <v>Food</v>
      </c>
    </row>
    <row r="55" spans="1:6" x14ac:dyDescent="0.25">
      <c r="A55">
        <v>44754</v>
      </c>
      <c r="B55">
        <v>-33.99</v>
      </c>
      <c r="C55" t="s">
        <v>385</v>
      </c>
      <c r="D55" t="s">
        <v>388</v>
      </c>
      <c r="E55" t="s">
        <v>1234</v>
      </c>
      <c r="F55" t="str">
        <f>VLOOKUP(E55, 'POS Categories'!$A$1:$B$1999, 2, FALSE)</f>
        <v>Entertainment</v>
      </c>
    </row>
    <row r="56" spans="1:6" x14ac:dyDescent="0.25">
      <c r="A56">
        <v>44754</v>
      </c>
      <c r="B56">
        <v>-33.99</v>
      </c>
      <c r="C56" t="s">
        <v>385</v>
      </c>
      <c r="D56" t="s">
        <v>388</v>
      </c>
      <c r="E56" t="s">
        <v>1234</v>
      </c>
      <c r="F56" t="str">
        <f>VLOOKUP(E56, 'POS Categories'!$A$1:$B$1999, 2, FALSE)</f>
        <v>Entertainment</v>
      </c>
    </row>
    <row r="57" spans="1:6" x14ac:dyDescent="0.25">
      <c r="A57">
        <v>44754</v>
      </c>
      <c r="B57">
        <v>59.82</v>
      </c>
      <c r="C57" t="s">
        <v>385</v>
      </c>
      <c r="D57" t="s">
        <v>430</v>
      </c>
      <c r="E57" t="s">
        <v>1234</v>
      </c>
      <c r="F57" t="str">
        <f>VLOOKUP(E57, 'POS Categories'!$A$1:$B$1999, 2, FALSE)</f>
        <v>Entertainment</v>
      </c>
    </row>
    <row r="58" spans="1:6" x14ac:dyDescent="0.25">
      <c r="A58">
        <v>44754</v>
      </c>
      <c r="B58">
        <v>-59.82</v>
      </c>
      <c r="C58" t="s">
        <v>385</v>
      </c>
      <c r="D58" t="s">
        <v>388</v>
      </c>
      <c r="E58" t="s">
        <v>1235</v>
      </c>
      <c r="F58" t="s">
        <v>5</v>
      </c>
    </row>
    <row r="59" spans="1:6" x14ac:dyDescent="0.25">
      <c r="A59">
        <v>44754</v>
      </c>
      <c r="B59">
        <v>-33.99</v>
      </c>
      <c r="C59" t="s">
        <v>385</v>
      </c>
      <c r="D59" t="s">
        <v>388</v>
      </c>
      <c r="E59" t="s">
        <v>1234</v>
      </c>
      <c r="F59" t="str">
        <f>VLOOKUP(E59, 'POS Categories'!$A$1:$B$1999, 2, FALSE)</f>
        <v>Entertainment</v>
      </c>
    </row>
    <row r="60" spans="1:6" x14ac:dyDescent="0.25">
      <c r="A60">
        <v>44754</v>
      </c>
      <c r="B60">
        <v>-25.83</v>
      </c>
      <c r="C60" t="s">
        <v>385</v>
      </c>
      <c r="D60" t="s">
        <v>388</v>
      </c>
      <c r="E60" t="s">
        <v>1234</v>
      </c>
      <c r="F60" t="str">
        <f>VLOOKUP(E60, 'POS Categories'!$A$1:$B$1999, 2, FALSE)</f>
        <v>Entertainment</v>
      </c>
    </row>
    <row r="61" spans="1:6" x14ac:dyDescent="0.25">
      <c r="A61">
        <v>44754</v>
      </c>
      <c r="B61">
        <v>-11.18</v>
      </c>
      <c r="C61" t="s">
        <v>385</v>
      </c>
      <c r="D61" t="s">
        <v>388</v>
      </c>
      <c r="E61" t="s">
        <v>179</v>
      </c>
      <c r="F61" t="str">
        <f>VLOOKUP(E61, 'POS Categories'!$A$1:$B$1999, 2, FALSE)</f>
        <v>Food</v>
      </c>
    </row>
    <row r="62" spans="1:6" x14ac:dyDescent="0.25">
      <c r="A62">
        <v>44753</v>
      </c>
      <c r="B62">
        <v>-18.39</v>
      </c>
      <c r="C62" t="s">
        <v>385</v>
      </c>
      <c r="D62" t="s">
        <v>388</v>
      </c>
      <c r="E62" t="s">
        <v>142</v>
      </c>
      <c r="F62" t="str">
        <f>VLOOKUP(E62, 'POS Categories'!$A$1:$B$1999, 2, FALSE)</f>
        <v>Food</v>
      </c>
    </row>
    <row r="63" spans="1:6" x14ac:dyDescent="0.25">
      <c r="A63">
        <v>44753</v>
      </c>
      <c r="B63">
        <v>-6.94</v>
      </c>
      <c r="C63" t="s">
        <v>385</v>
      </c>
      <c r="D63" t="s">
        <v>388</v>
      </c>
      <c r="E63" t="s">
        <v>1225</v>
      </c>
      <c r="F63" t="str">
        <f>VLOOKUP(E63, 'POS Categories'!$A$1:$B$1999, 2, FALSE)</f>
        <v>Food</v>
      </c>
    </row>
    <row r="64" spans="1:6" x14ac:dyDescent="0.25">
      <c r="A64">
        <v>44753</v>
      </c>
      <c r="B64">
        <v>-29.92</v>
      </c>
      <c r="C64" t="s">
        <v>385</v>
      </c>
      <c r="D64" t="s">
        <v>388</v>
      </c>
      <c r="E64" t="s">
        <v>150</v>
      </c>
      <c r="F64" t="str">
        <f>VLOOKUP(E64, 'POS Categories'!$A$1:$B$1999, 2, FALSE)</f>
        <v>Entertainment</v>
      </c>
    </row>
    <row r="65" spans="1:6" x14ac:dyDescent="0.25">
      <c r="A65">
        <v>44753</v>
      </c>
      <c r="B65">
        <v>-58.72</v>
      </c>
      <c r="C65" t="s">
        <v>385</v>
      </c>
      <c r="D65" t="s">
        <v>388</v>
      </c>
      <c r="E65" t="s">
        <v>236</v>
      </c>
      <c r="F65" t="str">
        <f>VLOOKUP(E65, 'POS Categories'!$A$1:$B$1999, 2, FALSE)</f>
        <v>Food</v>
      </c>
    </row>
    <row r="66" spans="1:6" x14ac:dyDescent="0.25">
      <c r="A66">
        <v>44753</v>
      </c>
      <c r="B66">
        <v>-5.75</v>
      </c>
      <c r="C66" t="s">
        <v>385</v>
      </c>
      <c r="D66" t="s">
        <v>388</v>
      </c>
      <c r="E66" t="s">
        <v>236</v>
      </c>
      <c r="F66" t="str">
        <f>VLOOKUP(E66, 'POS Categories'!$A$1:$B$1999, 2, FALSE)</f>
        <v>Food</v>
      </c>
    </row>
    <row r="67" spans="1:6" x14ac:dyDescent="0.25">
      <c r="A67">
        <v>44753</v>
      </c>
      <c r="B67">
        <v>-7.38</v>
      </c>
      <c r="C67" t="s">
        <v>385</v>
      </c>
      <c r="D67" t="s">
        <v>388</v>
      </c>
      <c r="E67" t="s">
        <v>408</v>
      </c>
      <c r="F67" t="str">
        <f>VLOOKUP(E67, 'POS Categories'!$A$1:$B$1999, 2, FALSE)</f>
        <v>Food</v>
      </c>
    </row>
    <row r="68" spans="1:6" x14ac:dyDescent="0.25">
      <c r="A68">
        <v>44753</v>
      </c>
      <c r="B68">
        <v>-72.150000000000006</v>
      </c>
      <c r="C68" t="s">
        <v>385</v>
      </c>
      <c r="D68" t="s">
        <v>388</v>
      </c>
      <c r="E68" t="s">
        <v>158</v>
      </c>
      <c r="F68" t="str">
        <f>VLOOKUP(E68, 'POS Categories'!$A$1:$B$1999, 2, FALSE)</f>
        <v>Personal</v>
      </c>
    </row>
    <row r="69" spans="1:6" x14ac:dyDescent="0.25">
      <c r="A69">
        <v>44753</v>
      </c>
      <c r="B69">
        <v>-11.53</v>
      </c>
      <c r="C69" t="s">
        <v>385</v>
      </c>
      <c r="D69" t="s">
        <v>388</v>
      </c>
      <c r="E69" t="s">
        <v>184</v>
      </c>
      <c r="F69" t="str">
        <f>VLOOKUP(E69, 'POS Categories'!$A$1:$B$1999, 2, FALSE)</f>
        <v>Food</v>
      </c>
    </row>
    <row r="70" spans="1:6" x14ac:dyDescent="0.25">
      <c r="A70">
        <v>44751</v>
      </c>
      <c r="B70">
        <v>-96.43</v>
      </c>
      <c r="C70" t="s">
        <v>385</v>
      </c>
      <c r="D70" t="s">
        <v>388</v>
      </c>
      <c r="E70" t="s">
        <v>157</v>
      </c>
      <c r="F70" t="str">
        <f>VLOOKUP(E70, 'POS Categories'!$A$1:$B$1999, 2, FALSE)</f>
        <v>Personal</v>
      </c>
    </row>
    <row r="71" spans="1:6" x14ac:dyDescent="0.25">
      <c r="A71">
        <v>44751</v>
      </c>
      <c r="B71">
        <v>-12.6</v>
      </c>
      <c r="C71" t="s">
        <v>385</v>
      </c>
      <c r="D71" t="s">
        <v>388</v>
      </c>
      <c r="E71" t="s">
        <v>270</v>
      </c>
      <c r="F71" t="str">
        <f>VLOOKUP(E71, 'POS Categories'!$A$1:$B$1999, 2, FALSE)</f>
        <v>Personal</v>
      </c>
    </row>
    <row r="72" spans="1:6" x14ac:dyDescent="0.25">
      <c r="A72">
        <v>44751</v>
      </c>
      <c r="B72">
        <v>-88.68</v>
      </c>
      <c r="C72" t="s">
        <v>385</v>
      </c>
      <c r="D72" t="s">
        <v>388</v>
      </c>
      <c r="E72" t="s">
        <v>395</v>
      </c>
      <c r="F72" t="str">
        <f>VLOOKUP(E72, 'POS Categories'!$A$1:$B$1999, 2, FALSE)</f>
        <v>Vehicle</v>
      </c>
    </row>
    <row r="73" spans="1:6" x14ac:dyDescent="0.25">
      <c r="A73">
        <v>44751</v>
      </c>
      <c r="B73">
        <v>-11.18</v>
      </c>
      <c r="C73" t="s">
        <v>385</v>
      </c>
      <c r="D73" t="s">
        <v>388</v>
      </c>
      <c r="E73" t="s">
        <v>408</v>
      </c>
      <c r="F73" t="str">
        <f>VLOOKUP(E73, 'POS Categories'!$A$1:$B$1999, 2, FALSE)</f>
        <v>Food</v>
      </c>
    </row>
    <row r="74" spans="1:6" x14ac:dyDescent="0.25">
      <c r="A74">
        <v>44750</v>
      </c>
      <c r="B74">
        <v>-6.94</v>
      </c>
      <c r="C74" t="s">
        <v>385</v>
      </c>
      <c r="D74" t="s">
        <v>388</v>
      </c>
      <c r="E74" t="s">
        <v>1225</v>
      </c>
      <c r="F74" t="str">
        <f>VLOOKUP(E74, 'POS Categories'!$A$1:$B$1999, 2, FALSE)</f>
        <v>Food</v>
      </c>
    </row>
    <row r="75" spans="1:6" x14ac:dyDescent="0.25">
      <c r="A75">
        <v>44750</v>
      </c>
      <c r="B75">
        <v>4228.28</v>
      </c>
      <c r="C75" t="s">
        <v>385</v>
      </c>
      <c r="D75" t="s">
        <v>604</v>
      </c>
      <c r="E75" t="s">
        <v>280</v>
      </c>
      <c r="F75" t="str">
        <f>VLOOKUP(E75, 'POS Categories'!$A$1:$B$1999, 2, FALSE)</f>
        <v>Government</v>
      </c>
    </row>
    <row r="76" spans="1:6" x14ac:dyDescent="0.25">
      <c r="A76">
        <v>44749</v>
      </c>
      <c r="B76">
        <v>-19.14</v>
      </c>
      <c r="C76" t="s">
        <v>385</v>
      </c>
      <c r="D76" t="s">
        <v>388</v>
      </c>
      <c r="E76" t="s">
        <v>1209</v>
      </c>
      <c r="F76" t="str">
        <f>VLOOKUP(E76, 'POS Categories'!$A$1:$B$1999, 2, FALSE)</f>
        <v>Food</v>
      </c>
    </row>
    <row r="77" spans="1:6" x14ac:dyDescent="0.25">
      <c r="A77">
        <v>44749</v>
      </c>
      <c r="B77">
        <v>-11.42</v>
      </c>
      <c r="C77" t="s">
        <v>385</v>
      </c>
      <c r="D77" t="s">
        <v>388</v>
      </c>
      <c r="E77" t="s">
        <v>174</v>
      </c>
      <c r="F77" t="str">
        <f>VLOOKUP(E77, 'POS Categories'!$A$1:$B$1999, 2, FALSE)</f>
        <v>Food</v>
      </c>
    </row>
    <row r="78" spans="1:6" x14ac:dyDescent="0.25">
      <c r="A78">
        <v>44749</v>
      </c>
      <c r="B78">
        <v>-54.98</v>
      </c>
      <c r="C78" t="s">
        <v>385</v>
      </c>
      <c r="D78" t="s">
        <v>388</v>
      </c>
      <c r="E78" t="s">
        <v>411</v>
      </c>
      <c r="F78" t="str">
        <f>VLOOKUP(E78, 'POS Categories'!$A$1:$B$1999, 2, FALSE)</f>
        <v>Sasktel</v>
      </c>
    </row>
    <row r="79" spans="1:6" x14ac:dyDescent="0.25">
      <c r="A79">
        <v>44748</v>
      </c>
      <c r="B79">
        <v>-15.85</v>
      </c>
      <c r="C79" t="s">
        <v>385</v>
      </c>
      <c r="D79" t="s">
        <v>388</v>
      </c>
      <c r="E79" t="s">
        <v>171</v>
      </c>
      <c r="F79" t="str">
        <f>VLOOKUP(E79, 'POS Categories'!$A$1:$B$1999, 2, FALSE)</f>
        <v>Food</v>
      </c>
    </row>
    <row r="80" spans="1:6" x14ac:dyDescent="0.25">
      <c r="A80">
        <v>44748</v>
      </c>
      <c r="B80">
        <v>-16.829999999999998</v>
      </c>
      <c r="C80" t="s">
        <v>385</v>
      </c>
      <c r="D80" t="s">
        <v>388</v>
      </c>
      <c r="E80" t="s">
        <v>185</v>
      </c>
      <c r="F80" t="str">
        <f>VLOOKUP(E80, 'POS Categories'!$A$1:$B$1999, 2, FALSE)</f>
        <v>Food</v>
      </c>
    </row>
    <row r="81" spans="1:6" x14ac:dyDescent="0.25">
      <c r="A81">
        <v>44747</v>
      </c>
      <c r="B81">
        <v>-17.29</v>
      </c>
      <c r="C81" t="s">
        <v>385</v>
      </c>
      <c r="D81" t="s">
        <v>388</v>
      </c>
      <c r="E81" t="s">
        <v>8</v>
      </c>
      <c r="F81" t="str">
        <f>VLOOKUP(E81, 'POS Categories'!$A$1:$B$1999, 2, FALSE)</f>
        <v>Food</v>
      </c>
    </row>
    <row r="82" spans="1:6" x14ac:dyDescent="0.25">
      <c r="A82">
        <v>44746</v>
      </c>
      <c r="B82">
        <v>-1235</v>
      </c>
      <c r="C82" t="s">
        <v>385</v>
      </c>
      <c r="D82" t="s">
        <v>414</v>
      </c>
      <c r="E82" t="s">
        <v>1224</v>
      </c>
      <c r="F82" t="str">
        <f>VLOOKUP(E82, 'POS Categories'!$A$1:$B$1999, 2, FALSE)</f>
        <v>Rent</v>
      </c>
    </row>
    <row r="83" spans="1:6" x14ac:dyDescent="0.25">
      <c r="A83">
        <v>44744</v>
      </c>
      <c r="B83">
        <v>-14.4</v>
      </c>
      <c r="C83" t="s">
        <v>385</v>
      </c>
      <c r="D83" t="s">
        <v>388</v>
      </c>
      <c r="E83" t="s">
        <v>1198</v>
      </c>
      <c r="F83" t="str">
        <f>VLOOKUP(E83, 'POS Categories'!$A$1:$B$1999, 2, FALSE)</f>
        <v>Entertainment</v>
      </c>
    </row>
    <row r="84" spans="1:6" x14ac:dyDescent="0.25">
      <c r="A84">
        <v>44744</v>
      </c>
      <c r="B84">
        <v>-97.39</v>
      </c>
      <c r="C84" t="s">
        <v>385</v>
      </c>
      <c r="D84" t="s">
        <v>388</v>
      </c>
      <c r="E84" t="s">
        <v>33</v>
      </c>
      <c r="F84" t="str">
        <f>VLOOKUP(E84, 'POS Categories'!$A$1:$B$1999, 2, FALSE)</f>
        <v>Food</v>
      </c>
    </row>
    <row r="85" spans="1:6" x14ac:dyDescent="0.25">
      <c r="A85">
        <v>44744</v>
      </c>
      <c r="B85">
        <v>-9.08</v>
      </c>
      <c r="C85" t="s">
        <v>385</v>
      </c>
      <c r="D85" t="s">
        <v>388</v>
      </c>
      <c r="E85" t="s">
        <v>408</v>
      </c>
      <c r="F85" t="str">
        <f>VLOOKUP(E85, 'POS Categories'!$A$1:$B$1999, 2, FALSE)</f>
        <v>Food</v>
      </c>
    </row>
    <row r="86" spans="1:6" x14ac:dyDescent="0.25">
      <c r="A86">
        <v>44744</v>
      </c>
      <c r="B86">
        <v>-16.57</v>
      </c>
      <c r="C86" t="s">
        <v>385</v>
      </c>
      <c r="D86" t="s">
        <v>388</v>
      </c>
      <c r="E86" t="s">
        <v>284</v>
      </c>
      <c r="F86" t="str">
        <f>VLOOKUP(E86, 'POS Categories'!$A$1:$B$1999, 2, FALSE)</f>
        <v>Food</v>
      </c>
    </row>
    <row r="87" spans="1:6" x14ac:dyDescent="0.25">
      <c r="A87">
        <v>44744</v>
      </c>
      <c r="B87">
        <v>-55.5</v>
      </c>
      <c r="C87" t="s">
        <v>385</v>
      </c>
      <c r="D87" t="s">
        <v>388</v>
      </c>
      <c r="E87" t="s">
        <v>1219</v>
      </c>
      <c r="F87" t="str">
        <f>VLOOKUP(E87, 'POS Categories'!$A$1:$B$1999, 2, FALSE)</f>
        <v>Personal</v>
      </c>
    </row>
    <row r="88" spans="1:6" x14ac:dyDescent="0.25">
      <c r="A88">
        <v>44744</v>
      </c>
      <c r="B88">
        <v>-16.489999999999998</v>
      </c>
      <c r="C88" t="s">
        <v>385</v>
      </c>
      <c r="D88" t="s">
        <v>388</v>
      </c>
      <c r="E88" t="s">
        <v>1236</v>
      </c>
      <c r="F88" t="str">
        <f>VLOOKUP(E88, 'POS Categories'!$A$1:$B$1999, 2, FALSE)</f>
        <v>Food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84"/>
  <sheetViews>
    <sheetView workbookViewId="0">
      <selection activeCell="F80" sqref="F80"/>
    </sheetView>
  </sheetViews>
  <sheetFormatPr defaultRowHeight="15" x14ac:dyDescent="0.25"/>
  <cols>
    <col min="5" max="5" width="36.140625" bestFit="1" customWidth="1"/>
  </cols>
  <sheetData>
    <row r="1" spans="1:6" x14ac:dyDescent="0.25">
      <c r="A1">
        <v>44742</v>
      </c>
      <c r="B1">
        <v>-31.81</v>
      </c>
      <c r="C1" t="s">
        <v>385</v>
      </c>
      <c r="D1" t="s">
        <v>388</v>
      </c>
      <c r="E1" t="s">
        <v>315</v>
      </c>
      <c r="F1" t="str">
        <f>VLOOKUP(E1, 'POS Categories'!$A$1:$B$1999, 2, FALSE)</f>
        <v>Food</v>
      </c>
    </row>
    <row r="2" spans="1:6" x14ac:dyDescent="0.25">
      <c r="A2">
        <v>44742</v>
      </c>
      <c r="B2">
        <v>-6.61</v>
      </c>
      <c r="C2" t="s">
        <v>385</v>
      </c>
      <c r="D2" t="s">
        <v>388</v>
      </c>
      <c r="E2" t="s">
        <v>34</v>
      </c>
      <c r="F2" t="str">
        <f>VLOOKUP(E2, 'POS Categories'!$A$1:$B$1999, 2, FALSE)</f>
        <v>Food</v>
      </c>
    </row>
    <row r="3" spans="1:6" x14ac:dyDescent="0.25">
      <c r="A3">
        <v>44742</v>
      </c>
      <c r="B3">
        <v>-11.64</v>
      </c>
      <c r="C3" t="s">
        <v>385</v>
      </c>
      <c r="D3" t="s">
        <v>388</v>
      </c>
      <c r="E3" t="s">
        <v>240</v>
      </c>
      <c r="F3" t="str">
        <f>VLOOKUP(E3, 'POS Categories'!$A$1:$B$1999, 2, FALSE)</f>
        <v>Food</v>
      </c>
    </row>
    <row r="4" spans="1:6" x14ac:dyDescent="0.25">
      <c r="A4">
        <v>44742</v>
      </c>
      <c r="B4">
        <v>100</v>
      </c>
      <c r="C4" t="s">
        <v>385</v>
      </c>
      <c r="D4" t="s">
        <v>467</v>
      </c>
      <c r="E4" t="s">
        <v>200</v>
      </c>
      <c r="F4" t="str">
        <f>VLOOKUP(E4, 'POS Categories'!$A$1:$B$1999, 2, FALSE)</f>
        <v>Bills</v>
      </c>
    </row>
    <row r="5" spans="1:6" x14ac:dyDescent="0.25">
      <c r="A5">
        <v>44742</v>
      </c>
      <c r="B5">
        <v>1991.32</v>
      </c>
      <c r="C5" t="s">
        <v>385</v>
      </c>
      <c r="D5" t="s">
        <v>386</v>
      </c>
      <c r="E5" t="s">
        <v>1193</v>
      </c>
      <c r="F5" t="s">
        <v>1</v>
      </c>
    </row>
    <row r="6" spans="1:6" x14ac:dyDescent="0.25">
      <c r="A6">
        <v>44741</v>
      </c>
      <c r="B6">
        <v>-18.73</v>
      </c>
      <c r="C6" t="s">
        <v>385</v>
      </c>
      <c r="D6" t="s">
        <v>388</v>
      </c>
      <c r="E6" t="s">
        <v>142</v>
      </c>
      <c r="F6" t="str">
        <f>VLOOKUP(E6, 'POS Categories'!$A$1:$B$1999, 2, FALSE)</f>
        <v>Food</v>
      </c>
    </row>
    <row r="7" spans="1:6" x14ac:dyDescent="0.25">
      <c r="A7">
        <v>44741</v>
      </c>
      <c r="B7">
        <v>-11.98</v>
      </c>
      <c r="C7" t="s">
        <v>385</v>
      </c>
      <c r="D7" t="s">
        <v>388</v>
      </c>
      <c r="E7" t="s">
        <v>8</v>
      </c>
      <c r="F7" t="str">
        <f>VLOOKUP(E7, 'POS Categories'!$A$1:$B$1999, 2, FALSE)</f>
        <v>Food</v>
      </c>
    </row>
    <row r="8" spans="1:6" x14ac:dyDescent="0.25">
      <c r="A8">
        <v>44740</v>
      </c>
      <c r="B8">
        <v>-18.34</v>
      </c>
      <c r="C8" t="s">
        <v>385</v>
      </c>
      <c r="D8" t="s">
        <v>388</v>
      </c>
      <c r="E8" t="s">
        <v>364</v>
      </c>
      <c r="F8" t="str">
        <f>VLOOKUP(E8, 'POS Categories'!$A$1:$B$1999, 2, FALSE)</f>
        <v>Food</v>
      </c>
    </row>
    <row r="9" spans="1:6" x14ac:dyDescent="0.25">
      <c r="A9">
        <v>44740</v>
      </c>
      <c r="B9">
        <v>-17.600000000000001</v>
      </c>
      <c r="C9" t="s">
        <v>385</v>
      </c>
      <c r="D9" t="s">
        <v>388</v>
      </c>
      <c r="E9" t="s">
        <v>185</v>
      </c>
      <c r="F9" t="str">
        <f>VLOOKUP(E9, 'POS Categories'!$A$1:$B$1999, 2, FALSE)</f>
        <v>Food</v>
      </c>
    </row>
    <row r="10" spans="1:6" x14ac:dyDescent="0.25">
      <c r="A10">
        <v>44740</v>
      </c>
      <c r="B10">
        <v>-8.19</v>
      </c>
      <c r="C10" t="s">
        <v>385</v>
      </c>
      <c r="D10" t="s">
        <v>388</v>
      </c>
      <c r="E10" t="s">
        <v>408</v>
      </c>
      <c r="F10" t="str">
        <f>VLOOKUP(E10, 'POS Categories'!$A$1:$B$1999, 2, FALSE)</f>
        <v>Food</v>
      </c>
    </row>
    <row r="11" spans="1:6" x14ac:dyDescent="0.25">
      <c r="A11">
        <v>44739</v>
      </c>
      <c r="B11">
        <v>-11.09</v>
      </c>
      <c r="C11" t="s">
        <v>385</v>
      </c>
      <c r="D11" t="s">
        <v>388</v>
      </c>
      <c r="E11" t="s">
        <v>240</v>
      </c>
      <c r="F11" t="str">
        <f>VLOOKUP(E11, 'POS Categories'!$A$1:$B$1999, 2, FALSE)</f>
        <v>Food</v>
      </c>
    </row>
    <row r="12" spans="1:6" x14ac:dyDescent="0.25">
      <c r="A12">
        <v>44739</v>
      </c>
      <c r="B12">
        <v>-19.28</v>
      </c>
      <c r="C12" t="s">
        <v>385</v>
      </c>
      <c r="D12" t="s">
        <v>388</v>
      </c>
      <c r="E12" t="s">
        <v>142</v>
      </c>
      <c r="F12" t="str">
        <f>VLOOKUP(E12, 'POS Categories'!$A$1:$B$1999, 2, FALSE)</f>
        <v>Food</v>
      </c>
    </row>
    <row r="13" spans="1:6" x14ac:dyDescent="0.25">
      <c r="A13">
        <v>44739</v>
      </c>
      <c r="B13">
        <v>-13.3</v>
      </c>
      <c r="C13" t="s">
        <v>385</v>
      </c>
      <c r="D13" t="s">
        <v>388</v>
      </c>
      <c r="E13" t="s">
        <v>314</v>
      </c>
      <c r="F13" t="str">
        <f>VLOOKUP(E13, 'POS Categories'!$A$1:$B$1999, 2, FALSE)</f>
        <v>Personal</v>
      </c>
    </row>
    <row r="14" spans="1:6" x14ac:dyDescent="0.25">
      <c r="A14">
        <v>44739</v>
      </c>
      <c r="B14">
        <v>-12.42</v>
      </c>
      <c r="C14" t="s">
        <v>385</v>
      </c>
      <c r="D14" t="s">
        <v>388</v>
      </c>
      <c r="E14" t="s">
        <v>184</v>
      </c>
      <c r="F14" t="str">
        <f>VLOOKUP(E14, 'POS Categories'!$A$1:$B$1999, 2, FALSE)</f>
        <v>Food</v>
      </c>
    </row>
    <row r="15" spans="1:6" x14ac:dyDescent="0.25">
      <c r="A15">
        <v>44739</v>
      </c>
      <c r="B15">
        <v>-55.5</v>
      </c>
      <c r="C15" t="s">
        <v>385</v>
      </c>
      <c r="D15" t="s">
        <v>388</v>
      </c>
      <c r="E15" t="s">
        <v>1219</v>
      </c>
      <c r="F15" t="str">
        <f>VLOOKUP(E15, 'POS Categories'!$A$1:$B$1999, 2, FALSE)</f>
        <v>Personal</v>
      </c>
    </row>
    <row r="16" spans="1:6" x14ac:dyDescent="0.25">
      <c r="A16">
        <v>44739</v>
      </c>
      <c r="B16">
        <v>-11.08</v>
      </c>
      <c r="C16" t="s">
        <v>385</v>
      </c>
      <c r="D16" t="s">
        <v>388</v>
      </c>
      <c r="E16" t="s">
        <v>408</v>
      </c>
      <c r="F16" t="str">
        <f>VLOOKUP(E16, 'POS Categories'!$A$1:$B$1999, 2, FALSE)</f>
        <v>Food</v>
      </c>
    </row>
    <row r="17" spans="1:6" x14ac:dyDescent="0.25">
      <c r="A17">
        <v>44737</v>
      </c>
      <c r="B17">
        <v>-22.84</v>
      </c>
      <c r="C17" t="s">
        <v>385</v>
      </c>
      <c r="D17" t="s">
        <v>388</v>
      </c>
      <c r="E17" t="s">
        <v>696</v>
      </c>
      <c r="F17" t="str">
        <f>VLOOKUP(E17, 'POS Categories'!$A$1:$B$1999, 2, FALSE)</f>
        <v>Food</v>
      </c>
    </row>
    <row r="18" spans="1:6" x14ac:dyDescent="0.25">
      <c r="A18">
        <v>44736</v>
      </c>
      <c r="B18">
        <v>-38.409999999999997</v>
      </c>
      <c r="C18" t="s">
        <v>385</v>
      </c>
      <c r="D18" t="s">
        <v>388</v>
      </c>
      <c r="E18" t="s">
        <v>1220</v>
      </c>
      <c r="F18" t="str">
        <f>VLOOKUP(E18, 'POS Categories'!$A$1:$B$1999, 2, FALSE)</f>
        <v>Food</v>
      </c>
    </row>
    <row r="19" spans="1:6" x14ac:dyDescent="0.25">
      <c r="A19">
        <v>44736</v>
      </c>
      <c r="B19">
        <v>-16.63</v>
      </c>
      <c r="C19" t="s">
        <v>385</v>
      </c>
      <c r="D19" t="s">
        <v>388</v>
      </c>
      <c r="E19" t="s">
        <v>8</v>
      </c>
      <c r="F19" t="str">
        <f>VLOOKUP(E19, 'POS Categories'!$A$1:$B$1999, 2, FALSE)</f>
        <v>Food</v>
      </c>
    </row>
    <row r="20" spans="1:6" x14ac:dyDescent="0.25">
      <c r="A20">
        <v>44735</v>
      </c>
      <c r="B20">
        <v>-33.68</v>
      </c>
      <c r="C20" t="s">
        <v>385</v>
      </c>
      <c r="D20" t="s">
        <v>388</v>
      </c>
      <c r="E20" t="s">
        <v>1209</v>
      </c>
      <c r="F20" t="str">
        <f>VLOOKUP(E20, 'POS Categories'!$A$1:$B$1999, 2, FALSE)</f>
        <v>Food</v>
      </c>
    </row>
    <row r="21" spans="1:6" x14ac:dyDescent="0.25">
      <c r="A21">
        <v>44735</v>
      </c>
      <c r="B21">
        <v>-17.07</v>
      </c>
      <c r="C21" t="s">
        <v>385</v>
      </c>
      <c r="D21" t="s">
        <v>388</v>
      </c>
      <c r="E21" t="s">
        <v>185</v>
      </c>
      <c r="F21" t="str">
        <f>VLOOKUP(E21, 'POS Categories'!$A$1:$B$1999, 2, FALSE)</f>
        <v>Food</v>
      </c>
    </row>
    <row r="22" spans="1:6" x14ac:dyDescent="0.25">
      <c r="A22">
        <v>44734</v>
      </c>
      <c r="B22">
        <v>-18.52</v>
      </c>
      <c r="C22" t="s">
        <v>385</v>
      </c>
      <c r="D22" t="s">
        <v>388</v>
      </c>
      <c r="E22" t="s">
        <v>347</v>
      </c>
      <c r="F22" t="str">
        <f>VLOOKUP(E22, 'POS Categories'!$A$1:$B$1999, 2, FALSE)</f>
        <v>Food</v>
      </c>
    </row>
    <row r="23" spans="1:6" x14ac:dyDescent="0.25">
      <c r="A23">
        <v>44734</v>
      </c>
      <c r="B23">
        <v>-2.74</v>
      </c>
      <c r="C23" t="s">
        <v>385</v>
      </c>
      <c r="D23" t="s">
        <v>400</v>
      </c>
      <c r="E23" t="s">
        <v>401</v>
      </c>
      <c r="F23" t="str">
        <f>VLOOKUP(E23, 'POS Categories'!$A$1:$B$1999, 2, FALSE)</f>
        <v>Misc</v>
      </c>
    </row>
    <row r="24" spans="1:6" x14ac:dyDescent="0.25">
      <c r="A24">
        <v>44734</v>
      </c>
      <c r="B24">
        <v>-62.97</v>
      </c>
      <c r="C24" t="s">
        <v>385</v>
      </c>
      <c r="D24" t="s">
        <v>435</v>
      </c>
      <c r="E24" t="s">
        <v>177</v>
      </c>
      <c r="F24" t="str">
        <f>VLOOKUP(E24, 'POS Categories'!$A$1:$B$1999, 2, FALSE)</f>
        <v>Power</v>
      </c>
    </row>
    <row r="25" spans="1:6" x14ac:dyDescent="0.25">
      <c r="A25">
        <v>44734</v>
      </c>
      <c r="B25">
        <v>-10.87</v>
      </c>
      <c r="C25" t="s">
        <v>385</v>
      </c>
      <c r="D25" t="s">
        <v>388</v>
      </c>
      <c r="E25" t="s">
        <v>174</v>
      </c>
      <c r="F25" t="str">
        <f>VLOOKUP(E25, 'POS Categories'!$A$1:$B$1999, 2, FALSE)</f>
        <v>Food</v>
      </c>
    </row>
    <row r="26" spans="1:6" x14ac:dyDescent="0.25">
      <c r="A26">
        <v>44733</v>
      </c>
      <c r="B26">
        <v>-16.63</v>
      </c>
      <c r="C26" t="s">
        <v>385</v>
      </c>
      <c r="D26" t="s">
        <v>388</v>
      </c>
      <c r="E26" t="s">
        <v>8</v>
      </c>
      <c r="F26" t="str">
        <f>VLOOKUP(E26, 'POS Categories'!$A$1:$B$1999, 2, FALSE)</f>
        <v>Food</v>
      </c>
    </row>
    <row r="27" spans="1:6" x14ac:dyDescent="0.25">
      <c r="A27">
        <v>44732</v>
      </c>
      <c r="B27">
        <v>-5.62</v>
      </c>
      <c r="C27" t="s">
        <v>385</v>
      </c>
      <c r="D27" t="s">
        <v>388</v>
      </c>
      <c r="E27" t="s">
        <v>245</v>
      </c>
      <c r="F27" t="str">
        <f>VLOOKUP(E27, 'POS Categories'!$A$1:$B$1999, 2, FALSE)</f>
        <v>Food</v>
      </c>
    </row>
    <row r="28" spans="1:6" x14ac:dyDescent="0.25">
      <c r="A28">
        <v>44732</v>
      </c>
      <c r="B28">
        <v>-37.49</v>
      </c>
      <c r="C28" t="s">
        <v>385</v>
      </c>
      <c r="D28" t="s">
        <v>388</v>
      </c>
      <c r="E28" t="s">
        <v>246</v>
      </c>
      <c r="F28" t="str">
        <f>VLOOKUP(E28, 'POS Categories'!$A$1:$B$1999, 2, FALSE)</f>
        <v>Food</v>
      </c>
    </row>
    <row r="29" spans="1:6" x14ac:dyDescent="0.25">
      <c r="A29">
        <v>44732</v>
      </c>
      <c r="B29">
        <v>43.11</v>
      </c>
      <c r="C29" t="s">
        <v>385</v>
      </c>
      <c r="D29" t="s">
        <v>430</v>
      </c>
      <c r="E29" t="s">
        <v>246</v>
      </c>
      <c r="F29" t="str">
        <f>VLOOKUP(E29, 'POS Categories'!$A$1:$B$1999, 2, FALSE)</f>
        <v>Food</v>
      </c>
    </row>
    <row r="30" spans="1:6" x14ac:dyDescent="0.25">
      <c r="A30">
        <v>44732</v>
      </c>
      <c r="B30">
        <v>-43.11</v>
      </c>
      <c r="C30" t="s">
        <v>385</v>
      </c>
      <c r="D30" t="s">
        <v>388</v>
      </c>
      <c r="E30" t="s">
        <v>246</v>
      </c>
      <c r="F30" t="str">
        <f>VLOOKUP(E30, 'POS Categories'!$A$1:$B$1999, 2, FALSE)</f>
        <v>Food</v>
      </c>
    </row>
    <row r="31" spans="1:6" x14ac:dyDescent="0.25">
      <c r="A31">
        <v>44732</v>
      </c>
      <c r="B31">
        <v>-8.93</v>
      </c>
      <c r="C31" t="s">
        <v>385</v>
      </c>
      <c r="D31" t="s">
        <v>388</v>
      </c>
      <c r="E31" t="s">
        <v>408</v>
      </c>
      <c r="F31" t="str">
        <f>VLOOKUP(E31, 'POS Categories'!$A$1:$B$1999, 2, FALSE)</f>
        <v>Food</v>
      </c>
    </row>
    <row r="32" spans="1:6" x14ac:dyDescent="0.25">
      <c r="A32">
        <v>44732</v>
      </c>
      <c r="B32">
        <v>-11.76</v>
      </c>
      <c r="C32" t="s">
        <v>385</v>
      </c>
      <c r="D32" t="s">
        <v>388</v>
      </c>
      <c r="E32" t="s">
        <v>171</v>
      </c>
      <c r="F32" t="str">
        <f>VLOOKUP(E32, 'POS Categories'!$A$1:$B$1999, 2, FALSE)</f>
        <v>Food</v>
      </c>
    </row>
    <row r="33" spans="1:6" x14ac:dyDescent="0.25">
      <c r="A33">
        <v>44732</v>
      </c>
      <c r="B33">
        <v>-6.61</v>
      </c>
      <c r="C33" t="s">
        <v>385</v>
      </c>
      <c r="D33" t="s">
        <v>388</v>
      </c>
      <c r="E33" t="s">
        <v>34</v>
      </c>
      <c r="F33" t="str">
        <f>VLOOKUP(E33, 'POS Categories'!$A$1:$B$1999, 2, FALSE)</f>
        <v>Food</v>
      </c>
    </row>
    <row r="34" spans="1:6" x14ac:dyDescent="0.25">
      <c r="A34">
        <v>44730</v>
      </c>
      <c r="B34">
        <v>-11.08</v>
      </c>
      <c r="C34" t="s">
        <v>385</v>
      </c>
      <c r="D34" t="s">
        <v>388</v>
      </c>
      <c r="E34" t="s">
        <v>408</v>
      </c>
      <c r="F34" t="str">
        <f>VLOOKUP(E34, 'POS Categories'!$A$1:$B$1999, 2, FALSE)</f>
        <v>Food</v>
      </c>
    </row>
    <row r="35" spans="1:6" x14ac:dyDescent="0.25">
      <c r="A35">
        <v>44729</v>
      </c>
      <c r="B35">
        <v>-26.85</v>
      </c>
      <c r="C35" t="s">
        <v>385</v>
      </c>
      <c r="D35" t="s">
        <v>388</v>
      </c>
      <c r="E35" t="s">
        <v>162</v>
      </c>
      <c r="F35" t="str">
        <f>VLOOKUP(E35, 'POS Categories'!$A$1:$B$1999, 2, FALSE)</f>
        <v>Food</v>
      </c>
    </row>
    <row r="36" spans="1:6" x14ac:dyDescent="0.25">
      <c r="A36">
        <v>44729</v>
      </c>
      <c r="B36">
        <v>-16.829999999999998</v>
      </c>
      <c r="C36" t="s">
        <v>385</v>
      </c>
      <c r="D36" t="s">
        <v>388</v>
      </c>
      <c r="E36" t="s">
        <v>185</v>
      </c>
      <c r="F36" t="str">
        <f>VLOOKUP(E36, 'POS Categories'!$A$1:$B$1999, 2, FALSE)</f>
        <v>Food</v>
      </c>
    </row>
    <row r="37" spans="1:6" x14ac:dyDescent="0.25">
      <c r="A37">
        <v>44729</v>
      </c>
      <c r="B37">
        <v>1991.32</v>
      </c>
      <c r="C37" t="s">
        <v>385</v>
      </c>
      <c r="D37" t="s">
        <v>386</v>
      </c>
      <c r="E37" t="s">
        <v>1193</v>
      </c>
      <c r="F37" t="s">
        <v>1</v>
      </c>
    </row>
    <row r="38" spans="1:6" x14ac:dyDescent="0.25">
      <c r="A38">
        <v>44728</v>
      </c>
      <c r="B38">
        <v>-25.43</v>
      </c>
      <c r="C38" t="s">
        <v>385</v>
      </c>
      <c r="D38" t="s">
        <v>388</v>
      </c>
      <c r="E38" t="s">
        <v>315</v>
      </c>
      <c r="F38" t="str">
        <f>VLOOKUP(E38, 'POS Categories'!$A$1:$B$1999, 2, FALSE)</f>
        <v>Food</v>
      </c>
    </row>
    <row r="39" spans="1:6" x14ac:dyDescent="0.25">
      <c r="A39">
        <v>44728</v>
      </c>
      <c r="B39">
        <v>-55.5</v>
      </c>
      <c r="C39" t="s">
        <v>385</v>
      </c>
      <c r="D39" t="s">
        <v>466</v>
      </c>
      <c r="E39" t="s">
        <v>200</v>
      </c>
      <c r="F39" t="str">
        <f>VLOOKUP(E39, 'POS Categories'!$A$1:$B$1999, 2, FALSE)</f>
        <v>Bills</v>
      </c>
    </row>
    <row r="40" spans="1:6" x14ac:dyDescent="0.25">
      <c r="A40">
        <v>44728</v>
      </c>
      <c r="B40">
        <v>-17.079999999999998</v>
      </c>
      <c r="C40" t="s">
        <v>385</v>
      </c>
      <c r="D40" t="s">
        <v>388</v>
      </c>
      <c r="E40" t="s">
        <v>142</v>
      </c>
      <c r="F40" t="str">
        <f>VLOOKUP(E40, 'POS Categories'!$A$1:$B$1999, 2, FALSE)</f>
        <v>Food</v>
      </c>
    </row>
    <row r="41" spans="1:6" x14ac:dyDescent="0.25">
      <c r="A41">
        <v>44728</v>
      </c>
      <c r="B41">
        <v>-8.19</v>
      </c>
      <c r="C41" t="s">
        <v>385</v>
      </c>
      <c r="D41" t="s">
        <v>388</v>
      </c>
      <c r="E41" t="s">
        <v>408</v>
      </c>
      <c r="F41" t="str">
        <f>VLOOKUP(E41, 'POS Categories'!$A$1:$B$1999, 2, FALSE)</f>
        <v>Food</v>
      </c>
    </row>
    <row r="42" spans="1:6" x14ac:dyDescent="0.25">
      <c r="A42">
        <v>44727</v>
      </c>
      <c r="B42">
        <v>-15.31</v>
      </c>
      <c r="C42" t="s">
        <v>385</v>
      </c>
      <c r="D42" t="s">
        <v>388</v>
      </c>
      <c r="E42" t="s">
        <v>171</v>
      </c>
      <c r="F42" t="str">
        <f>VLOOKUP(E42, 'POS Categories'!$A$1:$B$1999, 2, FALSE)</f>
        <v>Food</v>
      </c>
    </row>
    <row r="43" spans="1:6" x14ac:dyDescent="0.25">
      <c r="A43">
        <v>44727</v>
      </c>
      <c r="B43">
        <v>-92.61</v>
      </c>
      <c r="C43" t="s">
        <v>385</v>
      </c>
      <c r="D43" t="s">
        <v>388</v>
      </c>
      <c r="E43" t="s">
        <v>395</v>
      </c>
      <c r="F43" t="str">
        <f>VLOOKUP(E43, 'POS Categories'!$A$1:$B$1999, 2, FALSE)</f>
        <v>Vehicle</v>
      </c>
    </row>
    <row r="44" spans="1:6" x14ac:dyDescent="0.25">
      <c r="A44">
        <v>44727</v>
      </c>
      <c r="B44">
        <v>-16.63</v>
      </c>
      <c r="C44" t="s">
        <v>385</v>
      </c>
      <c r="D44" t="s">
        <v>388</v>
      </c>
      <c r="E44" t="s">
        <v>8</v>
      </c>
      <c r="F44" t="str">
        <f>VLOOKUP(E44, 'POS Categories'!$A$1:$B$1999, 2, FALSE)</f>
        <v>Food</v>
      </c>
    </row>
    <row r="45" spans="1:6" x14ac:dyDescent="0.25">
      <c r="A45">
        <v>44727</v>
      </c>
      <c r="B45">
        <v>-66.55</v>
      </c>
      <c r="C45" t="s">
        <v>385</v>
      </c>
      <c r="D45" t="s">
        <v>388</v>
      </c>
      <c r="E45" t="s">
        <v>175</v>
      </c>
      <c r="F45" t="str">
        <f>VLOOKUP(E45, 'POS Categories'!$A$1:$B$1999, 2, FALSE)</f>
        <v>Sasktel</v>
      </c>
    </row>
    <row r="46" spans="1:6" x14ac:dyDescent="0.25">
      <c r="A46">
        <v>44727</v>
      </c>
      <c r="B46">
        <v>-3.2</v>
      </c>
      <c r="C46" t="s">
        <v>385</v>
      </c>
      <c r="D46" t="s">
        <v>388</v>
      </c>
      <c r="E46" t="s">
        <v>246</v>
      </c>
      <c r="F46" t="str">
        <f>VLOOKUP(E46, 'POS Categories'!$A$1:$B$1999, 2, FALSE)</f>
        <v>Food</v>
      </c>
    </row>
    <row r="47" spans="1:6" x14ac:dyDescent="0.25">
      <c r="A47">
        <v>44727</v>
      </c>
      <c r="B47">
        <v>-8.8699999999999992</v>
      </c>
      <c r="C47" t="s">
        <v>385</v>
      </c>
      <c r="D47" t="s">
        <v>388</v>
      </c>
      <c r="E47" t="s">
        <v>22</v>
      </c>
      <c r="F47" t="str">
        <f>VLOOKUP(E47, 'POS Categories'!$A$1:$B$1999, 2, FALSE)</f>
        <v>Entertainment</v>
      </c>
    </row>
    <row r="48" spans="1:6" x14ac:dyDescent="0.25">
      <c r="A48">
        <v>44726</v>
      </c>
      <c r="B48">
        <v>-19.399999999999999</v>
      </c>
      <c r="C48" t="s">
        <v>385</v>
      </c>
      <c r="D48" t="s">
        <v>388</v>
      </c>
      <c r="E48" t="s">
        <v>378</v>
      </c>
      <c r="F48" t="str">
        <f>VLOOKUP(E48, 'POS Categories'!$A$1:$B$1999, 2, FALSE)</f>
        <v>Food</v>
      </c>
    </row>
    <row r="49" spans="1:6" x14ac:dyDescent="0.25">
      <c r="A49">
        <v>44726</v>
      </c>
      <c r="B49">
        <v>22.6</v>
      </c>
      <c r="C49" t="s">
        <v>385</v>
      </c>
      <c r="D49" t="s">
        <v>430</v>
      </c>
      <c r="E49" t="s">
        <v>378</v>
      </c>
      <c r="F49" t="str">
        <f>VLOOKUP(E49, 'POS Categories'!$A$1:$B$1999, 2, FALSE)</f>
        <v>Food</v>
      </c>
    </row>
    <row r="50" spans="1:6" x14ac:dyDescent="0.25">
      <c r="A50">
        <v>44726</v>
      </c>
      <c r="B50">
        <v>-22.6</v>
      </c>
      <c r="C50" t="s">
        <v>385</v>
      </c>
      <c r="D50" t="s">
        <v>388</v>
      </c>
      <c r="E50" t="s">
        <v>378</v>
      </c>
      <c r="F50" t="str">
        <f>VLOOKUP(E50, 'POS Categories'!$A$1:$B$1999, 2, FALSE)</f>
        <v>Food</v>
      </c>
    </row>
    <row r="51" spans="1:6" x14ac:dyDescent="0.25">
      <c r="A51">
        <v>44726</v>
      </c>
      <c r="B51">
        <v>-13.21</v>
      </c>
      <c r="C51" t="s">
        <v>385</v>
      </c>
      <c r="D51" t="s">
        <v>388</v>
      </c>
      <c r="E51" t="s">
        <v>34</v>
      </c>
      <c r="F51" t="str">
        <f>VLOOKUP(E51, 'POS Categories'!$A$1:$B$1999, 2, FALSE)</f>
        <v>Food</v>
      </c>
    </row>
    <row r="52" spans="1:6" x14ac:dyDescent="0.25">
      <c r="A52">
        <v>44726</v>
      </c>
      <c r="B52">
        <v>-11.31</v>
      </c>
      <c r="C52" t="s">
        <v>385</v>
      </c>
      <c r="D52" t="s">
        <v>388</v>
      </c>
      <c r="E52" t="s">
        <v>174</v>
      </c>
      <c r="F52" t="str">
        <f>VLOOKUP(E52, 'POS Categories'!$A$1:$B$1999, 2, FALSE)</f>
        <v>Food</v>
      </c>
    </row>
    <row r="53" spans="1:6" x14ac:dyDescent="0.25">
      <c r="A53">
        <v>44725</v>
      </c>
      <c r="B53">
        <v>-15.62</v>
      </c>
      <c r="C53" t="s">
        <v>385</v>
      </c>
      <c r="D53" t="s">
        <v>388</v>
      </c>
      <c r="E53" t="s">
        <v>149</v>
      </c>
      <c r="F53" t="str">
        <f>VLOOKUP(E53, 'POS Categories'!$A$1:$B$1999, 2, FALSE)</f>
        <v>Food</v>
      </c>
    </row>
    <row r="54" spans="1:6" x14ac:dyDescent="0.25">
      <c r="A54">
        <v>44725</v>
      </c>
      <c r="B54">
        <v>-10.74</v>
      </c>
      <c r="C54" t="s">
        <v>385</v>
      </c>
      <c r="D54" t="s">
        <v>388</v>
      </c>
      <c r="E54" t="s">
        <v>408</v>
      </c>
      <c r="F54" t="str">
        <f>VLOOKUP(E54, 'POS Categories'!$A$1:$B$1999, 2, FALSE)</f>
        <v>Food</v>
      </c>
    </row>
    <row r="55" spans="1:6" x14ac:dyDescent="0.25">
      <c r="A55">
        <v>44725</v>
      </c>
      <c r="B55">
        <v>-20.6</v>
      </c>
      <c r="C55" t="s">
        <v>385</v>
      </c>
      <c r="D55" t="s">
        <v>388</v>
      </c>
      <c r="E55" t="s">
        <v>142</v>
      </c>
      <c r="F55" t="str">
        <f>VLOOKUP(E55, 'POS Categories'!$A$1:$B$1999, 2, FALSE)</f>
        <v>Food</v>
      </c>
    </row>
    <row r="56" spans="1:6" x14ac:dyDescent="0.25">
      <c r="A56">
        <v>44725</v>
      </c>
      <c r="B56">
        <v>-5.53</v>
      </c>
      <c r="C56" t="s">
        <v>385</v>
      </c>
      <c r="D56" t="s">
        <v>388</v>
      </c>
      <c r="E56" t="s">
        <v>408</v>
      </c>
      <c r="F56" t="str">
        <f>VLOOKUP(E56, 'POS Categories'!$A$1:$B$1999, 2, FALSE)</f>
        <v>Food</v>
      </c>
    </row>
    <row r="57" spans="1:6" x14ac:dyDescent="0.25">
      <c r="A57">
        <v>44723</v>
      </c>
      <c r="B57">
        <v>-11.76</v>
      </c>
      <c r="C57" t="s">
        <v>385</v>
      </c>
      <c r="D57" t="s">
        <v>388</v>
      </c>
      <c r="E57" t="s">
        <v>171</v>
      </c>
      <c r="F57" t="str">
        <f>VLOOKUP(E57, 'POS Categories'!$A$1:$B$1999, 2, FALSE)</f>
        <v>Food</v>
      </c>
    </row>
    <row r="58" spans="1:6" x14ac:dyDescent="0.25">
      <c r="A58">
        <v>44723</v>
      </c>
      <c r="B58">
        <v>-6.61</v>
      </c>
      <c r="C58" t="s">
        <v>385</v>
      </c>
      <c r="D58" t="s">
        <v>388</v>
      </c>
      <c r="E58" t="s">
        <v>34</v>
      </c>
      <c r="F58" t="str">
        <f>VLOOKUP(E58, 'POS Categories'!$A$1:$B$1999, 2, FALSE)</f>
        <v>Food</v>
      </c>
    </row>
    <row r="59" spans="1:6" x14ac:dyDescent="0.25">
      <c r="A59">
        <v>44723</v>
      </c>
      <c r="B59">
        <v>-11.09</v>
      </c>
      <c r="C59" t="s">
        <v>385</v>
      </c>
      <c r="D59" t="s">
        <v>388</v>
      </c>
      <c r="E59" t="s">
        <v>240</v>
      </c>
      <c r="F59" t="str">
        <f>VLOOKUP(E59, 'POS Categories'!$A$1:$B$1999, 2, FALSE)</f>
        <v>Food</v>
      </c>
    </row>
    <row r="60" spans="1:6" x14ac:dyDescent="0.25">
      <c r="A60">
        <v>44722</v>
      </c>
      <c r="B60">
        <v>-21.51</v>
      </c>
      <c r="C60" t="s">
        <v>385</v>
      </c>
      <c r="D60" t="s">
        <v>388</v>
      </c>
      <c r="E60" t="s">
        <v>319</v>
      </c>
      <c r="F60" t="str">
        <f>VLOOKUP(E60, 'POS Categories'!$A$1:$B$1999, 2, FALSE)</f>
        <v>Food</v>
      </c>
    </row>
    <row r="61" spans="1:6" x14ac:dyDescent="0.25">
      <c r="A61">
        <v>44722</v>
      </c>
      <c r="B61">
        <v>-88.79</v>
      </c>
      <c r="C61" t="s">
        <v>385</v>
      </c>
      <c r="D61" t="s">
        <v>388</v>
      </c>
      <c r="E61" t="s">
        <v>1221</v>
      </c>
      <c r="F61" t="str">
        <f>VLOOKUP(E61, 'POS Categories'!$A$1:$B$1999, 2, FALSE)</f>
        <v>Entertainment</v>
      </c>
    </row>
    <row r="62" spans="1:6" x14ac:dyDescent="0.25">
      <c r="A62">
        <v>44722</v>
      </c>
      <c r="B62">
        <v>-18.07</v>
      </c>
      <c r="C62" t="s">
        <v>385</v>
      </c>
      <c r="D62" t="s">
        <v>388</v>
      </c>
      <c r="E62" t="s">
        <v>8</v>
      </c>
      <c r="F62" t="str">
        <f>VLOOKUP(E62, 'POS Categories'!$A$1:$B$1999, 2, FALSE)</f>
        <v>Food</v>
      </c>
    </row>
    <row r="63" spans="1:6" x14ac:dyDescent="0.25">
      <c r="A63">
        <v>44721</v>
      </c>
      <c r="B63">
        <v>-7.28</v>
      </c>
      <c r="C63" t="s">
        <v>385</v>
      </c>
      <c r="D63" t="s">
        <v>388</v>
      </c>
      <c r="E63" t="s">
        <v>1209</v>
      </c>
      <c r="F63" t="str">
        <f>VLOOKUP(E63, 'POS Categories'!$A$1:$B$1999, 2, FALSE)</f>
        <v>Food</v>
      </c>
    </row>
    <row r="64" spans="1:6" x14ac:dyDescent="0.25">
      <c r="A64">
        <v>44721</v>
      </c>
      <c r="B64">
        <v>-176.5</v>
      </c>
      <c r="C64" t="s">
        <v>385</v>
      </c>
      <c r="D64" t="s">
        <v>388</v>
      </c>
      <c r="E64" t="s">
        <v>1222</v>
      </c>
      <c r="F64" t="str">
        <f>VLOOKUP(E64, 'POS Categories'!$A$1:$B$1999, 2, FALSE)</f>
        <v>Entertainment</v>
      </c>
    </row>
    <row r="65" spans="1:6" x14ac:dyDescent="0.25">
      <c r="A65">
        <v>44721</v>
      </c>
      <c r="B65">
        <v>-16.829999999999998</v>
      </c>
      <c r="C65" t="s">
        <v>385</v>
      </c>
      <c r="D65" t="s">
        <v>388</v>
      </c>
      <c r="E65" t="s">
        <v>185</v>
      </c>
      <c r="F65" t="str">
        <f>VLOOKUP(E65, 'POS Categories'!$A$1:$B$1999, 2, FALSE)</f>
        <v>Food</v>
      </c>
    </row>
    <row r="66" spans="1:6" x14ac:dyDescent="0.25">
      <c r="A66">
        <v>44720</v>
      </c>
      <c r="B66">
        <v>-32.25</v>
      </c>
      <c r="C66" t="s">
        <v>385</v>
      </c>
      <c r="D66" t="s">
        <v>388</v>
      </c>
      <c r="E66" t="s">
        <v>1223</v>
      </c>
      <c r="F66" t="str">
        <f>VLOOKUP(E66, 'POS Categories'!$A$1:$B$1999, 2, FALSE)</f>
        <v>Food</v>
      </c>
    </row>
    <row r="67" spans="1:6" x14ac:dyDescent="0.25">
      <c r="A67">
        <v>44720</v>
      </c>
      <c r="B67">
        <v>-16.63</v>
      </c>
      <c r="C67" t="s">
        <v>385</v>
      </c>
      <c r="D67" t="s">
        <v>388</v>
      </c>
      <c r="E67" t="s">
        <v>8</v>
      </c>
      <c r="F67" t="str">
        <f>VLOOKUP(E67, 'POS Categories'!$A$1:$B$1999, 2, FALSE)</f>
        <v>Food</v>
      </c>
    </row>
    <row r="68" spans="1:6" x14ac:dyDescent="0.25">
      <c r="A68">
        <v>44719</v>
      </c>
      <c r="B68">
        <v>-10.87</v>
      </c>
      <c r="C68" t="s">
        <v>385</v>
      </c>
      <c r="D68" t="s">
        <v>388</v>
      </c>
      <c r="E68" t="s">
        <v>174</v>
      </c>
      <c r="F68" t="str">
        <f>VLOOKUP(E68, 'POS Categories'!$A$1:$B$1999, 2, FALSE)</f>
        <v>Food</v>
      </c>
    </row>
    <row r="69" spans="1:6" x14ac:dyDescent="0.25">
      <c r="A69">
        <v>44718</v>
      </c>
      <c r="B69">
        <v>-71.540000000000006</v>
      </c>
      <c r="C69" t="s">
        <v>385</v>
      </c>
      <c r="D69" t="s">
        <v>388</v>
      </c>
      <c r="E69" t="s">
        <v>411</v>
      </c>
      <c r="F69" t="str">
        <f>VLOOKUP(E69, 'POS Categories'!$A$1:$B$1999, 2, FALSE)</f>
        <v>Sasktel</v>
      </c>
    </row>
    <row r="70" spans="1:6" x14ac:dyDescent="0.25">
      <c r="A70">
        <v>44718</v>
      </c>
      <c r="B70">
        <v>-10.74</v>
      </c>
      <c r="C70" t="s">
        <v>385</v>
      </c>
      <c r="D70" t="s">
        <v>388</v>
      </c>
      <c r="E70" t="s">
        <v>408</v>
      </c>
      <c r="F70" t="str">
        <f>VLOOKUP(E70, 'POS Categories'!$A$1:$B$1999, 2, FALSE)</f>
        <v>Food</v>
      </c>
    </row>
    <row r="71" spans="1:6" x14ac:dyDescent="0.25">
      <c r="A71">
        <v>44718</v>
      </c>
      <c r="B71">
        <v>-9.31</v>
      </c>
      <c r="C71" t="s">
        <v>385</v>
      </c>
      <c r="D71" t="s">
        <v>388</v>
      </c>
      <c r="E71" t="s">
        <v>171</v>
      </c>
      <c r="F71" t="str">
        <f>VLOOKUP(E71, 'POS Categories'!$A$1:$B$1999, 2, FALSE)</f>
        <v>Food</v>
      </c>
    </row>
    <row r="72" spans="1:6" x14ac:dyDescent="0.25">
      <c r="A72">
        <v>44718</v>
      </c>
      <c r="B72">
        <v>-51.38</v>
      </c>
      <c r="C72" t="s">
        <v>385</v>
      </c>
      <c r="D72" t="s">
        <v>388</v>
      </c>
      <c r="E72" t="s">
        <v>118</v>
      </c>
      <c r="F72" t="str">
        <f>VLOOKUP(E72, 'POS Categories'!$A$1:$B$1999, 2, FALSE)</f>
        <v>Food</v>
      </c>
    </row>
    <row r="73" spans="1:6" x14ac:dyDescent="0.25">
      <c r="A73">
        <v>44716</v>
      </c>
      <c r="B73">
        <v>-9.3000000000000007</v>
      </c>
      <c r="C73" t="s">
        <v>385</v>
      </c>
      <c r="D73" t="s">
        <v>388</v>
      </c>
      <c r="E73" t="s">
        <v>408</v>
      </c>
      <c r="F73" t="str">
        <f>VLOOKUP(E73, 'POS Categories'!$A$1:$B$1999, 2, FALSE)</f>
        <v>Food</v>
      </c>
    </row>
    <row r="74" spans="1:6" x14ac:dyDescent="0.25">
      <c r="A74">
        <v>44716</v>
      </c>
      <c r="B74">
        <v>-3.5</v>
      </c>
      <c r="C74" t="s">
        <v>385</v>
      </c>
      <c r="D74" t="s">
        <v>388</v>
      </c>
      <c r="E74" t="s">
        <v>395</v>
      </c>
      <c r="F74" t="str">
        <f>VLOOKUP(E74, 'POS Categories'!$A$1:$B$1999, 2, FALSE)</f>
        <v>Vehicle</v>
      </c>
    </row>
    <row r="75" spans="1:6" x14ac:dyDescent="0.25">
      <c r="A75">
        <v>44716</v>
      </c>
      <c r="B75">
        <v>-53.38</v>
      </c>
      <c r="C75" t="s">
        <v>385</v>
      </c>
      <c r="D75" t="s">
        <v>388</v>
      </c>
      <c r="E75" t="s">
        <v>395</v>
      </c>
      <c r="F75" t="str">
        <f>VLOOKUP(E75, 'POS Categories'!$A$1:$B$1999, 2, FALSE)</f>
        <v>Vehicle</v>
      </c>
    </row>
    <row r="76" spans="1:6" x14ac:dyDescent="0.25">
      <c r="A76">
        <v>44715</v>
      </c>
      <c r="B76">
        <v>-1235</v>
      </c>
      <c r="C76" t="s">
        <v>385</v>
      </c>
      <c r="D76" t="s">
        <v>414</v>
      </c>
      <c r="E76" t="s">
        <v>1224</v>
      </c>
      <c r="F76" t="str">
        <f>VLOOKUP(E76, 'POS Categories'!$A$1:$B$1999, 2, FALSE)</f>
        <v>Rent</v>
      </c>
    </row>
    <row r="77" spans="1:6" x14ac:dyDescent="0.25">
      <c r="A77">
        <v>44715</v>
      </c>
      <c r="B77">
        <v>-12.52</v>
      </c>
      <c r="C77" t="s">
        <v>385</v>
      </c>
      <c r="D77" t="s">
        <v>388</v>
      </c>
      <c r="E77" t="s">
        <v>184</v>
      </c>
      <c r="F77" t="str">
        <f>VLOOKUP(E77, 'POS Categories'!$A$1:$B$1999, 2, FALSE)</f>
        <v>Food</v>
      </c>
    </row>
    <row r="78" spans="1:6" x14ac:dyDescent="0.25">
      <c r="A78">
        <v>44715</v>
      </c>
      <c r="B78">
        <v>-16.63</v>
      </c>
      <c r="C78" t="s">
        <v>385</v>
      </c>
      <c r="D78" t="s">
        <v>388</v>
      </c>
      <c r="E78" t="s">
        <v>8</v>
      </c>
      <c r="F78" t="str">
        <f>VLOOKUP(E78, 'POS Categories'!$A$1:$B$1999, 2, FALSE)</f>
        <v>Food</v>
      </c>
    </row>
    <row r="79" spans="1:6" x14ac:dyDescent="0.25">
      <c r="A79">
        <v>44715</v>
      </c>
      <c r="B79">
        <v>1991.34</v>
      </c>
      <c r="C79" t="s">
        <v>385</v>
      </c>
      <c r="D79" t="s">
        <v>386</v>
      </c>
      <c r="E79" t="s">
        <v>1193</v>
      </c>
      <c r="F79" t="s">
        <v>1</v>
      </c>
    </row>
    <row r="80" spans="1:6" x14ac:dyDescent="0.25">
      <c r="A80">
        <v>44715</v>
      </c>
      <c r="B80">
        <v>-14.4</v>
      </c>
      <c r="C80" t="s">
        <v>385</v>
      </c>
      <c r="D80" t="s">
        <v>388</v>
      </c>
      <c r="E80" t="s">
        <v>1198</v>
      </c>
      <c r="F80" t="str">
        <f>VLOOKUP(E80, 'POS Categories'!$A$1:$B$1999, 2, FALSE)</f>
        <v>Entertainment</v>
      </c>
    </row>
    <row r="81" spans="1:6" x14ac:dyDescent="0.25">
      <c r="A81">
        <v>44714</v>
      </c>
      <c r="B81">
        <v>-7.61</v>
      </c>
      <c r="C81" t="s">
        <v>385</v>
      </c>
      <c r="D81" t="s">
        <v>388</v>
      </c>
      <c r="E81" t="s">
        <v>315</v>
      </c>
      <c r="F81" t="str">
        <f>VLOOKUP(E81, 'POS Categories'!$A$1:$B$1999, 2, FALSE)</f>
        <v>Food</v>
      </c>
    </row>
    <row r="82" spans="1:6" x14ac:dyDescent="0.25">
      <c r="A82">
        <v>44714</v>
      </c>
      <c r="B82">
        <v>-19.18</v>
      </c>
      <c r="C82" t="s">
        <v>385</v>
      </c>
      <c r="D82" t="s">
        <v>388</v>
      </c>
      <c r="E82" t="s">
        <v>142</v>
      </c>
      <c r="F82" t="str">
        <f>VLOOKUP(E82, 'POS Categories'!$A$1:$B$1999, 2, FALSE)</f>
        <v>Food</v>
      </c>
    </row>
    <row r="83" spans="1:6" x14ac:dyDescent="0.25">
      <c r="A83">
        <v>44713</v>
      </c>
      <c r="B83">
        <v>-17.32</v>
      </c>
      <c r="C83" t="s">
        <v>385</v>
      </c>
      <c r="D83" t="s">
        <v>388</v>
      </c>
      <c r="E83" t="s">
        <v>322</v>
      </c>
      <c r="F83" t="str">
        <f>VLOOKUP(E83, 'POS Categories'!$A$1:$B$1999, 2, FALSE)</f>
        <v>Food</v>
      </c>
    </row>
    <row r="84" spans="1:6" x14ac:dyDescent="0.25">
      <c r="A84">
        <v>44713</v>
      </c>
      <c r="B84">
        <v>-16.63</v>
      </c>
      <c r="C84" t="s">
        <v>385</v>
      </c>
      <c r="D84" t="s">
        <v>388</v>
      </c>
      <c r="E84" t="s">
        <v>8</v>
      </c>
      <c r="F84" t="str">
        <f>VLOOKUP(E84, 'POS Categories'!$A$1:$B$1999, 2, FALSE)</f>
        <v>Food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5"/>
  <sheetViews>
    <sheetView topLeftCell="A53" workbookViewId="0">
      <selection activeCell="D60" sqref="D60"/>
    </sheetView>
  </sheetViews>
  <sheetFormatPr defaultRowHeight="15" x14ac:dyDescent="0.25"/>
  <cols>
    <col min="4" max="4" width="23.28515625" bestFit="1" customWidth="1"/>
    <col min="5" max="5" width="36.140625" bestFit="1" customWidth="1"/>
  </cols>
  <sheetData>
    <row r="1" spans="1:6" x14ac:dyDescent="0.25">
      <c r="A1">
        <v>44712</v>
      </c>
      <c r="B1">
        <v>-13.42</v>
      </c>
      <c r="C1" t="s">
        <v>385</v>
      </c>
      <c r="D1" t="s">
        <v>388</v>
      </c>
      <c r="E1" t="s">
        <v>185</v>
      </c>
      <c r="F1" t="str">
        <f>VLOOKUP(E1, 'POS Categories'!$A$1:$B$1999, 2, FALSE)</f>
        <v>Food</v>
      </c>
    </row>
    <row r="2" spans="1:6" x14ac:dyDescent="0.25">
      <c r="A2">
        <v>44711</v>
      </c>
      <c r="B2">
        <v>-11.09</v>
      </c>
      <c r="C2" t="s">
        <v>385</v>
      </c>
      <c r="D2" t="s">
        <v>388</v>
      </c>
      <c r="E2" t="s">
        <v>240</v>
      </c>
      <c r="F2" t="str">
        <f>VLOOKUP(E2, 'POS Categories'!$A$1:$B$1999, 2, FALSE)</f>
        <v>Food</v>
      </c>
    </row>
    <row r="3" spans="1:6" x14ac:dyDescent="0.25">
      <c r="A3">
        <v>44711</v>
      </c>
      <c r="B3">
        <v>-6.61</v>
      </c>
      <c r="C3" t="s">
        <v>385</v>
      </c>
      <c r="D3" t="s">
        <v>388</v>
      </c>
      <c r="E3" t="s">
        <v>34</v>
      </c>
      <c r="F3" t="str">
        <f>VLOOKUP(E3, 'POS Categories'!$A$1:$B$1999, 2, FALSE)</f>
        <v>Food</v>
      </c>
    </row>
    <row r="4" spans="1:6" x14ac:dyDescent="0.25">
      <c r="A4">
        <v>44711</v>
      </c>
      <c r="B4">
        <v>-93.69</v>
      </c>
      <c r="C4" t="s">
        <v>385</v>
      </c>
      <c r="D4" t="s">
        <v>388</v>
      </c>
      <c r="E4" t="s">
        <v>33</v>
      </c>
      <c r="F4" t="str">
        <f>VLOOKUP(E4, 'POS Categories'!$A$1:$B$1999, 2, FALSE)</f>
        <v>Food</v>
      </c>
    </row>
    <row r="5" spans="1:6" x14ac:dyDescent="0.25">
      <c r="A5">
        <v>44711</v>
      </c>
      <c r="B5">
        <v>-210.88</v>
      </c>
      <c r="C5" t="s">
        <v>385</v>
      </c>
      <c r="D5" t="s">
        <v>388</v>
      </c>
      <c r="E5" t="s">
        <v>1208</v>
      </c>
      <c r="F5" t="str">
        <f>VLOOKUP(E5, 'POS Categories'!$A$1:$B$1999, 2, FALSE)</f>
        <v>Sports</v>
      </c>
    </row>
    <row r="6" spans="1:6" x14ac:dyDescent="0.25">
      <c r="A6">
        <v>44711</v>
      </c>
      <c r="B6">
        <v>-10.74</v>
      </c>
      <c r="C6" t="s">
        <v>385</v>
      </c>
      <c r="D6" t="s">
        <v>388</v>
      </c>
      <c r="E6" t="s">
        <v>408</v>
      </c>
      <c r="F6" t="str">
        <f>VLOOKUP(E6, 'POS Categories'!$A$1:$B$1999, 2, FALSE)</f>
        <v>Food</v>
      </c>
    </row>
    <row r="7" spans="1:6" x14ac:dyDescent="0.25">
      <c r="A7">
        <v>44711</v>
      </c>
      <c r="B7">
        <v>-6.32</v>
      </c>
      <c r="C7" t="s">
        <v>385</v>
      </c>
      <c r="D7" t="s">
        <v>388</v>
      </c>
      <c r="E7" t="s">
        <v>213</v>
      </c>
      <c r="F7" t="str">
        <f>VLOOKUP(E7, 'POS Categories'!$A$1:$B$1999, 2, FALSE)</f>
        <v>Entertainment</v>
      </c>
    </row>
    <row r="8" spans="1:6" x14ac:dyDescent="0.25">
      <c r="A8">
        <v>44709</v>
      </c>
      <c r="B8">
        <v>-11.76</v>
      </c>
      <c r="C8" t="s">
        <v>385</v>
      </c>
      <c r="D8" t="s">
        <v>388</v>
      </c>
      <c r="E8" t="s">
        <v>171</v>
      </c>
      <c r="F8" t="str">
        <f>VLOOKUP(E8, 'POS Categories'!$A$1:$B$1999, 2, FALSE)</f>
        <v>Food</v>
      </c>
    </row>
    <row r="9" spans="1:6" x14ac:dyDescent="0.25">
      <c r="A9">
        <v>44709</v>
      </c>
      <c r="B9">
        <v>100</v>
      </c>
      <c r="C9" t="s">
        <v>385</v>
      </c>
      <c r="D9" t="s">
        <v>467</v>
      </c>
      <c r="E9" t="s">
        <v>637</v>
      </c>
      <c r="F9" t="str">
        <f>VLOOKUP(E9, 'POS Categories'!$A$1:$B$1999, 2, FALSE)</f>
        <v>Misc</v>
      </c>
    </row>
    <row r="10" spans="1:6" x14ac:dyDescent="0.25">
      <c r="A10">
        <v>44708</v>
      </c>
      <c r="B10">
        <v>-5.53</v>
      </c>
      <c r="C10" t="s">
        <v>385</v>
      </c>
      <c r="D10" t="s">
        <v>388</v>
      </c>
      <c r="E10" t="s">
        <v>408</v>
      </c>
      <c r="F10" t="str">
        <f>VLOOKUP(E10, 'POS Categories'!$A$1:$B$1999, 2, FALSE)</f>
        <v>Food</v>
      </c>
    </row>
    <row r="11" spans="1:6" x14ac:dyDescent="0.25">
      <c r="A11">
        <v>44707</v>
      </c>
      <c r="B11">
        <v>-17.09</v>
      </c>
      <c r="C11" t="s">
        <v>385</v>
      </c>
      <c r="D11" t="s">
        <v>388</v>
      </c>
      <c r="E11" t="s">
        <v>1209</v>
      </c>
      <c r="F11" t="str">
        <f>VLOOKUP(E11, 'POS Categories'!$A$1:$B$1999, 2, FALSE)</f>
        <v>Food</v>
      </c>
    </row>
    <row r="12" spans="1:6" x14ac:dyDescent="0.25">
      <c r="A12">
        <v>44707</v>
      </c>
      <c r="B12">
        <v>-10.87</v>
      </c>
      <c r="C12" t="s">
        <v>385</v>
      </c>
      <c r="D12" t="s">
        <v>388</v>
      </c>
      <c r="E12" t="s">
        <v>174</v>
      </c>
      <c r="F12" t="str">
        <f>VLOOKUP(E12, 'POS Categories'!$A$1:$B$1999, 2, FALSE)</f>
        <v>Food</v>
      </c>
    </row>
    <row r="13" spans="1:6" x14ac:dyDescent="0.25">
      <c r="A13">
        <v>44705</v>
      </c>
      <c r="B13">
        <v>-54.53</v>
      </c>
      <c r="C13" t="s">
        <v>385</v>
      </c>
      <c r="D13" t="s">
        <v>388</v>
      </c>
      <c r="E13" t="s">
        <v>1210</v>
      </c>
      <c r="F13" t="str">
        <f>VLOOKUP(E13, 'POS Categories'!$A$1:$B$1999, 2, FALSE)</f>
        <v>Food</v>
      </c>
    </row>
    <row r="14" spans="1:6" x14ac:dyDescent="0.25">
      <c r="A14">
        <v>44705</v>
      </c>
      <c r="B14">
        <v>-13.21</v>
      </c>
      <c r="C14" t="s">
        <v>385</v>
      </c>
      <c r="D14" t="s">
        <v>388</v>
      </c>
      <c r="E14" t="s">
        <v>34</v>
      </c>
      <c r="F14" t="str">
        <f>VLOOKUP(E14, 'POS Categories'!$A$1:$B$1999, 2, FALSE)</f>
        <v>Food</v>
      </c>
    </row>
    <row r="15" spans="1:6" x14ac:dyDescent="0.25">
      <c r="A15">
        <v>44705</v>
      </c>
      <c r="B15">
        <v>-112.72</v>
      </c>
      <c r="C15" t="s">
        <v>385</v>
      </c>
      <c r="D15" t="s">
        <v>388</v>
      </c>
      <c r="E15" t="s">
        <v>1211</v>
      </c>
      <c r="F15" t="str">
        <f>VLOOKUP(E15, 'POS Categories'!$A$1:$B$1999, 2, FALSE)</f>
        <v>Entertainment</v>
      </c>
    </row>
    <row r="16" spans="1:6" x14ac:dyDescent="0.25">
      <c r="A16">
        <v>44705</v>
      </c>
      <c r="B16">
        <v>-23.14</v>
      </c>
      <c r="C16" t="s">
        <v>385</v>
      </c>
      <c r="D16" t="s">
        <v>388</v>
      </c>
      <c r="E16" t="s">
        <v>1212</v>
      </c>
      <c r="F16" t="str">
        <f>VLOOKUP(E16, 'POS Categories'!$A$1:$B$1999, 2, FALSE)</f>
        <v>Food</v>
      </c>
    </row>
    <row r="17" spans="1:6" x14ac:dyDescent="0.25">
      <c r="A17">
        <v>44705</v>
      </c>
      <c r="B17">
        <v>-10.74</v>
      </c>
      <c r="C17" t="s">
        <v>385</v>
      </c>
      <c r="D17" t="s">
        <v>388</v>
      </c>
      <c r="E17" t="s">
        <v>408</v>
      </c>
      <c r="F17" t="str">
        <f>VLOOKUP(E17, 'POS Categories'!$A$1:$B$1999, 2, FALSE)</f>
        <v>Food</v>
      </c>
    </row>
    <row r="18" spans="1:6" x14ac:dyDescent="0.25">
      <c r="A18">
        <v>44702</v>
      </c>
      <c r="B18">
        <v>-4.4000000000000004</v>
      </c>
      <c r="C18" t="s">
        <v>385</v>
      </c>
      <c r="D18" t="s">
        <v>388</v>
      </c>
      <c r="E18" t="s">
        <v>33</v>
      </c>
      <c r="F18" t="str">
        <f>VLOOKUP(E18, 'POS Categories'!$A$1:$B$1999, 2, FALSE)</f>
        <v>Food</v>
      </c>
    </row>
    <row r="19" spans="1:6" x14ac:dyDescent="0.25">
      <c r="A19">
        <v>44702</v>
      </c>
      <c r="B19">
        <v>-37.520000000000003</v>
      </c>
      <c r="C19" t="s">
        <v>385</v>
      </c>
      <c r="D19" t="s">
        <v>388</v>
      </c>
      <c r="E19" t="s">
        <v>1213</v>
      </c>
      <c r="F19" t="str">
        <f>VLOOKUP(E19, 'POS Categories'!$A$1:$B$1999, 2, FALSE)</f>
        <v>Food</v>
      </c>
    </row>
    <row r="20" spans="1:6" x14ac:dyDescent="0.25">
      <c r="A20">
        <v>44702</v>
      </c>
      <c r="B20">
        <v>-45</v>
      </c>
      <c r="C20" t="s">
        <v>385</v>
      </c>
      <c r="D20" t="s">
        <v>388</v>
      </c>
      <c r="E20" t="s">
        <v>1214</v>
      </c>
      <c r="F20" t="str">
        <f>VLOOKUP(E20, 'POS Categories'!$A$1:$B$1999, 2, FALSE)</f>
        <v>Personal</v>
      </c>
    </row>
    <row r="21" spans="1:6" x14ac:dyDescent="0.25">
      <c r="A21">
        <v>44701</v>
      </c>
      <c r="B21">
        <v>-69.430000000000007</v>
      </c>
      <c r="C21" t="s">
        <v>385</v>
      </c>
      <c r="D21" t="s">
        <v>388</v>
      </c>
      <c r="E21" t="s">
        <v>395</v>
      </c>
      <c r="F21" t="str">
        <f>VLOOKUP(E21, 'POS Categories'!$A$1:$B$1999, 2, FALSE)</f>
        <v>Vehicle</v>
      </c>
    </row>
    <row r="22" spans="1:6" x14ac:dyDescent="0.25">
      <c r="A22">
        <v>44701</v>
      </c>
      <c r="B22">
        <v>-54.48</v>
      </c>
      <c r="C22" t="s">
        <v>385</v>
      </c>
      <c r="D22" t="s">
        <v>435</v>
      </c>
      <c r="E22" t="s">
        <v>177</v>
      </c>
      <c r="F22" t="str">
        <f>VLOOKUP(E22, 'POS Categories'!$A$1:$B$1999, 2, FALSE)</f>
        <v>Power</v>
      </c>
    </row>
    <row r="23" spans="1:6" x14ac:dyDescent="0.25">
      <c r="A23">
        <v>44701</v>
      </c>
      <c r="B23">
        <v>1991.32</v>
      </c>
      <c r="C23" t="s">
        <v>385</v>
      </c>
      <c r="D23" t="s">
        <v>386</v>
      </c>
      <c r="E23" t="s">
        <v>1193</v>
      </c>
      <c r="F23" t="s">
        <v>1</v>
      </c>
    </row>
    <row r="24" spans="1:6" x14ac:dyDescent="0.25">
      <c r="A24">
        <v>44700</v>
      </c>
      <c r="B24">
        <v>-25.3</v>
      </c>
      <c r="C24" t="s">
        <v>385</v>
      </c>
      <c r="D24" t="s">
        <v>388</v>
      </c>
      <c r="E24" t="s">
        <v>1215</v>
      </c>
      <c r="F24" t="str">
        <f>VLOOKUP(E24, 'POS Categories'!$A$1:$B$1999, 2, FALSE)</f>
        <v>Entertainment</v>
      </c>
    </row>
    <row r="25" spans="1:6" x14ac:dyDescent="0.25">
      <c r="A25">
        <v>44700</v>
      </c>
      <c r="B25">
        <v>-11.84</v>
      </c>
      <c r="C25" t="s">
        <v>385</v>
      </c>
      <c r="D25" t="s">
        <v>388</v>
      </c>
      <c r="E25" t="s">
        <v>184</v>
      </c>
      <c r="F25" t="str">
        <f>VLOOKUP(E25, 'POS Categories'!$A$1:$B$1999, 2, FALSE)</f>
        <v>Food</v>
      </c>
    </row>
    <row r="26" spans="1:6" x14ac:dyDescent="0.25">
      <c r="A26">
        <v>44699</v>
      </c>
      <c r="B26">
        <v>-13.21</v>
      </c>
      <c r="C26" t="s">
        <v>385</v>
      </c>
      <c r="D26" t="s">
        <v>388</v>
      </c>
      <c r="E26" t="s">
        <v>34</v>
      </c>
      <c r="F26" t="str">
        <f>VLOOKUP(E26, 'POS Categories'!$A$1:$B$1999, 2, FALSE)</f>
        <v>Food</v>
      </c>
    </row>
    <row r="27" spans="1:6" x14ac:dyDescent="0.25">
      <c r="A27">
        <v>44699</v>
      </c>
      <c r="B27">
        <v>-32.950000000000003</v>
      </c>
      <c r="C27" t="s">
        <v>385</v>
      </c>
      <c r="D27" t="s">
        <v>388</v>
      </c>
      <c r="E27" t="s">
        <v>142</v>
      </c>
      <c r="F27" t="str">
        <f>VLOOKUP(E27, 'POS Categories'!$A$1:$B$1999, 2, FALSE)</f>
        <v>Food</v>
      </c>
    </row>
    <row r="28" spans="1:6" x14ac:dyDescent="0.25">
      <c r="A28">
        <v>44699</v>
      </c>
      <c r="B28">
        <v>-80.73</v>
      </c>
      <c r="C28" t="s">
        <v>385</v>
      </c>
      <c r="D28" t="s">
        <v>388</v>
      </c>
      <c r="E28" t="s">
        <v>1216</v>
      </c>
      <c r="F28" t="str">
        <f>VLOOKUP(E28, 'POS Categories'!$A$1:$B$1999, 2, FALSE)</f>
        <v>Personal</v>
      </c>
    </row>
    <row r="29" spans="1:6" x14ac:dyDescent="0.25">
      <c r="A29">
        <v>44698</v>
      </c>
      <c r="B29">
        <v>-19.18</v>
      </c>
      <c r="C29" t="s">
        <v>385</v>
      </c>
      <c r="D29" t="s">
        <v>388</v>
      </c>
      <c r="E29" t="s">
        <v>1217</v>
      </c>
      <c r="F29" t="str">
        <f>VLOOKUP(E29, 'POS Categories'!$A$1:$B$1999, 2, FALSE)</f>
        <v>Entertainment</v>
      </c>
    </row>
    <row r="30" spans="1:6" x14ac:dyDescent="0.25">
      <c r="A30">
        <v>44698</v>
      </c>
      <c r="B30">
        <v>-13.21</v>
      </c>
      <c r="C30" t="s">
        <v>385</v>
      </c>
      <c r="D30" t="s">
        <v>388</v>
      </c>
      <c r="E30" t="s">
        <v>34</v>
      </c>
      <c r="F30" t="str">
        <f>VLOOKUP(E30, 'POS Categories'!$A$1:$B$1999, 2, FALSE)</f>
        <v>Food</v>
      </c>
    </row>
    <row r="31" spans="1:6" x14ac:dyDescent="0.25">
      <c r="A31">
        <v>44697</v>
      </c>
      <c r="B31">
        <v>-17.07</v>
      </c>
      <c r="C31" t="s">
        <v>385</v>
      </c>
      <c r="D31" t="s">
        <v>388</v>
      </c>
      <c r="E31" t="s">
        <v>185</v>
      </c>
      <c r="F31" t="str">
        <f>VLOOKUP(E31, 'POS Categories'!$A$1:$B$1999, 2, FALSE)</f>
        <v>Food</v>
      </c>
    </row>
    <row r="32" spans="1:6" x14ac:dyDescent="0.25">
      <c r="A32">
        <v>44697</v>
      </c>
      <c r="B32">
        <v>-8.2799999999999994</v>
      </c>
      <c r="C32" t="s">
        <v>385</v>
      </c>
      <c r="D32" t="s">
        <v>388</v>
      </c>
      <c r="E32" t="s">
        <v>163</v>
      </c>
      <c r="F32" t="str">
        <f>VLOOKUP(E32, 'POS Categories'!$A$1:$B$1999, 2, FALSE)</f>
        <v>Vehicle</v>
      </c>
    </row>
    <row r="33" spans="1:6" x14ac:dyDescent="0.25">
      <c r="A33">
        <v>44697</v>
      </c>
      <c r="B33">
        <v>-38.1</v>
      </c>
      <c r="C33" t="s">
        <v>385</v>
      </c>
      <c r="D33" t="s">
        <v>388</v>
      </c>
      <c r="E33" t="s">
        <v>118</v>
      </c>
      <c r="F33" t="str">
        <f>VLOOKUP(E33, 'POS Categories'!$A$1:$B$1999, 2, FALSE)</f>
        <v>Food</v>
      </c>
    </row>
    <row r="34" spans="1:6" x14ac:dyDescent="0.25">
      <c r="A34">
        <v>44697</v>
      </c>
      <c r="B34">
        <v>-66.55</v>
      </c>
      <c r="C34" t="s">
        <v>385</v>
      </c>
      <c r="D34" t="s">
        <v>388</v>
      </c>
      <c r="E34" t="s">
        <v>175</v>
      </c>
      <c r="F34" t="str">
        <f>VLOOKUP(E34, 'POS Categories'!$A$1:$B$1999, 2, FALSE)</f>
        <v>Sasktel</v>
      </c>
    </row>
    <row r="35" spans="1:6" x14ac:dyDescent="0.25">
      <c r="A35">
        <v>44695</v>
      </c>
      <c r="B35">
        <v>-7.83</v>
      </c>
      <c r="C35" t="s">
        <v>385</v>
      </c>
      <c r="D35" t="s">
        <v>388</v>
      </c>
      <c r="E35" t="s">
        <v>395</v>
      </c>
      <c r="F35" t="str">
        <f>VLOOKUP(E35, 'POS Categories'!$A$1:$B$1999, 2, FALSE)</f>
        <v>Vehicle</v>
      </c>
    </row>
    <row r="36" spans="1:6" x14ac:dyDescent="0.25">
      <c r="A36">
        <v>44695</v>
      </c>
      <c r="B36">
        <v>-64.010000000000005</v>
      </c>
      <c r="C36" t="s">
        <v>385</v>
      </c>
      <c r="D36" t="s">
        <v>388</v>
      </c>
      <c r="E36" t="s">
        <v>395</v>
      </c>
      <c r="F36" t="str">
        <f>VLOOKUP(E36, 'POS Categories'!$A$1:$B$1999, 2, FALSE)</f>
        <v>Vehicle</v>
      </c>
    </row>
    <row r="37" spans="1:6" x14ac:dyDescent="0.25">
      <c r="A37">
        <v>44695</v>
      </c>
      <c r="B37">
        <v>-18.899999999999999</v>
      </c>
      <c r="C37" t="s">
        <v>385</v>
      </c>
      <c r="D37" t="s">
        <v>388</v>
      </c>
      <c r="E37" t="s">
        <v>171</v>
      </c>
      <c r="F37" t="str">
        <f>VLOOKUP(E37, 'POS Categories'!$A$1:$B$1999, 2, FALSE)</f>
        <v>Food</v>
      </c>
    </row>
    <row r="38" spans="1:6" x14ac:dyDescent="0.25">
      <c r="A38">
        <v>44695</v>
      </c>
      <c r="B38">
        <v>-13.21</v>
      </c>
      <c r="C38" t="s">
        <v>385</v>
      </c>
      <c r="D38" t="s">
        <v>388</v>
      </c>
      <c r="E38" t="s">
        <v>34</v>
      </c>
      <c r="F38" t="str">
        <f>VLOOKUP(E38, 'POS Categories'!$A$1:$B$1999, 2, FALSE)</f>
        <v>Food</v>
      </c>
    </row>
    <row r="39" spans="1:6" x14ac:dyDescent="0.25">
      <c r="A39">
        <v>44694</v>
      </c>
      <c r="B39">
        <v>-15.87</v>
      </c>
      <c r="C39" t="s">
        <v>385</v>
      </c>
      <c r="D39" t="s">
        <v>388</v>
      </c>
      <c r="E39" t="s">
        <v>1196</v>
      </c>
      <c r="F39" t="str">
        <f>VLOOKUP(E39, 'POS Categories'!$A$1:$B$1999, 2, FALSE)</f>
        <v>Food</v>
      </c>
    </row>
    <row r="40" spans="1:6" x14ac:dyDescent="0.25">
      <c r="A40">
        <v>44694</v>
      </c>
      <c r="B40">
        <v>-13.21</v>
      </c>
      <c r="C40" t="s">
        <v>385</v>
      </c>
      <c r="D40" t="s">
        <v>388</v>
      </c>
      <c r="E40" t="s">
        <v>34</v>
      </c>
      <c r="F40" t="str">
        <f>VLOOKUP(E40, 'POS Categories'!$A$1:$B$1999, 2, FALSE)</f>
        <v>Food</v>
      </c>
    </row>
    <row r="41" spans="1:6" x14ac:dyDescent="0.25">
      <c r="A41">
        <v>44694</v>
      </c>
      <c r="B41">
        <v>-14.41</v>
      </c>
      <c r="C41" t="s">
        <v>385</v>
      </c>
      <c r="D41" t="s">
        <v>388</v>
      </c>
      <c r="E41" t="s">
        <v>174</v>
      </c>
      <c r="F41" t="str">
        <f>VLOOKUP(E41, 'POS Categories'!$A$1:$B$1999, 2, FALSE)</f>
        <v>Food</v>
      </c>
    </row>
    <row r="42" spans="1:6" x14ac:dyDescent="0.25">
      <c r="A42">
        <v>44693</v>
      </c>
      <c r="B42">
        <v>-7.61</v>
      </c>
      <c r="C42" t="s">
        <v>385</v>
      </c>
      <c r="D42" t="s">
        <v>388</v>
      </c>
      <c r="E42" t="s">
        <v>315</v>
      </c>
      <c r="F42" t="str">
        <f>VLOOKUP(E42, 'POS Categories'!$A$1:$B$1999, 2, FALSE)</f>
        <v>Food</v>
      </c>
    </row>
    <row r="43" spans="1:6" x14ac:dyDescent="0.25">
      <c r="A43">
        <v>44693</v>
      </c>
      <c r="B43">
        <v>-5.53</v>
      </c>
      <c r="C43" t="s">
        <v>385</v>
      </c>
      <c r="D43" t="s">
        <v>388</v>
      </c>
      <c r="E43" t="s">
        <v>408</v>
      </c>
      <c r="F43" t="str">
        <f>VLOOKUP(E43, 'POS Categories'!$A$1:$B$1999, 2, FALSE)</f>
        <v>Food</v>
      </c>
    </row>
    <row r="44" spans="1:6" x14ac:dyDescent="0.25">
      <c r="A44">
        <v>44691</v>
      </c>
      <c r="B44">
        <v>-11.09</v>
      </c>
      <c r="C44" t="s">
        <v>385</v>
      </c>
      <c r="D44" t="s">
        <v>388</v>
      </c>
      <c r="E44" t="s">
        <v>8</v>
      </c>
      <c r="F44" t="str">
        <f>VLOOKUP(E44, 'POS Categories'!$A$1:$B$1999, 2, FALSE)</f>
        <v>Food</v>
      </c>
    </row>
    <row r="45" spans="1:6" x14ac:dyDescent="0.25">
      <c r="A45">
        <v>44690</v>
      </c>
      <c r="B45">
        <v>-7.85</v>
      </c>
      <c r="C45" t="s">
        <v>385</v>
      </c>
      <c r="D45" t="s">
        <v>388</v>
      </c>
      <c r="E45" t="s">
        <v>408</v>
      </c>
      <c r="F45" t="str">
        <f>VLOOKUP(E45, 'POS Categories'!$A$1:$B$1999, 2, FALSE)</f>
        <v>Food</v>
      </c>
    </row>
    <row r="46" spans="1:6" x14ac:dyDescent="0.25">
      <c r="A46">
        <v>44690</v>
      </c>
      <c r="B46">
        <v>-10.74</v>
      </c>
      <c r="C46" t="s">
        <v>385</v>
      </c>
      <c r="D46" t="s">
        <v>388</v>
      </c>
      <c r="E46" t="s">
        <v>408</v>
      </c>
      <c r="F46" t="str">
        <f>VLOOKUP(E46, 'POS Categories'!$A$1:$B$1999, 2, FALSE)</f>
        <v>Food</v>
      </c>
    </row>
    <row r="47" spans="1:6" x14ac:dyDescent="0.25">
      <c r="A47">
        <v>44688</v>
      </c>
      <c r="B47">
        <v>-83.5</v>
      </c>
      <c r="C47" t="s">
        <v>385</v>
      </c>
      <c r="D47" t="s">
        <v>388</v>
      </c>
      <c r="E47" t="s">
        <v>1207</v>
      </c>
      <c r="F47" t="str">
        <f>VLOOKUP(E47, 'POS Categories'!$A$1:$B$1999, 2, FALSE)</f>
        <v>Entertainment</v>
      </c>
    </row>
    <row r="48" spans="1:6" x14ac:dyDescent="0.25">
      <c r="A48">
        <v>44688</v>
      </c>
      <c r="B48">
        <v>-79.5</v>
      </c>
      <c r="C48" t="s">
        <v>385</v>
      </c>
      <c r="D48" t="s">
        <v>388</v>
      </c>
      <c r="E48" t="s">
        <v>1207</v>
      </c>
      <c r="F48" t="str">
        <f>VLOOKUP(E48, 'POS Categories'!$A$1:$B$1999, 2, FALSE)</f>
        <v>Entertainment</v>
      </c>
    </row>
    <row r="49" spans="1:6" x14ac:dyDescent="0.25">
      <c r="A49">
        <v>44688</v>
      </c>
      <c r="B49">
        <v>-49.43</v>
      </c>
      <c r="C49" t="s">
        <v>385</v>
      </c>
      <c r="D49" t="s">
        <v>388</v>
      </c>
      <c r="E49" t="s">
        <v>1218</v>
      </c>
      <c r="F49" t="str">
        <f>VLOOKUP(E49, 'POS Categories'!$A$1:$B$1999, 2, FALSE)</f>
        <v>Entertainment</v>
      </c>
    </row>
    <row r="50" spans="1:6" x14ac:dyDescent="0.25">
      <c r="A50">
        <v>44688</v>
      </c>
      <c r="B50">
        <v>-4.49</v>
      </c>
      <c r="C50" t="s">
        <v>385</v>
      </c>
      <c r="D50" t="s">
        <v>388</v>
      </c>
      <c r="E50" t="s">
        <v>33</v>
      </c>
      <c r="F50" t="str">
        <f>VLOOKUP(E50, 'POS Categories'!$A$1:$B$1999, 2, FALSE)</f>
        <v>Food</v>
      </c>
    </row>
    <row r="51" spans="1:6" x14ac:dyDescent="0.25">
      <c r="A51">
        <v>44688</v>
      </c>
      <c r="B51">
        <v>-27.45</v>
      </c>
      <c r="C51" t="s">
        <v>385</v>
      </c>
      <c r="D51" t="s">
        <v>388</v>
      </c>
      <c r="E51" t="s">
        <v>236</v>
      </c>
      <c r="F51" t="str">
        <f>VLOOKUP(E51, 'POS Categories'!$A$1:$B$1999, 2, FALSE)</f>
        <v>Food</v>
      </c>
    </row>
    <row r="52" spans="1:6" x14ac:dyDescent="0.25">
      <c r="A52">
        <v>44688</v>
      </c>
      <c r="B52">
        <v>-56.53</v>
      </c>
      <c r="C52" t="s">
        <v>385</v>
      </c>
      <c r="D52" t="s">
        <v>388</v>
      </c>
      <c r="E52" t="s">
        <v>411</v>
      </c>
      <c r="F52" t="str">
        <f>VLOOKUP(E52, 'POS Categories'!$A$1:$B$1999, 2, FALSE)</f>
        <v>Sasktel</v>
      </c>
    </row>
    <row r="53" spans="1:6" x14ac:dyDescent="0.25">
      <c r="A53">
        <v>44687</v>
      </c>
      <c r="B53">
        <v>-7.32</v>
      </c>
      <c r="C53" t="s">
        <v>385</v>
      </c>
      <c r="D53" t="s">
        <v>388</v>
      </c>
      <c r="E53" t="s">
        <v>319</v>
      </c>
      <c r="F53" t="str">
        <f>VLOOKUP(E53, 'POS Categories'!$A$1:$B$1999, 2, FALSE)</f>
        <v>Food</v>
      </c>
    </row>
    <row r="54" spans="1:6" x14ac:dyDescent="0.25">
      <c r="A54">
        <v>44687</v>
      </c>
      <c r="B54">
        <v>-3</v>
      </c>
      <c r="C54" t="s">
        <v>385</v>
      </c>
      <c r="D54" t="s">
        <v>388</v>
      </c>
      <c r="E54" t="s">
        <v>1203</v>
      </c>
      <c r="F54" t="str">
        <f>VLOOKUP(E54, 'POS Categories'!$A$1:$B$1999, 2, FALSE)</f>
        <v>Vehicle</v>
      </c>
    </row>
    <row r="55" spans="1:6" x14ac:dyDescent="0.25">
      <c r="A55">
        <v>44687</v>
      </c>
      <c r="B55">
        <v>-14.42</v>
      </c>
      <c r="C55" t="s">
        <v>385</v>
      </c>
      <c r="D55" t="s">
        <v>388</v>
      </c>
      <c r="E55" t="s">
        <v>149</v>
      </c>
      <c r="F55" t="str">
        <f>VLOOKUP(E55, 'POS Categories'!$A$1:$B$1999, 2, FALSE)</f>
        <v>Food</v>
      </c>
    </row>
    <row r="56" spans="1:6" x14ac:dyDescent="0.25">
      <c r="A56">
        <v>44687</v>
      </c>
      <c r="B56">
        <v>-11.09</v>
      </c>
      <c r="C56" t="s">
        <v>385</v>
      </c>
      <c r="D56" t="s">
        <v>388</v>
      </c>
      <c r="E56" t="s">
        <v>261</v>
      </c>
      <c r="F56" t="str">
        <f>VLOOKUP(E56, 'POS Categories'!$A$1:$B$1999, 2, FALSE)</f>
        <v>Home</v>
      </c>
    </row>
    <row r="57" spans="1:6" x14ac:dyDescent="0.25">
      <c r="A57">
        <v>44687</v>
      </c>
      <c r="B57">
        <v>-22.03</v>
      </c>
      <c r="C57" t="s">
        <v>385</v>
      </c>
      <c r="D57" t="s">
        <v>388</v>
      </c>
      <c r="E57" t="s">
        <v>33</v>
      </c>
      <c r="F57" t="str">
        <f>VLOOKUP(E57, 'POS Categories'!$A$1:$B$1999, 2, FALSE)</f>
        <v>Food</v>
      </c>
    </row>
    <row r="58" spans="1:6" x14ac:dyDescent="0.25">
      <c r="A58">
        <v>44687</v>
      </c>
      <c r="B58">
        <v>1986.12</v>
      </c>
      <c r="C58" t="s">
        <v>385</v>
      </c>
      <c r="D58" t="s">
        <v>386</v>
      </c>
      <c r="E58" t="s">
        <v>1193</v>
      </c>
      <c r="F58" t="s">
        <v>1</v>
      </c>
    </row>
    <row r="59" spans="1:6" x14ac:dyDescent="0.25">
      <c r="A59">
        <v>44685</v>
      </c>
      <c r="B59">
        <v>34.5</v>
      </c>
      <c r="C59" t="s">
        <v>385</v>
      </c>
      <c r="D59" t="s">
        <v>427</v>
      </c>
      <c r="E59" t="s">
        <v>1207</v>
      </c>
      <c r="F59" t="str">
        <f>VLOOKUP(E59, 'POS Categories'!$A$1:$B$1999, 2, FALSE)</f>
        <v>Entertainment</v>
      </c>
    </row>
    <row r="60" spans="1:6" x14ac:dyDescent="0.25">
      <c r="A60">
        <v>44684</v>
      </c>
      <c r="B60">
        <v>-13.21</v>
      </c>
      <c r="C60" t="s">
        <v>385</v>
      </c>
      <c r="D60" t="s">
        <v>388</v>
      </c>
      <c r="E60" t="s">
        <v>34</v>
      </c>
      <c r="F60" t="str">
        <f>VLOOKUP(E60, 'POS Categories'!$A$1:$B$1999, 2, FALSE)</f>
        <v>Food</v>
      </c>
    </row>
    <row r="61" spans="1:6" x14ac:dyDescent="0.25">
      <c r="A61">
        <v>44684</v>
      </c>
      <c r="B61">
        <v>-15.53</v>
      </c>
      <c r="C61" t="s">
        <v>385</v>
      </c>
      <c r="D61" t="s">
        <v>388</v>
      </c>
      <c r="E61" t="s">
        <v>22</v>
      </c>
      <c r="F61" t="str">
        <f>VLOOKUP(E61, 'POS Categories'!$A$1:$B$1999, 2, FALSE)</f>
        <v>Entertainment</v>
      </c>
    </row>
    <row r="62" spans="1:6" x14ac:dyDescent="0.25">
      <c r="A62">
        <v>44683</v>
      </c>
      <c r="B62">
        <v>-1235</v>
      </c>
      <c r="C62" t="s">
        <v>385</v>
      </c>
      <c r="D62" t="s">
        <v>414</v>
      </c>
      <c r="E62" t="s">
        <v>206</v>
      </c>
      <c r="F62" t="str">
        <f>VLOOKUP(E62, 'POS Categories'!$A$1:$B$1999, 2, FALSE)</f>
        <v>Rent</v>
      </c>
    </row>
    <row r="63" spans="1:6" x14ac:dyDescent="0.25">
      <c r="A63">
        <v>44683</v>
      </c>
      <c r="B63">
        <v>-14.34</v>
      </c>
      <c r="C63" t="s">
        <v>385</v>
      </c>
      <c r="D63" t="s">
        <v>388</v>
      </c>
      <c r="E63" t="s">
        <v>1198</v>
      </c>
      <c r="F63" t="str">
        <f>VLOOKUP(E63, 'POS Categories'!$A$1:$B$1999, 2, FALSE)</f>
        <v>Entertainment</v>
      </c>
    </row>
    <row r="64" spans="1:6" x14ac:dyDescent="0.25">
      <c r="A64">
        <v>44683</v>
      </c>
      <c r="B64">
        <v>-127.95</v>
      </c>
      <c r="C64" t="s">
        <v>385</v>
      </c>
      <c r="D64" t="s">
        <v>388</v>
      </c>
      <c r="E64" t="s">
        <v>33</v>
      </c>
      <c r="F64" t="str">
        <f>VLOOKUP(E64, 'POS Categories'!$A$1:$B$1999, 2, FALSE)</f>
        <v>Food</v>
      </c>
    </row>
    <row r="65" spans="1:6" x14ac:dyDescent="0.25">
      <c r="A65">
        <v>44683</v>
      </c>
      <c r="B65">
        <v>-10.74</v>
      </c>
      <c r="C65" t="s">
        <v>385</v>
      </c>
      <c r="D65" t="s">
        <v>388</v>
      </c>
      <c r="E65" t="s">
        <v>408</v>
      </c>
      <c r="F65" t="str">
        <f>VLOOKUP(E65, 'POS Categories'!$A$1:$B$1999, 2, FALSE)</f>
        <v>Food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0"/>
  <sheetViews>
    <sheetView topLeftCell="A37" workbookViewId="0">
      <selection activeCell="F25" sqref="F25"/>
    </sheetView>
  </sheetViews>
  <sheetFormatPr defaultRowHeight="15" x14ac:dyDescent="0.25"/>
  <cols>
    <col min="3" max="3" width="1.7109375" bestFit="1" customWidth="1"/>
    <col min="4" max="4" width="23.28515625" bestFit="1" customWidth="1"/>
    <col min="5" max="5" width="35.42578125" bestFit="1" customWidth="1"/>
  </cols>
  <sheetData>
    <row r="1" spans="1:6" x14ac:dyDescent="0.25">
      <c r="A1">
        <v>44681</v>
      </c>
      <c r="B1">
        <v>-8.3000000000000007</v>
      </c>
      <c r="C1" t="s">
        <v>385</v>
      </c>
      <c r="D1" t="s">
        <v>388</v>
      </c>
      <c r="E1" t="s">
        <v>183</v>
      </c>
      <c r="F1" t="str">
        <f>VLOOKUP(E1, 'POS Categories'!$A$1:$B$1999, 2, FALSE)</f>
        <v>Food</v>
      </c>
    </row>
    <row r="2" spans="1:6" x14ac:dyDescent="0.25">
      <c r="A2">
        <v>44681</v>
      </c>
      <c r="B2">
        <v>-14.96</v>
      </c>
      <c r="C2" t="s">
        <v>385</v>
      </c>
      <c r="D2" t="s">
        <v>388</v>
      </c>
      <c r="E2" t="s">
        <v>284</v>
      </c>
      <c r="F2" t="str">
        <f>VLOOKUP(E2, 'POS Categories'!$A$1:$B$1999, 2, FALSE)</f>
        <v>Food</v>
      </c>
    </row>
    <row r="3" spans="1:6" x14ac:dyDescent="0.25">
      <c r="A3">
        <v>44681</v>
      </c>
      <c r="B3">
        <v>-35.79</v>
      </c>
      <c r="C3" t="s">
        <v>385</v>
      </c>
      <c r="D3" t="s">
        <v>388</v>
      </c>
      <c r="E3" t="s">
        <v>270</v>
      </c>
      <c r="F3" t="str">
        <f>VLOOKUP(E3, 'POS Categories'!$A$1:$B$1999, 2, FALSE)</f>
        <v>Personal</v>
      </c>
    </row>
    <row r="4" spans="1:6" x14ac:dyDescent="0.25">
      <c r="A4">
        <v>44681</v>
      </c>
      <c r="B4">
        <v>-38.119999999999997</v>
      </c>
      <c r="C4" t="s">
        <v>385</v>
      </c>
      <c r="D4" t="s">
        <v>388</v>
      </c>
      <c r="E4" t="s">
        <v>35</v>
      </c>
      <c r="F4" t="str">
        <f>VLOOKUP(E4, 'POS Categories'!$A$1:$B$1999, 2, FALSE)</f>
        <v>Personal</v>
      </c>
    </row>
    <row r="5" spans="1:6" x14ac:dyDescent="0.25">
      <c r="A5">
        <v>44680</v>
      </c>
      <c r="B5">
        <v>-155.38999999999999</v>
      </c>
      <c r="C5" t="s">
        <v>385</v>
      </c>
      <c r="D5" t="s">
        <v>388</v>
      </c>
      <c r="E5" t="s">
        <v>1200</v>
      </c>
      <c r="F5" t="str">
        <f>VLOOKUP(E5, 'POS Categories'!$A$1:$B$1999, 2, FALSE)</f>
        <v>Entertainment</v>
      </c>
    </row>
    <row r="6" spans="1:6" x14ac:dyDescent="0.25">
      <c r="A6">
        <v>44680</v>
      </c>
      <c r="B6">
        <v>-18.07</v>
      </c>
      <c r="C6" t="s">
        <v>385</v>
      </c>
      <c r="D6" t="s">
        <v>388</v>
      </c>
      <c r="E6" t="s">
        <v>8</v>
      </c>
      <c r="F6" t="str">
        <f>VLOOKUP(E6, 'POS Categories'!$A$1:$B$1999, 2, FALSE)</f>
        <v>Food</v>
      </c>
    </row>
    <row r="7" spans="1:6" x14ac:dyDescent="0.25">
      <c r="A7">
        <v>44679</v>
      </c>
      <c r="B7">
        <v>98</v>
      </c>
      <c r="C7" t="s">
        <v>385</v>
      </c>
      <c r="D7" t="s">
        <v>430</v>
      </c>
      <c r="E7" t="s">
        <v>1201</v>
      </c>
      <c r="F7" t="str">
        <f>VLOOKUP(E7, 'POS Categories'!$A$1:$B$1999, 2, FALSE)</f>
        <v>Unknown</v>
      </c>
    </row>
    <row r="8" spans="1:6" x14ac:dyDescent="0.25">
      <c r="A8">
        <v>44679</v>
      </c>
      <c r="B8">
        <v>-98</v>
      </c>
      <c r="C8" t="s">
        <v>385</v>
      </c>
      <c r="D8" t="s">
        <v>388</v>
      </c>
      <c r="E8" t="s">
        <v>1201</v>
      </c>
      <c r="F8" t="str">
        <f>VLOOKUP(E8, 'POS Categories'!$A$1:$B$1999, 2, FALSE)</f>
        <v>Unknown</v>
      </c>
    </row>
    <row r="9" spans="1:6" x14ac:dyDescent="0.25">
      <c r="A9">
        <v>44679</v>
      </c>
      <c r="B9">
        <v>-27.82</v>
      </c>
      <c r="C9" t="s">
        <v>385</v>
      </c>
      <c r="D9" t="s">
        <v>388</v>
      </c>
      <c r="E9" t="s">
        <v>1202</v>
      </c>
      <c r="F9" t="str">
        <f>VLOOKUP(E9, 'POS Categories'!$A$1:$B$1999, 2, FALSE)</f>
        <v>Entertainment</v>
      </c>
    </row>
    <row r="10" spans="1:6" x14ac:dyDescent="0.25">
      <c r="A10">
        <v>44679</v>
      </c>
      <c r="B10">
        <v>-6.61</v>
      </c>
      <c r="C10" t="s">
        <v>385</v>
      </c>
      <c r="D10" t="s">
        <v>388</v>
      </c>
      <c r="E10" t="s">
        <v>34</v>
      </c>
      <c r="F10" t="str">
        <f>VLOOKUP(E10, 'POS Categories'!$A$1:$B$1999, 2, FALSE)</f>
        <v>Food</v>
      </c>
    </row>
    <row r="11" spans="1:6" x14ac:dyDescent="0.25">
      <c r="A11">
        <v>44679</v>
      </c>
      <c r="B11">
        <v>-11.09</v>
      </c>
      <c r="C11" t="s">
        <v>385</v>
      </c>
      <c r="D11" t="s">
        <v>388</v>
      </c>
      <c r="E11" t="s">
        <v>240</v>
      </c>
      <c r="F11" t="str">
        <f>VLOOKUP(E11, 'POS Categories'!$A$1:$B$1999, 2, FALSE)</f>
        <v>Food</v>
      </c>
    </row>
    <row r="12" spans="1:6" x14ac:dyDescent="0.25">
      <c r="A12">
        <v>44678</v>
      </c>
      <c r="B12">
        <v>-39.57</v>
      </c>
      <c r="C12" t="s">
        <v>385</v>
      </c>
      <c r="D12" t="s">
        <v>388</v>
      </c>
      <c r="E12" t="s">
        <v>1160</v>
      </c>
      <c r="F12" t="str">
        <f>VLOOKUP(E12, 'POS Categories'!$A$1:$B$1999, 2, FALSE)</f>
        <v>Food</v>
      </c>
    </row>
    <row r="13" spans="1:6" x14ac:dyDescent="0.25">
      <c r="A13">
        <v>44678</v>
      </c>
      <c r="B13">
        <v>-1.5</v>
      </c>
      <c r="C13" t="s">
        <v>385</v>
      </c>
      <c r="D13" t="s">
        <v>388</v>
      </c>
      <c r="E13" t="s">
        <v>1203</v>
      </c>
      <c r="F13" t="str">
        <f>VLOOKUP(E13, 'POS Categories'!$A$1:$B$1999, 2, FALSE)</f>
        <v>Vehicle</v>
      </c>
    </row>
    <row r="14" spans="1:6" x14ac:dyDescent="0.25">
      <c r="A14">
        <v>44678</v>
      </c>
      <c r="B14">
        <v>-98</v>
      </c>
      <c r="C14" t="s">
        <v>385</v>
      </c>
      <c r="D14" t="s">
        <v>388</v>
      </c>
      <c r="E14" t="s">
        <v>1204</v>
      </c>
      <c r="F14" t="str">
        <f>VLOOKUP(E14, 'POS Categories'!$A$1:$B$1999, 2, FALSE)</f>
        <v>Entertainment</v>
      </c>
    </row>
    <row r="15" spans="1:6" x14ac:dyDescent="0.25">
      <c r="A15">
        <v>44678</v>
      </c>
      <c r="B15">
        <v>-11.85</v>
      </c>
      <c r="C15" t="s">
        <v>385</v>
      </c>
      <c r="D15" t="s">
        <v>388</v>
      </c>
      <c r="E15" t="s">
        <v>174</v>
      </c>
      <c r="F15" t="str">
        <f>VLOOKUP(E15, 'POS Categories'!$A$1:$B$1999, 2, FALSE)</f>
        <v>Food</v>
      </c>
    </row>
    <row r="16" spans="1:6" x14ac:dyDescent="0.25">
      <c r="A16">
        <v>44678</v>
      </c>
      <c r="B16">
        <v>-72.02</v>
      </c>
      <c r="C16" t="s">
        <v>385</v>
      </c>
      <c r="D16" t="s">
        <v>388</v>
      </c>
      <c r="E16" t="s">
        <v>395</v>
      </c>
      <c r="F16" t="str">
        <f>VLOOKUP(E16, 'POS Categories'!$A$1:$B$1999, 2, FALSE)</f>
        <v>Vehicle</v>
      </c>
    </row>
    <row r="17" spans="1:6" x14ac:dyDescent="0.25">
      <c r="A17">
        <v>44677</v>
      </c>
      <c r="B17">
        <v>-8.61</v>
      </c>
      <c r="C17" t="s">
        <v>385</v>
      </c>
      <c r="D17" t="s">
        <v>388</v>
      </c>
      <c r="E17" t="s">
        <v>408</v>
      </c>
      <c r="F17" t="str">
        <f>VLOOKUP(E17, 'POS Categories'!$A$1:$B$1999, 2, FALSE)</f>
        <v>Food</v>
      </c>
    </row>
    <row r="18" spans="1:6" x14ac:dyDescent="0.25">
      <c r="A18">
        <v>44676</v>
      </c>
      <c r="B18">
        <v>-100</v>
      </c>
      <c r="C18" t="s">
        <v>385</v>
      </c>
      <c r="D18" t="s">
        <v>466</v>
      </c>
      <c r="E18" t="s">
        <v>200</v>
      </c>
      <c r="F18" t="str">
        <f>VLOOKUP(E18, 'POS Categories'!$A$1:$B$1999, 2, FALSE)</f>
        <v>Bills</v>
      </c>
    </row>
    <row r="19" spans="1:6" x14ac:dyDescent="0.25">
      <c r="A19">
        <v>44676</v>
      </c>
      <c r="B19">
        <v>-24.23</v>
      </c>
      <c r="C19" t="s">
        <v>385</v>
      </c>
      <c r="D19" t="s">
        <v>388</v>
      </c>
      <c r="E19" t="s">
        <v>1205</v>
      </c>
      <c r="F19" t="str">
        <f>VLOOKUP(E19, 'POS Categories'!$A$1:$B$1999, 2, FALSE)</f>
        <v>Food</v>
      </c>
    </row>
    <row r="20" spans="1:6" x14ac:dyDescent="0.25">
      <c r="A20">
        <v>44676</v>
      </c>
      <c r="B20">
        <v>-15.4</v>
      </c>
      <c r="C20" t="s">
        <v>385</v>
      </c>
      <c r="D20" t="s">
        <v>388</v>
      </c>
      <c r="E20" t="s">
        <v>171</v>
      </c>
      <c r="F20" t="str">
        <f>VLOOKUP(E20, 'POS Categories'!$A$1:$B$1999, 2, FALSE)</f>
        <v>Food</v>
      </c>
    </row>
    <row r="21" spans="1:6" x14ac:dyDescent="0.25">
      <c r="A21">
        <v>44674</v>
      </c>
      <c r="B21">
        <v>-221.99</v>
      </c>
      <c r="C21" t="s">
        <v>385</v>
      </c>
      <c r="D21" t="s">
        <v>388</v>
      </c>
      <c r="E21" t="s">
        <v>327</v>
      </c>
      <c r="F21" t="str">
        <f>VLOOKUP(E21, 'POS Categories'!$A$1:$B$1999, 2, FALSE)</f>
        <v>Personal</v>
      </c>
    </row>
    <row r="22" spans="1:6" x14ac:dyDescent="0.25">
      <c r="A22">
        <v>44674</v>
      </c>
      <c r="B22">
        <v>-9.6</v>
      </c>
      <c r="C22" t="s">
        <v>385</v>
      </c>
      <c r="D22" t="s">
        <v>388</v>
      </c>
      <c r="E22" t="s">
        <v>408</v>
      </c>
      <c r="F22" t="str">
        <f>VLOOKUP(E22, 'POS Categories'!$A$1:$B$1999, 2, FALSE)</f>
        <v>Food</v>
      </c>
    </row>
    <row r="23" spans="1:6" x14ac:dyDescent="0.25">
      <c r="A23">
        <v>44673</v>
      </c>
      <c r="B23">
        <v>-18.07</v>
      </c>
      <c r="C23" t="s">
        <v>385</v>
      </c>
      <c r="D23" t="s">
        <v>388</v>
      </c>
      <c r="E23" t="s">
        <v>8</v>
      </c>
      <c r="F23" t="str">
        <f>VLOOKUP(E23, 'POS Categories'!$A$1:$B$1999, 2, FALSE)</f>
        <v>Food</v>
      </c>
    </row>
    <row r="24" spans="1:6" x14ac:dyDescent="0.25">
      <c r="A24">
        <v>44673</v>
      </c>
      <c r="B24">
        <v>1986.12</v>
      </c>
      <c r="C24" t="s">
        <v>385</v>
      </c>
      <c r="D24" t="s">
        <v>386</v>
      </c>
      <c r="E24" t="s">
        <v>1193</v>
      </c>
      <c r="F24" t="s">
        <v>1</v>
      </c>
    </row>
    <row r="25" spans="1:6" x14ac:dyDescent="0.25">
      <c r="A25">
        <v>44672</v>
      </c>
      <c r="B25">
        <v>-14.35</v>
      </c>
      <c r="C25" t="s">
        <v>385</v>
      </c>
      <c r="D25" t="s">
        <v>388</v>
      </c>
      <c r="E25" t="s">
        <v>1198</v>
      </c>
      <c r="F25" t="str">
        <f>VLOOKUP(E25, 'POS Categories'!$A$1:$B$1999, 2, FALSE)</f>
        <v>Entertainment</v>
      </c>
    </row>
    <row r="26" spans="1:6" x14ac:dyDescent="0.25">
      <c r="A26">
        <v>44672</v>
      </c>
      <c r="B26">
        <v>-12.16</v>
      </c>
      <c r="C26" t="s">
        <v>385</v>
      </c>
      <c r="D26" t="s">
        <v>388</v>
      </c>
      <c r="E26" t="s">
        <v>408</v>
      </c>
      <c r="F26" t="str">
        <f>VLOOKUP(E26, 'POS Categories'!$A$1:$B$1999, 2, FALSE)</f>
        <v>Food</v>
      </c>
    </row>
    <row r="27" spans="1:6" x14ac:dyDescent="0.25">
      <c r="A27">
        <v>44671</v>
      </c>
      <c r="B27">
        <v>-20.49</v>
      </c>
      <c r="C27" t="s">
        <v>385</v>
      </c>
      <c r="D27" t="s">
        <v>388</v>
      </c>
      <c r="E27" t="s">
        <v>142</v>
      </c>
      <c r="F27" t="str">
        <f>VLOOKUP(E27, 'POS Categories'!$A$1:$B$1999, 2, FALSE)</f>
        <v>Food</v>
      </c>
    </row>
    <row r="28" spans="1:6" x14ac:dyDescent="0.25">
      <c r="A28">
        <v>44670</v>
      </c>
      <c r="B28">
        <v>-12.8</v>
      </c>
      <c r="C28" t="s">
        <v>385</v>
      </c>
      <c r="D28" t="s">
        <v>388</v>
      </c>
      <c r="E28" t="s">
        <v>185</v>
      </c>
      <c r="F28" t="str">
        <f>VLOOKUP(E28, 'POS Categories'!$A$1:$B$1999, 2, FALSE)</f>
        <v>Food</v>
      </c>
    </row>
    <row r="29" spans="1:6" x14ac:dyDescent="0.25">
      <c r="A29">
        <v>44670</v>
      </c>
      <c r="B29">
        <v>-30.49</v>
      </c>
      <c r="C29" t="s">
        <v>385</v>
      </c>
      <c r="D29" t="s">
        <v>388</v>
      </c>
      <c r="E29" t="s">
        <v>157</v>
      </c>
      <c r="F29" t="str">
        <f>VLOOKUP(E29, 'POS Categories'!$A$1:$B$1999, 2, FALSE)</f>
        <v>Personal</v>
      </c>
    </row>
    <row r="30" spans="1:6" x14ac:dyDescent="0.25">
      <c r="A30">
        <v>44669</v>
      </c>
      <c r="B30">
        <v>-138.75</v>
      </c>
      <c r="C30" t="s">
        <v>385</v>
      </c>
      <c r="D30" t="s">
        <v>388</v>
      </c>
      <c r="E30" t="s">
        <v>320</v>
      </c>
      <c r="F30" t="str">
        <f>VLOOKUP(E30, 'POS Categories'!$A$1:$B$1999, 2, FALSE)</f>
        <v>Sports</v>
      </c>
    </row>
    <row r="31" spans="1:6" x14ac:dyDescent="0.25">
      <c r="A31">
        <v>44669</v>
      </c>
      <c r="B31">
        <v>-11.42</v>
      </c>
      <c r="C31" t="s">
        <v>385</v>
      </c>
      <c r="D31" t="s">
        <v>388</v>
      </c>
      <c r="E31" t="s">
        <v>174</v>
      </c>
      <c r="F31" t="str">
        <f>VLOOKUP(E31, 'POS Categories'!$A$1:$B$1999, 2, FALSE)</f>
        <v>Food</v>
      </c>
    </row>
    <row r="32" spans="1:6" x14ac:dyDescent="0.25">
      <c r="A32">
        <v>44669</v>
      </c>
      <c r="B32">
        <v>-3.64</v>
      </c>
      <c r="C32" t="s">
        <v>385</v>
      </c>
      <c r="D32" t="s">
        <v>388</v>
      </c>
      <c r="E32" t="s">
        <v>163</v>
      </c>
      <c r="F32" t="str">
        <f>VLOOKUP(E32, 'POS Categories'!$A$1:$B$1999, 2, FALSE)</f>
        <v>Vehicle</v>
      </c>
    </row>
    <row r="33" spans="1:6" x14ac:dyDescent="0.25">
      <c r="A33">
        <v>44669</v>
      </c>
      <c r="B33">
        <v>-39.020000000000003</v>
      </c>
      <c r="C33" t="s">
        <v>385</v>
      </c>
      <c r="D33" t="s">
        <v>388</v>
      </c>
      <c r="E33" t="s">
        <v>118</v>
      </c>
      <c r="F33" t="str">
        <f>VLOOKUP(E33, 'POS Categories'!$A$1:$B$1999, 2, FALSE)</f>
        <v>Food</v>
      </c>
    </row>
    <row r="34" spans="1:6" x14ac:dyDescent="0.25">
      <c r="A34">
        <v>44667</v>
      </c>
      <c r="B34">
        <v>-8.33</v>
      </c>
      <c r="C34" t="s">
        <v>385</v>
      </c>
      <c r="D34" t="s">
        <v>388</v>
      </c>
      <c r="E34" t="s">
        <v>1159</v>
      </c>
      <c r="F34" t="str">
        <f>VLOOKUP(E34, 'POS Categories'!$A$1:$B$1999, 2, FALSE)</f>
        <v>Vehicle</v>
      </c>
    </row>
    <row r="35" spans="1:6" x14ac:dyDescent="0.25">
      <c r="A35">
        <v>44667</v>
      </c>
      <c r="B35">
        <v>-135.1</v>
      </c>
      <c r="C35" t="s">
        <v>385</v>
      </c>
      <c r="D35" t="s">
        <v>388</v>
      </c>
      <c r="E35" t="s">
        <v>175</v>
      </c>
      <c r="F35" t="str">
        <f>VLOOKUP(E35, 'POS Categories'!$A$1:$B$1999, 2, FALSE)</f>
        <v>Sasktel</v>
      </c>
    </row>
    <row r="36" spans="1:6" x14ac:dyDescent="0.25">
      <c r="A36">
        <v>44665</v>
      </c>
      <c r="B36">
        <v>-13.18</v>
      </c>
      <c r="C36" t="s">
        <v>385</v>
      </c>
      <c r="D36" t="s">
        <v>388</v>
      </c>
      <c r="E36" t="s">
        <v>171</v>
      </c>
      <c r="F36" t="str">
        <f>VLOOKUP(E36, 'POS Categories'!$A$1:$B$1999, 2, FALSE)</f>
        <v>Food</v>
      </c>
    </row>
    <row r="37" spans="1:6" x14ac:dyDescent="0.25">
      <c r="A37">
        <v>44665</v>
      </c>
      <c r="B37">
        <v>2585.73</v>
      </c>
      <c r="C37" t="s">
        <v>385</v>
      </c>
      <c r="D37" t="s">
        <v>604</v>
      </c>
      <c r="E37" t="s">
        <v>280</v>
      </c>
      <c r="F37" t="str">
        <f>VLOOKUP(E37, 'POS Categories'!$A$1:$B$1999, 2, FALSE)</f>
        <v>Government</v>
      </c>
    </row>
    <row r="38" spans="1:6" x14ac:dyDescent="0.25">
      <c r="A38">
        <v>44664</v>
      </c>
      <c r="B38">
        <v>-15.53</v>
      </c>
      <c r="C38" t="s">
        <v>385</v>
      </c>
      <c r="D38" t="s">
        <v>388</v>
      </c>
      <c r="E38" t="s">
        <v>1206</v>
      </c>
      <c r="F38" t="str">
        <f>VLOOKUP(E38, 'POS Categories'!$A$1:$B$1999, 2, FALSE)</f>
        <v>Entertainment</v>
      </c>
    </row>
    <row r="39" spans="1:6" x14ac:dyDescent="0.25">
      <c r="A39">
        <v>44664</v>
      </c>
      <c r="B39">
        <v>-15.85</v>
      </c>
      <c r="C39" t="s">
        <v>385</v>
      </c>
      <c r="D39" t="s">
        <v>388</v>
      </c>
      <c r="E39" t="s">
        <v>8</v>
      </c>
      <c r="F39" t="str">
        <f>VLOOKUP(E39, 'POS Categories'!$A$1:$B$1999, 2, FALSE)</f>
        <v>Food</v>
      </c>
    </row>
    <row r="40" spans="1:6" x14ac:dyDescent="0.25">
      <c r="A40">
        <v>44664</v>
      </c>
      <c r="B40">
        <v>-34.5</v>
      </c>
      <c r="C40" t="s">
        <v>385</v>
      </c>
      <c r="D40" t="s">
        <v>388</v>
      </c>
      <c r="E40" t="s">
        <v>1207</v>
      </c>
      <c r="F40" t="str">
        <f>VLOOKUP(E40, 'POS Categories'!$A$1:$B$1999, 2, FALSE)</f>
        <v>Entertainment</v>
      </c>
    </row>
    <row r="41" spans="1:6" x14ac:dyDescent="0.25">
      <c r="A41">
        <v>44663</v>
      </c>
      <c r="B41">
        <v>-28.78</v>
      </c>
      <c r="C41" t="s">
        <v>385</v>
      </c>
      <c r="D41" t="s">
        <v>388</v>
      </c>
      <c r="E41" t="s">
        <v>741</v>
      </c>
      <c r="F41" t="str">
        <f>VLOOKUP(E41, 'POS Categories'!$A$1:$B$1999, 2, FALSE)</f>
        <v>Food</v>
      </c>
    </row>
    <row r="42" spans="1:6" x14ac:dyDescent="0.25">
      <c r="A42">
        <v>44663</v>
      </c>
      <c r="B42">
        <v>-14.41</v>
      </c>
      <c r="C42" t="s">
        <v>385</v>
      </c>
      <c r="D42" t="s">
        <v>388</v>
      </c>
      <c r="E42" t="s">
        <v>174</v>
      </c>
      <c r="F42" t="str">
        <f>VLOOKUP(E42, 'POS Categories'!$A$1:$B$1999, 2, FALSE)</f>
        <v>Food</v>
      </c>
    </row>
    <row r="43" spans="1:6" x14ac:dyDescent="0.25">
      <c r="A43">
        <v>44662</v>
      </c>
      <c r="B43">
        <v>-18.39</v>
      </c>
      <c r="C43" t="s">
        <v>385</v>
      </c>
      <c r="D43" t="s">
        <v>388</v>
      </c>
      <c r="E43" t="s">
        <v>142</v>
      </c>
      <c r="F43" t="str">
        <f>VLOOKUP(E43, 'POS Categories'!$A$1:$B$1999, 2, FALSE)</f>
        <v>Food</v>
      </c>
    </row>
    <row r="44" spans="1:6" x14ac:dyDescent="0.25">
      <c r="A44">
        <v>44662</v>
      </c>
      <c r="B44">
        <v>-8.4</v>
      </c>
      <c r="C44" t="s">
        <v>385</v>
      </c>
      <c r="D44" t="s">
        <v>388</v>
      </c>
      <c r="E44" t="s">
        <v>163</v>
      </c>
      <c r="F44" t="str">
        <f>VLOOKUP(E44, 'POS Categories'!$A$1:$B$1999, 2, FALSE)</f>
        <v>Vehicle</v>
      </c>
    </row>
    <row r="45" spans="1:6" x14ac:dyDescent="0.25">
      <c r="A45">
        <v>44662</v>
      </c>
      <c r="B45">
        <v>-54.54</v>
      </c>
      <c r="C45" t="s">
        <v>385</v>
      </c>
      <c r="D45" t="s">
        <v>388</v>
      </c>
      <c r="E45" t="s">
        <v>118</v>
      </c>
      <c r="F45" t="str">
        <f>VLOOKUP(E45, 'POS Categories'!$A$1:$B$1999, 2, FALSE)</f>
        <v>Food</v>
      </c>
    </row>
    <row r="46" spans="1:6" x14ac:dyDescent="0.25">
      <c r="A46">
        <v>44660</v>
      </c>
      <c r="B46">
        <v>-4.6399999999999997</v>
      </c>
      <c r="C46" t="s">
        <v>385</v>
      </c>
      <c r="D46" t="s">
        <v>388</v>
      </c>
      <c r="E46" t="s">
        <v>457</v>
      </c>
      <c r="F46" t="str">
        <f>VLOOKUP(E46, 'POS Categories'!$A$1:$B$1999, 2, FALSE)</f>
        <v>Food</v>
      </c>
    </row>
    <row r="47" spans="1:6" x14ac:dyDescent="0.25">
      <c r="A47">
        <v>44659</v>
      </c>
      <c r="B47">
        <v>-7.2</v>
      </c>
      <c r="C47" t="s">
        <v>385</v>
      </c>
      <c r="D47" t="s">
        <v>388</v>
      </c>
      <c r="E47" t="s">
        <v>408</v>
      </c>
      <c r="F47" t="str">
        <f>VLOOKUP(E47, 'POS Categories'!$A$1:$B$1999, 2, FALSE)</f>
        <v>Food</v>
      </c>
    </row>
    <row r="48" spans="1:6" x14ac:dyDescent="0.25">
      <c r="A48">
        <v>44659</v>
      </c>
      <c r="B48">
        <v>-37.93</v>
      </c>
      <c r="C48" t="s">
        <v>385</v>
      </c>
      <c r="D48" t="s">
        <v>388</v>
      </c>
      <c r="E48" t="s">
        <v>395</v>
      </c>
      <c r="F48" t="str">
        <f>VLOOKUP(E48, 'POS Categories'!$A$1:$B$1999, 2, FALSE)</f>
        <v>Vehicle</v>
      </c>
    </row>
    <row r="49" spans="1:6" x14ac:dyDescent="0.25">
      <c r="A49">
        <v>44659</v>
      </c>
      <c r="B49">
        <v>1986.11</v>
      </c>
      <c r="C49" t="s">
        <v>385</v>
      </c>
      <c r="D49" t="s">
        <v>386</v>
      </c>
      <c r="E49" t="s">
        <v>1193</v>
      </c>
      <c r="F49" t="s">
        <v>1</v>
      </c>
    </row>
    <row r="50" spans="1:6" x14ac:dyDescent="0.25">
      <c r="A50">
        <v>44658</v>
      </c>
      <c r="B50">
        <v>-12.85</v>
      </c>
      <c r="C50" t="s">
        <v>385</v>
      </c>
      <c r="D50" t="s">
        <v>388</v>
      </c>
      <c r="E50" t="s">
        <v>171</v>
      </c>
      <c r="F50" t="str">
        <f>VLOOKUP(E50, 'POS Categories'!$A$1:$B$1999, 2, FALSE)</f>
        <v>Food</v>
      </c>
    </row>
    <row r="51" spans="1:6" x14ac:dyDescent="0.25">
      <c r="A51">
        <v>44658</v>
      </c>
      <c r="B51">
        <v>-8.6</v>
      </c>
      <c r="C51" t="s">
        <v>385</v>
      </c>
      <c r="D51" t="s">
        <v>388</v>
      </c>
      <c r="E51" t="s">
        <v>174</v>
      </c>
      <c r="F51" t="str">
        <f>VLOOKUP(E51, 'POS Categories'!$A$1:$B$1999, 2, FALSE)</f>
        <v>Food</v>
      </c>
    </row>
    <row r="52" spans="1:6" x14ac:dyDescent="0.25">
      <c r="A52">
        <v>44657</v>
      </c>
      <c r="B52">
        <v>-17.37</v>
      </c>
      <c r="C52" t="s">
        <v>385</v>
      </c>
      <c r="D52" t="s">
        <v>388</v>
      </c>
      <c r="E52" t="s">
        <v>183</v>
      </c>
      <c r="F52" t="str">
        <f>VLOOKUP(E52, 'POS Categories'!$A$1:$B$1999, 2, FALSE)</f>
        <v>Food</v>
      </c>
    </row>
    <row r="53" spans="1:6" x14ac:dyDescent="0.25">
      <c r="A53">
        <v>44657</v>
      </c>
      <c r="B53">
        <v>-17.52</v>
      </c>
      <c r="C53" t="s">
        <v>385</v>
      </c>
      <c r="D53" t="s">
        <v>388</v>
      </c>
      <c r="E53" t="s">
        <v>8</v>
      </c>
      <c r="F53" t="str">
        <f>VLOOKUP(E53, 'POS Categories'!$A$1:$B$1999, 2, FALSE)</f>
        <v>Food</v>
      </c>
    </row>
    <row r="54" spans="1:6" x14ac:dyDescent="0.25">
      <c r="A54">
        <v>44657</v>
      </c>
      <c r="B54">
        <v>-109.53</v>
      </c>
      <c r="C54" t="s">
        <v>385</v>
      </c>
      <c r="D54" t="s">
        <v>388</v>
      </c>
      <c r="E54" t="s">
        <v>411</v>
      </c>
      <c r="F54" t="str">
        <f>VLOOKUP(E54, 'POS Categories'!$A$1:$B$1999, 2, FALSE)</f>
        <v>Sasktel</v>
      </c>
    </row>
    <row r="55" spans="1:6" x14ac:dyDescent="0.25">
      <c r="A55">
        <v>44657</v>
      </c>
      <c r="B55">
        <v>-80.569999999999993</v>
      </c>
      <c r="C55" t="s">
        <v>385</v>
      </c>
      <c r="D55" t="s">
        <v>435</v>
      </c>
      <c r="E55" t="s">
        <v>177</v>
      </c>
      <c r="F55" t="str">
        <f>VLOOKUP(E55, 'POS Categories'!$A$1:$B$1999, 2, FALSE)</f>
        <v>Power</v>
      </c>
    </row>
    <row r="56" spans="1:6" x14ac:dyDescent="0.25">
      <c r="A56">
        <v>44656</v>
      </c>
      <c r="B56">
        <v>-3.52</v>
      </c>
      <c r="C56" t="s">
        <v>385</v>
      </c>
      <c r="D56" t="s">
        <v>388</v>
      </c>
      <c r="E56" t="s">
        <v>246</v>
      </c>
      <c r="F56" t="str">
        <f>VLOOKUP(E56, 'POS Categories'!$A$1:$B$1999, 2, FALSE)</f>
        <v>Food</v>
      </c>
    </row>
    <row r="57" spans="1:6" x14ac:dyDescent="0.25">
      <c r="A57">
        <v>44656</v>
      </c>
      <c r="B57">
        <v>-19.5</v>
      </c>
      <c r="C57" t="s">
        <v>385</v>
      </c>
      <c r="D57" t="s">
        <v>388</v>
      </c>
      <c r="E57" t="s">
        <v>246</v>
      </c>
      <c r="F57" t="str">
        <f>VLOOKUP(E57, 'POS Categories'!$A$1:$B$1999, 2, FALSE)</f>
        <v>Food</v>
      </c>
    </row>
    <row r="58" spans="1:6" x14ac:dyDescent="0.25">
      <c r="A58">
        <v>44656</v>
      </c>
      <c r="B58">
        <v>-11.76</v>
      </c>
      <c r="C58" t="s">
        <v>385</v>
      </c>
      <c r="D58" t="s">
        <v>388</v>
      </c>
      <c r="E58" t="s">
        <v>171</v>
      </c>
      <c r="F58" t="str">
        <f>VLOOKUP(E58, 'POS Categories'!$A$1:$B$1999, 2, FALSE)</f>
        <v>Food</v>
      </c>
    </row>
    <row r="59" spans="1:6" x14ac:dyDescent="0.25">
      <c r="A59">
        <v>44655</v>
      </c>
      <c r="B59">
        <v>-14.41</v>
      </c>
      <c r="C59" t="s">
        <v>385</v>
      </c>
      <c r="D59" t="s">
        <v>388</v>
      </c>
      <c r="E59" t="s">
        <v>174</v>
      </c>
      <c r="F59" t="str">
        <f>VLOOKUP(E59, 'POS Categories'!$A$1:$B$1999, 2, FALSE)</f>
        <v>Food</v>
      </c>
    </row>
    <row r="60" spans="1:6" x14ac:dyDescent="0.25">
      <c r="A60">
        <v>44655</v>
      </c>
      <c r="B60">
        <v>-17.52</v>
      </c>
      <c r="C60" t="s">
        <v>385</v>
      </c>
      <c r="D60" t="s">
        <v>388</v>
      </c>
      <c r="E60" t="s">
        <v>8</v>
      </c>
      <c r="F60" t="str">
        <f>VLOOKUP(E60, 'POS Categories'!$A$1:$B$1999, 2, FALSE)</f>
        <v>Food</v>
      </c>
    </row>
    <row r="61" spans="1:6" x14ac:dyDescent="0.25">
      <c r="A61">
        <v>44655</v>
      </c>
      <c r="B61">
        <v>-6.77</v>
      </c>
      <c r="C61" t="s">
        <v>385</v>
      </c>
      <c r="D61" t="s">
        <v>388</v>
      </c>
      <c r="E61" t="s">
        <v>185</v>
      </c>
      <c r="F61" t="str">
        <f>VLOOKUP(E61, 'POS Categories'!$A$1:$B$1999, 2, FALSE)</f>
        <v>Food</v>
      </c>
    </row>
    <row r="62" spans="1:6" x14ac:dyDescent="0.25">
      <c r="A62">
        <v>44655</v>
      </c>
      <c r="B62">
        <v>-6.39</v>
      </c>
      <c r="C62" t="s">
        <v>385</v>
      </c>
      <c r="D62" t="s">
        <v>388</v>
      </c>
      <c r="E62" t="s">
        <v>34</v>
      </c>
      <c r="F62" t="str">
        <f>VLOOKUP(E62, 'POS Categories'!$A$1:$B$1999, 2, FALSE)</f>
        <v>Food</v>
      </c>
    </row>
    <row r="63" spans="1:6" x14ac:dyDescent="0.25">
      <c r="A63">
        <v>44653</v>
      </c>
      <c r="B63">
        <v>-38.770000000000003</v>
      </c>
      <c r="C63" t="s">
        <v>385</v>
      </c>
      <c r="D63" t="s">
        <v>388</v>
      </c>
      <c r="E63" t="s">
        <v>288</v>
      </c>
      <c r="F63" t="str">
        <f>VLOOKUP(E63, 'POS Categories'!$A$1:$B$1999, 2, FALSE)</f>
        <v>Food</v>
      </c>
    </row>
    <row r="64" spans="1:6" x14ac:dyDescent="0.25">
      <c r="A64">
        <v>44653</v>
      </c>
      <c r="B64">
        <v>-62.24</v>
      </c>
      <c r="C64" t="s">
        <v>385</v>
      </c>
      <c r="D64" t="s">
        <v>388</v>
      </c>
      <c r="E64" t="s">
        <v>157</v>
      </c>
      <c r="F64" t="str">
        <f>VLOOKUP(E64, 'POS Categories'!$A$1:$B$1999, 2, FALSE)</f>
        <v>Personal</v>
      </c>
    </row>
    <row r="65" spans="1:6" x14ac:dyDescent="0.25">
      <c r="A65">
        <v>44653</v>
      </c>
      <c r="B65">
        <v>-10.63</v>
      </c>
      <c r="C65" t="s">
        <v>385</v>
      </c>
      <c r="D65" t="s">
        <v>388</v>
      </c>
      <c r="E65" t="s">
        <v>408</v>
      </c>
      <c r="F65" t="str">
        <f>VLOOKUP(E65, 'POS Categories'!$A$1:$B$1999, 2, FALSE)</f>
        <v>Food</v>
      </c>
    </row>
    <row r="66" spans="1:6" x14ac:dyDescent="0.25">
      <c r="A66">
        <v>44653</v>
      </c>
      <c r="B66">
        <v>-7.83</v>
      </c>
      <c r="C66" t="s">
        <v>385</v>
      </c>
      <c r="D66" t="s">
        <v>388</v>
      </c>
      <c r="E66" t="s">
        <v>395</v>
      </c>
      <c r="F66" t="str">
        <f>VLOOKUP(E66, 'POS Categories'!$A$1:$B$1999, 2, FALSE)</f>
        <v>Vehicle</v>
      </c>
    </row>
    <row r="67" spans="1:6" x14ac:dyDescent="0.25">
      <c r="A67">
        <v>44653</v>
      </c>
      <c r="B67">
        <v>-70.83</v>
      </c>
      <c r="C67" t="s">
        <v>385</v>
      </c>
      <c r="D67" t="s">
        <v>388</v>
      </c>
      <c r="E67" t="s">
        <v>395</v>
      </c>
      <c r="F67" t="str">
        <f>VLOOKUP(E67, 'POS Categories'!$A$1:$B$1999, 2, FALSE)</f>
        <v>Vehicle</v>
      </c>
    </row>
    <row r="68" spans="1:6" x14ac:dyDescent="0.25">
      <c r="A68">
        <v>44652</v>
      </c>
      <c r="B68">
        <v>-1235</v>
      </c>
      <c r="C68" t="s">
        <v>385</v>
      </c>
      <c r="D68" t="s">
        <v>414</v>
      </c>
      <c r="E68" t="s">
        <v>206</v>
      </c>
      <c r="F68" t="str">
        <f>VLOOKUP(E68, 'POS Categories'!$A$1:$B$1999, 2, FALSE)</f>
        <v>Rent</v>
      </c>
    </row>
    <row r="69" spans="1:6" x14ac:dyDescent="0.25">
      <c r="A69">
        <v>44652</v>
      </c>
      <c r="B69">
        <v>-18.63</v>
      </c>
      <c r="C69" t="s">
        <v>385</v>
      </c>
      <c r="D69" t="s">
        <v>388</v>
      </c>
      <c r="E69" t="s">
        <v>142</v>
      </c>
      <c r="F69" t="str">
        <f>VLOOKUP(E69, 'POS Categories'!$A$1:$B$1999, 2, FALSE)</f>
        <v>Food</v>
      </c>
    </row>
    <row r="70" spans="1:6" x14ac:dyDescent="0.25">
      <c r="A70">
        <v>44652</v>
      </c>
      <c r="B70">
        <v>-9.3000000000000007</v>
      </c>
      <c r="C70" t="s">
        <v>385</v>
      </c>
      <c r="D70" t="s">
        <v>388</v>
      </c>
      <c r="E70" t="s">
        <v>8</v>
      </c>
      <c r="F70" t="str">
        <f>VLOOKUP(E70, 'POS Categories'!$A$1:$B$1999, 2, FALSE)</f>
        <v>Food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1"/>
  <sheetViews>
    <sheetView topLeftCell="A29" workbookViewId="0">
      <selection activeCell="F17" sqref="F17"/>
    </sheetView>
  </sheetViews>
  <sheetFormatPr defaultRowHeight="15" x14ac:dyDescent="0.25"/>
  <cols>
    <col min="4" max="4" width="23.28515625" bestFit="1" customWidth="1"/>
    <col min="5" max="5" width="36.140625" bestFit="1" customWidth="1"/>
    <col min="6" max="6" width="14" bestFit="1" customWidth="1"/>
  </cols>
  <sheetData>
    <row r="1" spans="1:6" x14ac:dyDescent="0.25">
      <c r="A1">
        <v>44651</v>
      </c>
      <c r="B1">
        <v>-3.34</v>
      </c>
      <c r="C1" t="s">
        <v>385</v>
      </c>
      <c r="D1" t="s">
        <v>388</v>
      </c>
      <c r="E1" t="s">
        <v>245</v>
      </c>
      <c r="F1" t="str">
        <f>VLOOKUP(E1, 'POS Categories'!$A$1:$B$1999, 2, FALSE)</f>
        <v>Food</v>
      </c>
    </row>
    <row r="2" spans="1:6" x14ac:dyDescent="0.25">
      <c r="A2">
        <v>44651</v>
      </c>
      <c r="B2">
        <v>-22.29</v>
      </c>
      <c r="C2" t="s">
        <v>385</v>
      </c>
      <c r="D2" t="s">
        <v>388</v>
      </c>
      <c r="E2" t="s">
        <v>246</v>
      </c>
      <c r="F2" t="str">
        <f>VLOOKUP(E2, 'POS Categories'!$A$1:$B$1999, 2, FALSE)</f>
        <v>Food</v>
      </c>
    </row>
    <row r="3" spans="1:6" x14ac:dyDescent="0.25">
      <c r="A3">
        <v>44651</v>
      </c>
      <c r="B3">
        <v>-9.98</v>
      </c>
      <c r="C3" t="s">
        <v>385</v>
      </c>
      <c r="D3" t="s">
        <v>388</v>
      </c>
      <c r="E3" t="s">
        <v>171</v>
      </c>
      <c r="F3" t="str">
        <f>VLOOKUP(E3, 'POS Categories'!$A$1:$B$1999, 2, FALSE)</f>
        <v>Food</v>
      </c>
    </row>
    <row r="4" spans="1:6" x14ac:dyDescent="0.25">
      <c r="A4">
        <v>44650</v>
      </c>
      <c r="B4">
        <v>-15.31</v>
      </c>
      <c r="C4" t="s">
        <v>385</v>
      </c>
      <c r="D4" t="s">
        <v>388</v>
      </c>
      <c r="E4" t="s">
        <v>171</v>
      </c>
      <c r="F4" t="str">
        <f>VLOOKUP(E4, 'POS Categories'!$A$1:$B$1999, 2, FALSE)</f>
        <v>Food</v>
      </c>
    </row>
    <row r="5" spans="1:6" x14ac:dyDescent="0.25">
      <c r="A5">
        <v>44650</v>
      </c>
      <c r="B5">
        <v>-10.63</v>
      </c>
      <c r="C5" t="s">
        <v>385</v>
      </c>
      <c r="D5" t="s">
        <v>388</v>
      </c>
      <c r="E5" t="s">
        <v>408</v>
      </c>
      <c r="F5" t="str">
        <f>VLOOKUP(E5, 'POS Categories'!$A$1:$B$1999, 2, FALSE)</f>
        <v>Food</v>
      </c>
    </row>
    <row r="6" spans="1:6" x14ac:dyDescent="0.25">
      <c r="A6">
        <v>44649</v>
      </c>
      <c r="B6">
        <v>-20.85</v>
      </c>
      <c r="C6" t="s">
        <v>385</v>
      </c>
      <c r="D6" t="s">
        <v>388</v>
      </c>
      <c r="E6" t="s">
        <v>185</v>
      </c>
      <c r="F6" t="str">
        <f>VLOOKUP(E6, 'POS Categories'!$A$1:$B$1999, 2, FALSE)</f>
        <v>Food</v>
      </c>
    </row>
    <row r="7" spans="1:6" x14ac:dyDescent="0.25">
      <c r="A7">
        <v>44649</v>
      </c>
      <c r="B7">
        <v>-5.59</v>
      </c>
      <c r="C7" t="s">
        <v>385</v>
      </c>
      <c r="D7" t="s">
        <v>388</v>
      </c>
      <c r="E7" t="s">
        <v>246</v>
      </c>
      <c r="F7" t="str">
        <f>VLOOKUP(E7, 'POS Categories'!$A$1:$B$1999, 2, FALSE)</f>
        <v>Food</v>
      </c>
    </row>
    <row r="8" spans="1:6" x14ac:dyDescent="0.25">
      <c r="A8">
        <v>44648</v>
      </c>
      <c r="B8">
        <v>-37.32</v>
      </c>
      <c r="C8" t="s">
        <v>385</v>
      </c>
      <c r="D8" t="s">
        <v>388</v>
      </c>
      <c r="E8" t="s">
        <v>246</v>
      </c>
      <c r="F8" t="str">
        <f>VLOOKUP(E8, 'POS Categories'!$A$1:$B$1999, 2, FALSE)</f>
        <v>Food</v>
      </c>
    </row>
    <row r="9" spans="1:6" x14ac:dyDescent="0.25">
      <c r="A9">
        <v>44648</v>
      </c>
      <c r="B9">
        <v>-15.96</v>
      </c>
      <c r="C9" t="s">
        <v>385</v>
      </c>
      <c r="D9" t="s">
        <v>388</v>
      </c>
      <c r="E9" t="s">
        <v>8</v>
      </c>
      <c r="F9" t="str">
        <f>VLOOKUP(E9, 'POS Categories'!$A$1:$B$1999, 2, FALSE)</f>
        <v>Food</v>
      </c>
    </row>
    <row r="10" spans="1:6" x14ac:dyDescent="0.25">
      <c r="A10">
        <v>44648</v>
      </c>
      <c r="B10">
        <v>-16.98</v>
      </c>
      <c r="C10" t="s">
        <v>385</v>
      </c>
      <c r="D10" t="s">
        <v>388</v>
      </c>
      <c r="E10" t="s">
        <v>142</v>
      </c>
      <c r="F10" t="str">
        <f>VLOOKUP(E10, 'POS Categories'!$A$1:$B$1999, 2, FALSE)</f>
        <v>Food</v>
      </c>
    </row>
    <row r="11" spans="1:6" x14ac:dyDescent="0.25">
      <c r="A11">
        <v>44648</v>
      </c>
      <c r="B11">
        <v>-11.09</v>
      </c>
      <c r="C11" t="s">
        <v>385</v>
      </c>
      <c r="D11" t="s">
        <v>388</v>
      </c>
      <c r="E11" t="s">
        <v>8</v>
      </c>
      <c r="F11" t="str">
        <f>VLOOKUP(E11, 'POS Categories'!$A$1:$B$1999, 2, FALSE)</f>
        <v>Food</v>
      </c>
    </row>
    <row r="12" spans="1:6" x14ac:dyDescent="0.25">
      <c r="A12">
        <v>44648</v>
      </c>
      <c r="B12">
        <v>-6.39</v>
      </c>
      <c r="C12" t="s">
        <v>385</v>
      </c>
      <c r="D12" t="s">
        <v>388</v>
      </c>
      <c r="E12" t="s">
        <v>34</v>
      </c>
      <c r="F12" t="str">
        <f>VLOOKUP(E12, 'POS Categories'!$A$1:$B$1999, 2, FALSE)</f>
        <v>Food</v>
      </c>
    </row>
    <row r="13" spans="1:6" x14ac:dyDescent="0.25">
      <c r="A13">
        <v>44646</v>
      </c>
      <c r="B13">
        <v>-14.42</v>
      </c>
      <c r="C13" t="s">
        <v>385</v>
      </c>
      <c r="D13" t="s">
        <v>388</v>
      </c>
      <c r="E13" t="s">
        <v>149</v>
      </c>
      <c r="F13" t="str">
        <f>VLOOKUP(E13, 'POS Categories'!$A$1:$B$1999, 2, FALSE)</f>
        <v>Food</v>
      </c>
    </row>
    <row r="14" spans="1:6" x14ac:dyDescent="0.25">
      <c r="A14">
        <v>44645</v>
      </c>
      <c r="B14">
        <v>-23.94</v>
      </c>
      <c r="C14" t="s">
        <v>385</v>
      </c>
      <c r="D14" t="s">
        <v>388</v>
      </c>
      <c r="E14" t="s">
        <v>246</v>
      </c>
      <c r="F14" t="str">
        <f>VLOOKUP(E14, 'POS Categories'!$A$1:$B$1999, 2, FALSE)</f>
        <v>Food</v>
      </c>
    </row>
    <row r="15" spans="1:6" x14ac:dyDescent="0.25">
      <c r="A15">
        <v>44645</v>
      </c>
      <c r="B15">
        <v>-12.16</v>
      </c>
      <c r="C15" t="s">
        <v>385</v>
      </c>
      <c r="D15" t="s">
        <v>388</v>
      </c>
      <c r="E15" t="s">
        <v>408</v>
      </c>
      <c r="F15" t="str">
        <f>VLOOKUP(E15, 'POS Categories'!$A$1:$B$1999, 2, FALSE)</f>
        <v>Food</v>
      </c>
    </row>
    <row r="16" spans="1:6" x14ac:dyDescent="0.25">
      <c r="A16">
        <v>44645</v>
      </c>
      <c r="B16">
        <v>1986.11</v>
      </c>
      <c r="C16" t="s">
        <v>385</v>
      </c>
      <c r="D16" t="s">
        <v>386</v>
      </c>
      <c r="E16" t="s">
        <v>1193</v>
      </c>
      <c r="F16" t="s">
        <v>1</v>
      </c>
    </row>
    <row r="17" spans="1:6" x14ac:dyDescent="0.25">
      <c r="A17">
        <v>44644</v>
      </c>
      <c r="B17">
        <v>-15.53</v>
      </c>
      <c r="C17" t="s">
        <v>385</v>
      </c>
      <c r="D17" t="s">
        <v>388</v>
      </c>
      <c r="E17" t="s">
        <v>171</v>
      </c>
      <c r="F17" t="str">
        <f>VLOOKUP(E17, 'POS Categories'!$A$1:$B$1999, 2, FALSE)</f>
        <v>Food</v>
      </c>
    </row>
    <row r="18" spans="1:6" x14ac:dyDescent="0.25">
      <c r="A18">
        <v>44644</v>
      </c>
      <c r="B18">
        <v>-16.45</v>
      </c>
      <c r="C18" t="s">
        <v>385</v>
      </c>
      <c r="D18" t="s">
        <v>388</v>
      </c>
      <c r="E18" t="s">
        <v>185</v>
      </c>
      <c r="F18" t="str">
        <f>VLOOKUP(E18, 'POS Categories'!$A$1:$B$1999, 2, FALSE)</f>
        <v>Food</v>
      </c>
    </row>
    <row r="19" spans="1:6" x14ac:dyDescent="0.25">
      <c r="A19">
        <v>44643</v>
      </c>
      <c r="B19">
        <v>-17.52</v>
      </c>
      <c r="C19" t="s">
        <v>385</v>
      </c>
      <c r="D19" t="s">
        <v>388</v>
      </c>
      <c r="E19" t="s">
        <v>8</v>
      </c>
      <c r="F19" t="str">
        <f>VLOOKUP(E19, 'POS Categories'!$A$1:$B$1999, 2, FALSE)</f>
        <v>Food</v>
      </c>
    </row>
    <row r="20" spans="1:6" x14ac:dyDescent="0.25">
      <c r="A20">
        <v>44642</v>
      </c>
      <c r="B20">
        <v>-9.64</v>
      </c>
      <c r="C20" t="s">
        <v>385</v>
      </c>
      <c r="D20" t="s">
        <v>388</v>
      </c>
      <c r="E20" t="s">
        <v>240</v>
      </c>
      <c r="F20" t="str">
        <f>VLOOKUP(E20, 'POS Categories'!$A$1:$B$1999, 2, FALSE)</f>
        <v>Food</v>
      </c>
    </row>
    <row r="21" spans="1:6" x14ac:dyDescent="0.25">
      <c r="A21">
        <v>44642</v>
      </c>
      <c r="B21">
        <v>-6.61</v>
      </c>
      <c r="C21" t="s">
        <v>385</v>
      </c>
      <c r="D21" t="s">
        <v>388</v>
      </c>
      <c r="E21" t="s">
        <v>34</v>
      </c>
      <c r="F21" t="str">
        <f>VLOOKUP(E21, 'POS Categories'!$A$1:$B$1999, 2, FALSE)</f>
        <v>Food</v>
      </c>
    </row>
    <row r="22" spans="1:6" x14ac:dyDescent="0.25">
      <c r="A22">
        <v>44641</v>
      </c>
      <c r="B22">
        <v>-14.41</v>
      </c>
      <c r="C22" t="s">
        <v>385</v>
      </c>
      <c r="D22" t="s">
        <v>388</v>
      </c>
      <c r="E22" t="s">
        <v>174</v>
      </c>
      <c r="F22" t="str">
        <f>VLOOKUP(E22, 'POS Categories'!$A$1:$B$1999, 2, FALSE)</f>
        <v>Food</v>
      </c>
    </row>
    <row r="23" spans="1:6" x14ac:dyDescent="0.25">
      <c r="A23">
        <v>44641</v>
      </c>
      <c r="B23">
        <v>-14.96</v>
      </c>
      <c r="C23" t="s">
        <v>385</v>
      </c>
      <c r="D23" t="s">
        <v>388</v>
      </c>
      <c r="E23" t="s">
        <v>284</v>
      </c>
      <c r="F23" t="str">
        <f>VLOOKUP(E23, 'POS Categories'!$A$1:$B$1999, 2, FALSE)</f>
        <v>Food</v>
      </c>
    </row>
    <row r="24" spans="1:6" x14ac:dyDescent="0.25">
      <c r="A24">
        <v>44639</v>
      </c>
      <c r="B24">
        <v>-84</v>
      </c>
      <c r="C24" t="s">
        <v>385</v>
      </c>
      <c r="D24" t="s">
        <v>388</v>
      </c>
      <c r="E24" t="s">
        <v>1194</v>
      </c>
      <c r="F24" t="str">
        <f>VLOOKUP(E24, 'POS Categories'!$A$1:$B$1999, 2, FALSE)</f>
        <v>Sports</v>
      </c>
    </row>
    <row r="25" spans="1:6" x14ac:dyDescent="0.25">
      <c r="A25">
        <v>44639</v>
      </c>
      <c r="B25">
        <v>-31.46</v>
      </c>
      <c r="C25" t="s">
        <v>385</v>
      </c>
      <c r="D25" t="s">
        <v>388</v>
      </c>
      <c r="E25" t="s">
        <v>266</v>
      </c>
      <c r="F25" t="str">
        <f>VLOOKUP(E25, 'POS Categories'!$A$1:$B$1999, 2, FALSE)</f>
        <v>Food</v>
      </c>
    </row>
    <row r="26" spans="1:6" x14ac:dyDescent="0.25">
      <c r="A26">
        <v>44639</v>
      </c>
      <c r="B26">
        <v>-24.05</v>
      </c>
      <c r="C26" t="s">
        <v>385</v>
      </c>
      <c r="D26" t="s">
        <v>388</v>
      </c>
      <c r="E26" t="s">
        <v>8</v>
      </c>
      <c r="F26" t="str">
        <f>VLOOKUP(E26, 'POS Categories'!$A$1:$B$1999, 2, FALSE)</f>
        <v>Food</v>
      </c>
    </row>
    <row r="27" spans="1:6" x14ac:dyDescent="0.25">
      <c r="A27">
        <v>44638</v>
      </c>
      <c r="B27">
        <v>-6.6</v>
      </c>
      <c r="C27" t="s">
        <v>385</v>
      </c>
      <c r="D27" t="s">
        <v>388</v>
      </c>
      <c r="E27" t="s">
        <v>241</v>
      </c>
      <c r="F27" t="str">
        <f>VLOOKUP(E27, 'POS Categories'!$A$1:$B$1999, 2, FALSE)</f>
        <v>Food</v>
      </c>
    </row>
    <row r="28" spans="1:6" x14ac:dyDescent="0.25">
      <c r="A28">
        <v>44637</v>
      </c>
      <c r="B28">
        <v>-65.92</v>
      </c>
      <c r="C28" t="s">
        <v>385</v>
      </c>
      <c r="D28" t="s">
        <v>388</v>
      </c>
      <c r="E28" t="s">
        <v>1195</v>
      </c>
      <c r="F28" t="str">
        <f>VLOOKUP(E28, 'POS Categories'!$A$1:$B$1999, 2, FALSE)</f>
        <v>Entertainment</v>
      </c>
    </row>
    <row r="29" spans="1:6" x14ac:dyDescent="0.25">
      <c r="A29">
        <v>44637</v>
      </c>
      <c r="B29">
        <v>-6.61</v>
      </c>
      <c r="C29" t="s">
        <v>385</v>
      </c>
      <c r="D29" t="s">
        <v>388</v>
      </c>
      <c r="E29" t="s">
        <v>34</v>
      </c>
      <c r="F29" t="str">
        <f>VLOOKUP(E29, 'POS Categories'!$A$1:$B$1999, 2, FALSE)</f>
        <v>Food</v>
      </c>
    </row>
    <row r="30" spans="1:6" x14ac:dyDescent="0.25">
      <c r="A30">
        <v>44635</v>
      </c>
      <c r="B30">
        <v>-6.11</v>
      </c>
      <c r="C30" t="s">
        <v>385</v>
      </c>
      <c r="D30" t="s">
        <v>388</v>
      </c>
      <c r="E30" t="s">
        <v>171</v>
      </c>
      <c r="F30" t="str">
        <f>VLOOKUP(E30, 'POS Categories'!$A$1:$B$1999, 2, FALSE)</f>
        <v>Food</v>
      </c>
    </row>
    <row r="31" spans="1:6" x14ac:dyDescent="0.25">
      <c r="A31">
        <v>44635</v>
      </c>
      <c r="B31">
        <v>-7.75</v>
      </c>
      <c r="C31" t="s">
        <v>385</v>
      </c>
      <c r="D31" t="s">
        <v>388</v>
      </c>
      <c r="E31" t="s">
        <v>408</v>
      </c>
      <c r="F31" t="str">
        <f>VLOOKUP(E31, 'POS Categories'!$A$1:$B$1999, 2, FALSE)</f>
        <v>Food</v>
      </c>
    </row>
    <row r="32" spans="1:6" x14ac:dyDescent="0.25">
      <c r="A32">
        <v>44634</v>
      </c>
      <c r="B32">
        <v>-12.64</v>
      </c>
      <c r="C32" t="s">
        <v>385</v>
      </c>
      <c r="D32" t="s">
        <v>388</v>
      </c>
      <c r="E32" t="s">
        <v>8</v>
      </c>
      <c r="F32" t="str">
        <f>VLOOKUP(E32, 'POS Categories'!$A$1:$B$1999, 2, FALSE)</f>
        <v>Food</v>
      </c>
    </row>
    <row r="33" spans="1:6" x14ac:dyDescent="0.25">
      <c r="A33">
        <v>44634</v>
      </c>
      <c r="B33">
        <v>-11.09</v>
      </c>
      <c r="C33" t="s">
        <v>385</v>
      </c>
      <c r="D33" t="s">
        <v>388</v>
      </c>
      <c r="E33" t="s">
        <v>240</v>
      </c>
      <c r="F33" t="str">
        <f>VLOOKUP(E33, 'POS Categories'!$A$1:$B$1999, 2, FALSE)</f>
        <v>Food</v>
      </c>
    </row>
    <row r="34" spans="1:6" x14ac:dyDescent="0.25">
      <c r="A34">
        <v>44634</v>
      </c>
      <c r="B34">
        <v>-6.61</v>
      </c>
      <c r="C34" t="s">
        <v>385</v>
      </c>
      <c r="D34" t="s">
        <v>388</v>
      </c>
      <c r="E34" t="s">
        <v>34</v>
      </c>
      <c r="F34" t="str">
        <f>VLOOKUP(E34, 'POS Categories'!$A$1:$B$1999, 2, FALSE)</f>
        <v>Food</v>
      </c>
    </row>
    <row r="35" spans="1:6" x14ac:dyDescent="0.25">
      <c r="A35">
        <v>44632</v>
      </c>
      <c r="B35">
        <v>-5.38</v>
      </c>
      <c r="C35" t="s">
        <v>385</v>
      </c>
      <c r="D35" t="s">
        <v>388</v>
      </c>
      <c r="E35" t="s">
        <v>183</v>
      </c>
      <c r="F35" t="str">
        <f>VLOOKUP(E35, 'POS Categories'!$A$1:$B$1999, 2, FALSE)</f>
        <v>Food</v>
      </c>
    </row>
    <row r="36" spans="1:6" x14ac:dyDescent="0.25">
      <c r="A36">
        <v>44632</v>
      </c>
      <c r="B36">
        <v>-10.87</v>
      </c>
      <c r="C36" t="s">
        <v>385</v>
      </c>
      <c r="D36" t="s">
        <v>388</v>
      </c>
      <c r="E36" t="s">
        <v>149</v>
      </c>
      <c r="F36" t="str">
        <f>VLOOKUP(E36, 'POS Categories'!$A$1:$B$1999, 2, FALSE)</f>
        <v>Food</v>
      </c>
    </row>
    <row r="37" spans="1:6" x14ac:dyDescent="0.25">
      <c r="A37">
        <v>44632</v>
      </c>
      <c r="B37">
        <v>-12.16</v>
      </c>
      <c r="C37" t="s">
        <v>385</v>
      </c>
      <c r="D37" t="s">
        <v>388</v>
      </c>
      <c r="E37" t="s">
        <v>408</v>
      </c>
      <c r="F37" t="str">
        <f>VLOOKUP(E37, 'POS Categories'!$A$1:$B$1999, 2, FALSE)</f>
        <v>Food</v>
      </c>
    </row>
    <row r="38" spans="1:6" x14ac:dyDescent="0.25">
      <c r="A38">
        <v>44631</v>
      </c>
      <c r="B38">
        <v>-21.21</v>
      </c>
      <c r="C38" t="s">
        <v>385</v>
      </c>
      <c r="D38" t="s">
        <v>388</v>
      </c>
      <c r="E38" t="s">
        <v>142</v>
      </c>
      <c r="F38" t="str">
        <f>VLOOKUP(E38, 'POS Categories'!$A$1:$B$1999, 2, FALSE)</f>
        <v>Food</v>
      </c>
    </row>
    <row r="39" spans="1:6" x14ac:dyDescent="0.25">
      <c r="A39">
        <v>44631</v>
      </c>
      <c r="B39">
        <v>-9.31</v>
      </c>
      <c r="C39" t="s">
        <v>385</v>
      </c>
      <c r="D39" t="s">
        <v>388</v>
      </c>
      <c r="E39" t="s">
        <v>171</v>
      </c>
      <c r="F39" t="str">
        <f>VLOOKUP(E39, 'POS Categories'!$A$1:$B$1999, 2, FALSE)</f>
        <v>Food</v>
      </c>
    </row>
    <row r="40" spans="1:6" x14ac:dyDescent="0.25">
      <c r="A40">
        <v>44631</v>
      </c>
      <c r="B40">
        <v>-5.5</v>
      </c>
      <c r="C40" t="s">
        <v>385</v>
      </c>
      <c r="D40" t="s">
        <v>388</v>
      </c>
      <c r="E40" t="s">
        <v>34</v>
      </c>
      <c r="F40" t="str">
        <f>VLOOKUP(E40, 'POS Categories'!$A$1:$B$1999, 2, FALSE)</f>
        <v>Food</v>
      </c>
    </row>
    <row r="41" spans="1:6" x14ac:dyDescent="0.25">
      <c r="A41">
        <v>44631</v>
      </c>
      <c r="B41">
        <v>1817.2</v>
      </c>
      <c r="C41" t="s">
        <v>385</v>
      </c>
      <c r="D41" t="s">
        <v>386</v>
      </c>
      <c r="E41" t="s">
        <v>1193</v>
      </c>
      <c r="F41" t="s">
        <v>1</v>
      </c>
    </row>
    <row r="42" spans="1:6" x14ac:dyDescent="0.25">
      <c r="A42">
        <v>44630</v>
      </c>
      <c r="B42">
        <v>-13.43</v>
      </c>
      <c r="C42" t="s">
        <v>385</v>
      </c>
      <c r="D42" t="s">
        <v>388</v>
      </c>
      <c r="E42" t="s">
        <v>1196</v>
      </c>
      <c r="F42" t="str">
        <f>VLOOKUP(E42, 'POS Categories'!$A$1:$B$1999, 2, FALSE)</f>
        <v>Food</v>
      </c>
    </row>
    <row r="43" spans="1:6" x14ac:dyDescent="0.25">
      <c r="A43">
        <v>44630</v>
      </c>
      <c r="B43">
        <v>-7.75</v>
      </c>
      <c r="C43" t="s">
        <v>385</v>
      </c>
      <c r="D43" t="s">
        <v>388</v>
      </c>
      <c r="E43" t="s">
        <v>408</v>
      </c>
      <c r="F43" t="str">
        <f>VLOOKUP(E43, 'POS Categories'!$A$1:$B$1999, 2, FALSE)</f>
        <v>Food</v>
      </c>
    </row>
    <row r="44" spans="1:6" x14ac:dyDescent="0.25">
      <c r="A44">
        <v>44629</v>
      </c>
      <c r="B44">
        <v>-11.98</v>
      </c>
      <c r="C44" t="s">
        <v>385</v>
      </c>
      <c r="D44" t="s">
        <v>388</v>
      </c>
      <c r="E44" t="s">
        <v>8</v>
      </c>
      <c r="F44" t="str">
        <f>VLOOKUP(E44, 'POS Categories'!$A$1:$B$1999, 2, FALSE)</f>
        <v>Food</v>
      </c>
    </row>
    <row r="45" spans="1:6" x14ac:dyDescent="0.25">
      <c r="A45">
        <v>44628</v>
      </c>
      <c r="B45">
        <v>-15.31</v>
      </c>
      <c r="C45" t="s">
        <v>385</v>
      </c>
      <c r="D45" t="s">
        <v>388</v>
      </c>
      <c r="E45" t="s">
        <v>171</v>
      </c>
      <c r="F45" t="str">
        <f>VLOOKUP(E45, 'POS Categories'!$A$1:$B$1999, 2, FALSE)</f>
        <v>Food</v>
      </c>
    </row>
    <row r="46" spans="1:6" x14ac:dyDescent="0.25">
      <c r="A46">
        <v>44628</v>
      </c>
      <c r="B46">
        <v>-13.13</v>
      </c>
      <c r="C46" t="s">
        <v>385</v>
      </c>
      <c r="D46" t="s">
        <v>388</v>
      </c>
      <c r="E46" t="s">
        <v>174</v>
      </c>
      <c r="F46" t="str">
        <f>VLOOKUP(E46, 'POS Categories'!$A$1:$B$1999, 2, FALSE)</f>
        <v>Food</v>
      </c>
    </row>
    <row r="47" spans="1:6" x14ac:dyDescent="0.25">
      <c r="A47">
        <v>44628</v>
      </c>
      <c r="B47">
        <v>199.77</v>
      </c>
      <c r="C47" t="s">
        <v>385</v>
      </c>
      <c r="D47" t="s">
        <v>467</v>
      </c>
      <c r="E47" t="s">
        <v>637</v>
      </c>
      <c r="F47" t="str">
        <f>VLOOKUP(E47, 'POS Categories'!$A$1:$B$1999, 2, FALSE)</f>
        <v>Misc</v>
      </c>
    </row>
    <row r="48" spans="1:6" x14ac:dyDescent="0.25">
      <c r="A48">
        <v>44628</v>
      </c>
      <c r="B48">
        <v>-38.840000000000003</v>
      </c>
      <c r="C48" t="s">
        <v>385</v>
      </c>
      <c r="D48" t="s">
        <v>388</v>
      </c>
      <c r="E48" t="s">
        <v>213</v>
      </c>
      <c r="F48" t="str">
        <f>VLOOKUP(E48, 'POS Categories'!$A$1:$B$1999, 2, FALSE)</f>
        <v>Entertainment</v>
      </c>
    </row>
    <row r="49" spans="1:6" x14ac:dyDescent="0.25">
      <c r="A49">
        <v>44627</v>
      </c>
      <c r="B49">
        <v>-18.46</v>
      </c>
      <c r="C49" t="s">
        <v>385</v>
      </c>
      <c r="D49" t="s">
        <v>388</v>
      </c>
      <c r="E49" t="s">
        <v>142</v>
      </c>
      <c r="F49" t="str">
        <f>VLOOKUP(E49, 'POS Categories'!$A$1:$B$1999, 2, FALSE)</f>
        <v>Food</v>
      </c>
    </row>
    <row r="50" spans="1:6" x14ac:dyDescent="0.25">
      <c r="A50">
        <v>44627</v>
      </c>
      <c r="B50">
        <v>-14.95</v>
      </c>
      <c r="C50" t="s">
        <v>385</v>
      </c>
      <c r="D50" t="s">
        <v>388</v>
      </c>
      <c r="E50" t="s">
        <v>185</v>
      </c>
      <c r="F50" t="str">
        <f>VLOOKUP(E50, 'POS Categories'!$A$1:$B$1999, 2, FALSE)</f>
        <v>Food</v>
      </c>
    </row>
    <row r="51" spans="1:6" x14ac:dyDescent="0.25">
      <c r="A51">
        <v>44627</v>
      </c>
      <c r="B51">
        <v>-2079.8000000000002</v>
      </c>
      <c r="C51" t="s">
        <v>385</v>
      </c>
      <c r="D51" t="s">
        <v>435</v>
      </c>
      <c r="E51" t="s">
        <v>1197</v>
      </c>
      <c r="F51" t="str">
        <f>VLOOKUP(E51, 'POS Categories'!$A$1:$B$1999, 2, FALSE)</f>
        <v>Bills</v>
      </c>
    </row>
    <row r="52" spans="1:6" x14ac:dyDescent="0.25">
      <c r="A52">
        <v>44627</v>
      </c>
      <c r="B52">
        <v>-8.8699999999999992</v>
      </c>
      <c r="C52" t="s">
        <v>385</v>
      </c>
      <c r="D52" t="s">
        <v>388</v>
      </c>
      <c r="E52" t="s">
        <v>8</v>
      </c>
      <c r="F52" t="str">
        <f>VLOOKUP(E52, 'POS Categories'!$A$1:$B$1999, 2, FALSE)</f>
        <v>Food</v>
      </c>
    </row>
    <row r="53" spans="1:6" x14ac:dyDescent="0.25">
      <c r="A53">
        <v>44627</v>
      </c>
      <c r="B53">
        <v>-6.61</v>
      </c>
      <c r="C53" t="s">
        <v>385</v>
      </c>
      <c r="D53" t="s">
        <v>388</v>
      </c>
      <c r="E53" t="s">
        <v>34</v>
      </c>
      <c r="F53" t="str">
        <f>VLOOKUP(E53, 'POS Categories'!$A$1:$B$1999, 2, FALSE)</f>
        <v>Food</v>
      </c>
    </row>
    <row r="54" spans="1:6" x14ac:dyDescent="0.25">
      <c r="A54">
        <v>44625</v>
      </c>
      <c r="B54">
        <v>-10.11</v>
      </c>
      <c r="C54" t="s">
        <v>385</v>
      </c>
      <c r="D54" t="s">
        <v>388</v>
      </c>
      <c r="E54" t="s">
        <v>22</v>
      </c>
      <c r="F54" t="str">
        <f>VLOOKUP(E54, 'POS Categories'!$A$1:$B$1999, 2, FALSE)</f>
        <v>Entertainment</v>
      </c>
    </row>
    <row r="55" spans="1:6" x14ac:dyDescent="0.25">
      <c r="A55">
        <v>44624</v>
      </c>
      <c r="B55">
        <v>-30.5</v>
      </c>
      <c r="C55" t="s">
        <v>385</v>
      </c>
      <c r="D55" t="s">
        <v>388</v>
      </c>
      <c r="E55" t="s">
        <v>313</v>
      </c>
      <c r="F55" t="str">
        <f>VLOOKUP(E55, 'POS Categories'!$A$1:$B$1999, 2, FALSE)</f>
        <v>Food</v>
      </c>
    </row>
    <row r="56" spans="1:6" x14ac:dyDescent="0.25">
      <c r="A56">
        <v>44623</v>
      </c>
      <c r="B56">
        <v>-3.92</v>
      </c>
      <c r="C56" t="s">
        <v>385</v>
      </c>
      <c r="D56" t="s">
        <v>388</v>
      </c>
      <c r="E56" t="s">
        <v>245</v>
      </c>
      <c r="F56" t="str">
        <f>VLOOKUP(E56, 'POS Categories'!$A$1:$B$1999, 2, FALSE)</f>
        <v>Food</v>
      </c>
    </row>
    <row r="57" spans="1:6" x14ac:dyDescent="0.25">
      <c r="A57">
        <v>44623</v>
      </c>
      <c r="B57">
        <v>-26.15</v>
      </c>
      <c r="C57" t="s">
        <v>385</v>
      </c>
      <c r="D57" t="s">
        <v>388</v>
      </c>
      <c r="E57" t="s">
        <v>246</v>
      </c>
      <c r="F57" t="str">
        <f>VLOOKUP(E57, 'POS Categories'!$A$1:$B$1999, 2, FALSE)</f>
        <v>Food</v>
      </c>
    </row>
    <row r="58" spans="1:6" x14ac:dyDescent="0.25">
      <c r="A58">
        <v>44623</v>
      </c>
      <c r="B58">
        <v>-13.31</v>
      </c>
      <c r="C58" t="s">
        <v>385</v>
      </c>
      <c r="D58" t="s">
        <v>388</v>
      </c>
      <c r="E58" t="s">
        <v>1198</v>
      </c>
      <c r="F58" t="str">
        <f>VLOOKUP(E58, 'POS Categories'!$A$1:$B$1999, 2, FALSE)</f>
        <v>Entertainment</v>
      </c>
    </row>
    <row r="59" spans="1:6" x14ac:dyDescent="0.25">
      <c r="A59">
        <v>44622</v>
      </c>
      <c r="B59">
        <v>-4.5599999999999996</v>
      </c>
      <c r="C59" t="s">
        <v>385</v>
      </c>
      <c r="D59" t="s">
        <v>388</v>
      </c>
      <c r="E59" t="s">
        <v>245</v>
      </c>
      <c r="F59" t="str">
        <f>VLOOKUP(E59, 'POS Categories'!$A$1:$B$1999, 2, FALSE)</f>
        <v>Food</v>
      </c>
    </row>
    <row r="60" spans="1:6" x14ac:dyDescent="0.25">
      <c r="A60">
        <v>44622</v>
      </c>
      <c r="B60">
        <v>-30.44</v>
      </c>
      <c r="C60" t="s">
        <v>385</v>
      </c>
      <c r="D60" t="s">
        <v>388</v>
      </c>
      <c r="E60" t="s">
        <v>246</v>
      </c>
      <c r="F60" t="str">
        <f>VLOOKUP(E60, 'POS Categories'!$A$1:$B$1999, 2, FALSE)</f>
        <v>Food</v>
      </c>
    </row>
    <row r="61" spans="1:6" x14ac:dyDescent="0.25">
      <c r="A61">
        <v>44621</v>
      </c>
      <c r="B61">
        <v>-1235</v>
      </c>
      <c r="C61" t="s">
        <v>385</v>
      </c>
      <c r="D61" t="s">
        <v>414</v>
      </c>
      <c r="E61" t="s">
        <v>206</v>
      </c>
      <c r="F61" t="str">
        <f>VLOOKUP(E61, 'POS Categories'!$A$1:$B$1999, 2, FALSE)</f>
        <v>Rent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3"/>
  <sheetViews>
    <sheetView workbookViewId="0"/>
  </sheetViews>
  <sheetFormatPr defaultRowHeight="15" x14ac:dyDescent="0.25"/>
  <cols>
    <col min="4" max="4" width="23.28515625" bestFit="1" customWidth="1"/>
    <col min="5" max="5" width="36.140625" bestFit="1" customWidth="1"/>
  </cols>
  <sheetData>
    <row r="1" spans="1:6" x14ac:dyDescent="0.25">
      <c r="A1">
        <v>44620</v>
      </c>
      <c r="B1">
        <v>-3.84</v>
      </c>
      <c r="C1" t="s">
        <v>385</v>
      </c>
      <c r="D1" t="s">
        <v>388</v>
      </c>
      <c r="E1" t="s">
        <v>463</v>
      </c>
      <c r="F1" t="str">
        <f>VLOOKUP(E1, 'POS Categories'!$A$1:$B$1999, 2, FALSE)</f>
        <v>Vehicle</v>
      </c>
    </row>
    <row r="2" spans="1:6" x14ac:dyDescent="0.25">
      <c r="A2">
        <v>44620</v>
      </c>
      <c r="B2">
        <v>-63.56</v>
      </c>
      <c r="C2" t="s">
        <v>385</v>
      </c>
      <c r="D2" t="s">
        <v>388</v>
      </c>
      <c r="E2" t="s">
        <v>463</v>
      </c>
      <c r="F2" t="str">
        <f>VLOOKUP(E2, 'POS Categories'!$A$1:$B$1999, 2, FALSE)</f>
        <v>Vehicle</v>
      </c>
    </row>
    <row r="3" spans="1:6" x14ac:dyDescent="0.25">
      <c r="A3">
        <v>44620</v>
      </c>
      <c r="B3">
        <v>-12.27</v>
      </c>
      <c r="C3" t="s">
        <v>385</v>
      </c>
      <c r="D3" t="s">
        <v>388</v>
      </c>
      <c r="E3" t="s">
        <v>1158</v>
      </c>
      <c r="F3" t="str">
        <f>VLOOKUP(E3, 'POS Categories'!$A$1:$B$1999, 2, FALSE)</f>
        <v>Personal</v>
      </c>
    </row>
    <row r="4" spans="1:6" x14ac:dyDescent="0.25">
      <c r="A4">
        <v>44620</v>
      </c>
      <c r="B4">
        <v>2101.25</v>
      </c>
      <c r="C4" t="s">
        <v>385</v>
      </c>
      <c r="D4" t="s">
        <v>386</v>
      </c>
      <c r="E4" t="s">
        <v>387</v>
      </c>
      <c r="F4" t="str">
        <f>VLOOKUP(E4, 'POS Categories'!$A$1:$B$1999, 2, FALSE)</f>
        <v>Job</v>
      </c>
    </row>
    <row r="5" spans="1:6" x14ac:dyDescent="0.25">
      <c r="A5">
        <v>44620</v>
      </c>
      <c r="B5">
        <v>-17.079999999999998</v>
      </c>
      <c r="C5" t="s">
        <v>385</v>
      </c>
      <c r="D5" t="s">
        <v>388</v>
      </c>
      <c r="E5" t="s">
        <v>142</v>
      </c>
      <c r="F5" t="str">
        <f>VLOOKUP(E5, 'POS Categories'!$A$1:$B$1999, 2, FALSE)</f>
        <v>Food</v>
      </c>
    </row>
    <row r="6" spans="1:6" x14ac:dyDescent="0.25">
      <c r="A6">
        <v>44620</v>
      </c>
      <c r="B6">
        <v>-12.59</v>
      </c>
      <c r="C6" t="s">
        <v>385</v>
      </c>
      <c r="D6" t="s">
        <v>388</v>
      </c>
      <c r="E6" t="s">
        <v>157</v>
      </c>
      <c r="F6" t="str">
        <f>VLOOKUP(E6, 'POS Categories'!$A$1:$B$1999, 2, FALSE)</f>
        <v>Personal</v>
      </c>
    </row>
    <row r="7" spans="1:6" x14ac:dyDescent="0.25">
      <c r="A7">
        <v>44618</v>
      </c>
      <c r="B7">
        <v>-6.9</v>
      </c>
      <c r="C7" t="s">
        <v>385</v>
      </c>
      <c r="D7" t="s">
        <v>388</v>
      </c>
      <c r="E7" t="s">
        <v>241</v>
      </c>
      <c r="F7" t="str">
        <f>VLOOKUP(E7, 'POS Categories'!$A$1:$B$1999, 2, FALSE)</f>
        <v>Food</v>
      </c>
    </row>
    <row r="8" spans="1:6" x14ac:dyDescent="0.25">
      <c r="A8">
        <v>44618</v>
      </c>
      <c r="B8">
        <v>-8.34</v>
      </c>
      <c r="C8" t="s">
        <v>385</v>
      </c>
      <c r="D8" t="s">
        <v>435</v>
      </c>
      <c r="E8" t="s">
        <v>177</v>
      </c>
      <c r="F8" t="str">
        <f>VLOOKUP(E8, 'POS Categories'!$A$1:$B$1999, 2, FALSE)</f>
        <v>Power</v>
      </c>
    </row>
    <row r="9" spans="1:6" x14ac:dyDescent="0.25">
      <c r="A9">
        <v>44615</v>
      </c>
      <c r="B9">
        <v>-44.69</v>
      </c>
      <c r="C9" t="s">
        <v>385</v>
      </c>
      <c r="D9" t="s">
        <v>388</v>
      </c>
      <c r="E9" t="s">
        <v>33</v>
      </c>
      <c r="F9" t="str">
        <f>VLOOKUP(E9, 'POS Categories'!$A$1:$B$1999, 2, FALSE)</f>
        <v>Food</v>
      </c>
    </row>
    <row r="10" spans="1:6" x14ac:dyDescent="0.25">
      <c r="A10">
        <v>44615</v>
      </c>
      <c r="B10">
        <v>-13.13</v>
      </c>
      <c r="C10" t="s">
        <v>385</v>
      </c>
      <c r="D10" t="s">
        <v>388</v>
      </c>
      <c r="E10" t="s">
        <v>174</v>
      </c>
      <c r="F10" t="str">
        <f>VLOOKUP(E10, 'POS Categories'!$A$1:$B$1999, 2, FALSE)</f>
        <v>Food</v>
      </c>
    </row>
    <row r="11" spans="1:6" x14ac:dyDescent="0.25">
      <c r="A11">
        <v>44614</v>
      </c>
      <c r="B11">
        <v>-33.82</v>
      </c>
      <c r="C11" t="s">
        <v>385</v>
      </c>
      <c r="D11" t="s">
        <v>388</v>
      </c>
      <c r="E11" t="s">
        <v>213</v>
      </c>
      <c r="F11" t="str">
        <f>VLOOKUP(E11, 'POS Categories'!$A$1:$B$1999, 2, FALSE)</f>
        <v>Entertainment</v>
      </c>
    </row>
    <row r="12" spans="1:6" x14ac:dyDescent="0.25">
      <c r="A12">
        <v>44614</v>
      </c>
      <c r="B12">
        <v>-22.55</v>
      </c>
      <c r="C12" t="s">
        <v>385</v>
      </c>
      <c r="D12" t="s">
        <v>388</v>
      </c>
      <c r="E12" t="s">
        <v>284</v>
      </c>
      <c r="F12" t="str">
        <f>VLOOKUP(E12, 'POS Categories'!$A$1:$B$1999, 2, FALSE)</f>
        <v>Food</v>
      </c>
    </row>
    <row r="13" spans="1:6" x14ac:dyDescent="0.25">
      <c r="A13">
        <v>44613</v>
      </c>
      <c r="B13">
        <v>-99.87</v>
      </c>
      <c r="C13" t="s">
        <v>385</v>
      </c>
      <c r="D13" t="s">
        <v>388</v>
      </c>
      <c r="E13" t="s">
        <v>40</v>
      </c>
      <c r="F13" t="str">
        <f>VLOOKUP(E13, 'POS Categories'!$A$1:$B$1999, 2, FALSE)</f>
        <v>Entertainment</v>
      </c>
    </row>
    <row r="14" spans="1:6" x14ac:dyDescent="0.25">
      <c r="A14">
        <v>44613</v>
      </c>
      <c r="B14">
        <v>-33.08</v>
      </c>
      <c r="C14" t="s">
        <v>385</v>
      </c>
      <c r="D14" t="s">
        <v>388</v>
      </c>
      <c r="E14" t="s">
        <v>364</v>
      </c>
      <c r="F14" t="str">
        <f>VLOOKUP(E14, 'POS Categories'!$A$1:$B$1999, 2, FALSE)</f>
        <v>Food</v>
      </c>
    </row>
    <row r="15" spans="1:6" x14ac:dyDescent="0.25">
      <c r="A15">
        <v>44613</v>
      </c>
      <c r="B15">
        <v>-11.98</v>
      </c>
      <c r="C15" t="s">
        <v>385</v>
      </c>
      <c r="D15" t="s">
        <v>388</v>
      </c>
      <c r="E15" t="s">
        <v>8</v>
      </c>
      <c r="F15" t="str">
        <f>VLOOKUP(E15, 'POS Categories'!$A$1:$B$1999, 2, FALSE)</f>
        <v>Food</v>
      </c>
    </row>
    <row r="16" spans="1:6" x14ac:dyDescent="0.25">
      <c r="A16">
        <v>44613</v>
      </c>
      <c r="B16">
        <v>-5.5</v>
      </c>
      <c r="C16" t="s">
        <v>385</v>
      </c>
      <c r="D16" t="s">
        <v>388</v>
      </c>
      <c r="E16" t="s">
        <v>34</v>
      </c>
      <c r="F16" t="str">
        <f>VLOOKUP(E16, 'POS Categories'!$A$1:$B$1999, 2, FALSE)</f>
        <v>Food</v>
      </c>
    </row>
    <row r="17" spans="1:6" x14ac:dyDescent="0.25">
      <c r="A17">
        <v>44613</v>
      </c>
      <c r="B17">
        <v>-11.09</v>
      </c>
      <c r="C17" t="s">
        <v>385</v>
      </c>
      <c r="D17" t="s">
        <v>388</v>
      </c>
      <c r="E17" t="s">
        <v>8</v>
      </c>
      <c r="F17" t="str">
        <f>VLOOKUP(E17, 'POS Categories'!$A$1:$B$1999, 2, FALSE)</f>
        <v>Food</v>
      </c>
    </row>
    <row r="18" spans="1:6" x14ac:dyDescent="0.25">
      <c r="A18">
        <v>44611</v>
      </c>
      <c r="B18">
        <v>-11.76</v>
      </c>
      <c r="C18" t="s">
        <v>385</v>
      </c>
      <c r="D18" t="s">
        <v>388</v>
      </c>
      <c r="E18" t="s">
        <v>171</v>
      </c>
      <c r="F18" t="str">
        <f>VLOOKUP(E18, 'POS Categories'!$A$1:$B$1999, 2, FALSE)</f>
        <v>Food</v>
      </c>
    </row>
    <row r="19" spans="1:6" x14ac:dyDescent="0.25">
      <c r="A19">
        <v>44611</v>
      </c>
      <c r="B19">
        <v>-12.26</v>
      </c>
      <c r="C19" t="s">
        <v>385</v>
      </c>
      <c r="D19" t="s">
        <v>388</v>
      </c>
      <c r="E19" t="s">
        <v>408</v>
      </c>
      <c r="F19" t="str">
        <f>VLOOKUP(E19, 'POS Categories'!$A$1:$B$1999, 2, FALSE)</f>
        <v>Food</v>
      </c>
    </row>
    <row r="20" spans="1:6" x14ac:dyDescent="0.25">
      <c r="A20">
        <v>44610</v>
      </c>
      <c r="B20">
        <v>-3.76</v>
      </c>
      <c r="C20" t="s">
        <v>385</v>
      </c>
      <c r="D20" t="s">
        <v>388</v>
      </c>
      <c r="E20" t="s">
        <v>22</v>
      </c>
      <c r="F20" t="str">
        <f>VLOOKUP(E20, 'POS Categories'!$A$1:$B$1999, 2, FALSE)</f>
        <v>Entertainment</v>
      </c>
    </row>
    <row r="21" spans="1:6" x14ac:dyDescent="0.25">
      <c r="A21">
        <v>44610</v>
      </c>
      <c r="B21">
        <v>-12.2</v>
      </c>
      <c r="C21" t="s">
        <v>385</v>
      </c>
      <c r="D21" t="s">
        <v>388</v>
      </c>
      <c r="E21" t="s">
        <v>240</v>
      </c>
      <c r="F21" t="str">
        <f>VLOOKUP(E21, 'POS Categories'!$A$1:$B$1999, 2, FALSE)</f>
        <v>Food</v>
      </c>
    </row>
    <row r="22" spans="1:6" x14ac:dyDescent="0.25">
      <c r="A22">
        <v>44610</v>
      </c>
      <c r="B22">
        <v>-6.27</v>
      </c>
      <c r="C22" t="s">
        <v>385</v>
      </c>
      <c r="D22" t="s">
        <v>388</v>
      </c>
      <c r="E22" t="s">
        <v>34</v>
      </c>
      <c r="F22" t="str">
        <f>VLOOKUP(E22, 'POS Categories'!$A$1:$B$1999, 2, FALSE)</f>
        <v>Food</v>
      </c>
    </row>
    <row r="23" spans="1:6" x14ac:dyDescent="0.25">
      <c r="A23">
        <v>44609</v>
      </c>
      <c r="B23">
        <v>-16.07</v>
      </c>
      <c r="C23" t="s">
        <v>385</v>
      </c>
      <c r="D23" t="s">
        <v>388</v>
      </c>
      <c r="E23" t="s">
        <v>185</v>
      </c>
      <c r="F23" t="str">
        <f>VLOOKUP(E23, 'POS Categories'!$A$1:$B$1999, 2, FALSE)</f>
        <v>Food</v>
      </c>
    </row>
    <row r="24" spans="1:6" x14ac:dyDescent="0.25">
      <c r="A24">
        <v>44608</v>
      </c>
      <c r="B24">
        <v>-19.3</v>
      </c>
      <c r="C24" t="s">
        <v>385</v>
      </c>
      <c r="D24" t="s">
        <v>388</v>
      </c>
      <c r="E24" t="s">
        <v>142</v>
      </c>
      <c r="F24" t="str">
        <f>VLOOKUP(E24, 'POS Categories'!$A$1:$B$1999, 2, FALSE)</f>
        <v>Food</v>
      </c>
    </row>
    <row r="25" spans="1:6" x14ac:dyDescent="0.25">
      <c r="A25">
        <v>44608</v>
      </c>
      <c r="B25">
        <v>-46.39</v>
      </c>
      <c r="C25" t="s">
        <v>385</v>
      </c>
      <c r="D25" t="s">
        <v>388</v>
      </c>
      <c r="E25" t="s">
        <v>36</v>
      </c>
      <c r="F25" t="str">
        <f>VLOOKUP(E25, 'POS Categories'!$A$1:$B$1999, 2, FALSE)</f>
        <v>Food</v>
      </c>
    </row>
    <row r="26" spans="1:6" x14ac:dyDescent="0.25">
      <c r="A26">
        <v>44608</v>
      </c>
      <c r="B26">
        <v>-11.76</v>
      </c>
      <c r="C26" t="s">
        <v>385</v>
      </c>
      <c r="D26" t="s">
        <v>388</v>
      </c>
      <c r="E26" t="s">
        <v>171</v>
      </c>
      <c r="F26" t="str">
        <f>VLOOKUP(E26, 'POS Categories'!$A$1:$B$1999, 2, FALSE)</f>
        <v>Food</v>
      </c>
    </row>
    <row r="27" spans="1:6" x14ac:dyDescent="0.25">
      <c r="A27">
        <v>44607</v>
      </c>
      <c r="B27">
        <v>-12.64</v>
      </c>
      <c r="C27" t="s">
        <v>385</v>
      </c>
      <c r="D27" t="s">
        <v>388</v>
      </c>
      <c r="E27" t="s">
        <v>8</v>
      </c>
      <c r="F27" t="str">
        <f>VLOOKUP(E27, 'POS Categories'!$A$1:$B$1999, 2, FALSE)</f>
        <v>Food</v>
      </c>
    </row>
    <row r="28" spans="1:6" x14ac:dyDescent="0.25">
      <c r="A28">
        <v>44607</v>
      </c>
      <c r="B28">
        <v>-66.55</v>
      </c>
      <c r="C28" t="s">
        <v>385</v>
      </c>
      <c r="D28" t="s">
        <v>388</v>
      </c>
      <c r="E28" t="s">
        <v>175</v>
      </c>
      <c r="F28" t="str">
        <f>VLOOKUP(E28, 'POS Categories'!$A$1:$B$1999, 2, FALSE)</f>
        <v>Sasktel</v>
      </c>
    </row>
    <row r="29" spans="1:6" x14ac:dyDescent="0.25">
      <c r="A29">
        <v>44607</v>
      </c>
      <c r="B29">
        <v>2475</v>
      </c>
      <c r="C29" t="s">
        <v>385</v>
      </c>
      <c r="D29" t="s">
        <v>386</v>
      </c>
      <c r="E29" t="s">
        <v>387</v>
      </c>
      <c r="F29" t="str">
        <f>VLOOKUP(E29, 'POS Categories'!$A$1:$B$1999, 2, FALSE)</f>
        <v>Job</v>
      </c>
    </row>
    <row r="30" spans="1:6" x14ac:dyDescent="0.25">
      <c r="A30">
        <v>44606</v>
      </c>
      <c r="B30">
        <v>-51.89</v>
      </c>
      <c r="C30" t="s">
        <v>385</v>
      </c>
      <c r="D30" t="s">
        <v>388</v>
      </c>
      <c r="E30" t="s">
        <v>271</v>
      </c>
      <c r="F30" t="str">
        <f>VLOOKUP(E30, 'POS Categories'!$A$1:$B$1999, 2, FALSE)</f>
        <v>Food</v>
      </c>
    </row>
    <row r="31" spans="1:6" x14ac:dyDescent="0.25">
      <c r="A31">
        <v>44606</v>
      </c>
      <c r="B31">
        <v>-22.18</v>
      </c>
      <c r="C31" t="s">
        <v>385</v>
      </c>
      <c r="D31" t="s">
        <v>388</v>
      </c>
      <c r="E31" t="s">
        <v>149</v>
      </c>
      <c r="F31" t="str">
        <f>VLOOKUP(E31, 'POS Categories'!$A$1:$B$1999, 2, FALSE)</f>
        <v>Food</v>
      </c>
    </row>
    <row r="32" spans="1:6" x14ac:dyDescent="0.25">
      <c r="A32">
        <v>44604</v>
      </c>
      <c r="B32">
        <v>-60.37</v>
      </c>
      <c r="C32" t="s">
        <v>385</v>
      </c>
      <c r="D32" t="s">
        <v>388</v>
      </c>
      <c r="E32" t="s">
        <v>1159</v>
      </c>
      <c r="F32" t="str">
        <f>VLOOKUP(E32, 'POS Categories'!$A$1:$B$1999, 2, FALSE)</f>
        <v>Vehicle</v>
      </c>
    </row>
    <row r="33" spans="1:6" x14ac:dyDescent="0.25">
      <c r="A33">
        <v>44604</v>
      </c>
      <c r="B33">
        <v>-13.02</v>
      </c>
      <c r="C33" t="s">
        <v>385</v>
      </c>
      <c r="D33" t="s">
        <v>388</v>
      </c>
      <c r="E33" t="s">
        <v>183</v>
      </c>
      <c r="F33" t="str">
        <f>VLOOKUP(E33, 'POS Categories'!$A$1:$B$1999, 2, FALSE)</f>
        <v>Food</v>
      </c>
    </row>
    <row r="34" spans="1:6" x14ac:dyDescent="0.25">
      <c r="A34">
        <v>44604</v>
      </c>
      <c r="B34">
        <v>-62.6</v>
      </c>
      <c r="C34" t="s">
        <v>385</v>
      </c>
      <c r="D34" t="s">
        <v>388</v>
      </c>
      <c r="E34" t="s">
        <v>1160</v>
      </c>
      <c r="F34" t="str">
        <f>VLOOKUP(E34, 'POS Categories'!$A$1:$B$1999, 2, FALSE)</f>
        <v>Food</v>
      </c>
    </row>
    <row r="35" spans="1:6" x14ac:dyDescent="0.25">
      <c r="A35">
        <v>44603</v>
      </c>
      <c r="B35">
        <v>-18.29</v>
      </c>
      <c r="C35" t="s">
        <v>385</v>
      </c>
      <c r="D35" t="s">
        <v>388</v>
      </c>
      <c r="E35" t="s">
        <v>171</v>
      </c>
      <c r="F35" t="str">
        <f>VLOOKUP(E35, 'POS Categories'!$A$1:$B$1999, 2, FALSE)</f>
        <v>Food</v>
      </c>
    </row>
    <row r="36" spans="1:6" x14ac:dyDescent="0.25">
      <c r="A36">
        <v>44603</v>
      </c>
      <c r="B36">
        <v>-11.65</v>
      </c>
      <c r="C36" t="s">
        <v>385</v>
      </c>
      <c r="D36" t="s">
        <v>388</v>
      </c>
      <c r="E36" t="s">
        <v>185</v>
      </c>
      <c r="F36" t="str">
        <f>VLOOKUP(E36, 'POS Categories'!$A$1:$B$1999, 2, FALSE)</f>
        <v>Food</v>
      </c>
    </row>
    <row r="37" spans="1:6" x14ac:dyDescent="0.25">
      <c r="A37">
        <v>44602</v>
      </c>
      <c r="B37">
        <v>-4.46</v>
      </c>
      <c r="C37" t="s">
        <v>385</v>
      </c>
      <c r="D37" t="s">
        <v>388</v>
      </c>
      <c r="E37" t="s">
        <v>246</v>
      </c>
      <c r="F37" t="str">
        <f>VLOOKUP(E37, 'POS Categories'!$A$1:$B$1999, 2, FALSE)</f>
        <v>Food</v>
      </c>
    </row>
    <row r="38" spans="1:6" x14ac:dyDescent="0.25">
      <c r="A38">
        <v>44602</v>
      </c>
      <c r="B38">
        <v>-26.3</v>
      </c>
      <c r="C38" t="s">
        <v>385</v>
      </c>
      <c r="D38" t="s">
        <v>388</v>
      </c>
      <c r="E38" t="s">
        <v>378</v>
      </c>
      <c r="F38" t="str">
        <f>VLOOKUP(E38, 'POS Categories'!$A$1:$B$1999, 2, FALSE)</f>
        <v>Food</v>
      </c>
    </row>
    <row r="39" spans="1:6" x14ac:dyDescent="0.25">
      <c r="A39">
        <v>44602</v>
      </c>
      <c r="B39">
        <v>-12.64</v>
      </c>
      <c r="C39" t="s">
        <v>385</v>
      </c>
      <c r="D39" t="s">
        <v>388</v>
      </c>
      <c r="E39" t="s">
        <v>8</v>
      </c>
      <c r="F39" t="str">
        <f>VLOOKUP(E39, 'POS Categories'!$A$1:$B$1999, 2, FALSE)</f>
        <v>Food</v>
      </c>
    </row>
    <row r="40" spans="1:6" x14ac:dyDescent="0.25">
      <c r="A40">
        <v>44601</v>
      </c>
      <c r="B40">
        <v>-33.549999999999997</v>
      </c>
      <c r="C40" t="s">
        <v>385</v>
      </c>
      <c r="D40" t="s">
        <v>388</v>
      </c>
      <c r="E40" t="s">
        <v>142</v>
      </c>
      <c r="F40" t="str">
        <f>VLOOKUP(E40, 'POS Categories'!$A$1:$B$1999, 2, FALSE)</f>
        <v>Food</v>
      </c>
    </row>
    <row r="41" spans="1:6" x14ac:dyDescent="0.25">
      <c r="A41">
        <v>44601</v>
      </c>
      <c r="B41">
        <v>-8.27</v>
      </c>
      <c r="C41" t="s">
        <v>385</v>
      </c>
      <c r="D41" t="s">
        <v>388</v>
      </c>
      <c r="E41" t="s">
        <v>408</v>
      </c>
      <c r="F41" t="str">
        <f>VLOOKUP(E41, 'POS Categories'!$A$1:$B$1999, 2, FALSE)</f>
        <v>Food</v>
      </c>
    </row>
    <row r="42" spans="1:6" x14ac:dyDescent="0.25">
      <c r="A42">
        <v>44601</v>
      </c>
      <c r="B42">
        <v>-8.98</v>
      </c>
      <c r="C42" t="s">
        <v>385</v>
      </c>
      <c r="D42" t="s">
        <v>388</v>
      </c>
      <c r="E42" t="s">
        <v>213</v>
      </c>
      <c r="F42" t="str">
        <f>VLOOKUP(E42, 'POS Categories'!$A$1:$B$1999, 2, FALSE)</f>
        <v>Entertainment</v>
      </c>
    </row>
    <row r="43" spans="1:6" x14ac:dyDescent="0.25">
      <c r="A43">
        <v>44600</v>
      </c>
      <c r="B43">
        <v>-13.13</v>
      </c>
      <c r="C43" t="s">
        <v>385</v>
      </c>
      <c r="D43" t="s">
        <v>388</v>
      </c>
      <c r="E43" t="s">
        <v>174</v>
      </c>
      <c r="F43" t="str">
        <f>VLOOKUP(E43, 'POS Categories'!$A$1:$B$1999, 2, FALSE)</f>
        <v>Food</v>
      </c>
    </row>
    <row r="44" spans="1:6" x14ac:dyDescent="0.25">
      <c r="A44">
        <v>44599</v>
      </c>
      <c r="B44">
        <v>-4.95</v>
      </c>
      <c r="C44" t="s">
        <v>385</v>
      </c>
      <c r="D44" t="s">
        <v>388</v>
      </c>
      <c r="E44" t="s">
        <v>33</v>
      </c>
      <c r="F44" t="str">
        <f>VLOOKUP(E44, 'POS Categories'!$A$1:$B$1999, 2, FALSE)</f>
        <v>Food</v>
      </c>
    </row>
    <row r="45" spans="1:6" x14ac:dyDescent="0.25">
      <c r="A45">
        <v>44599</v>
      </c>
      <c r="B45">
        <v>-52.6</v>
      </c>
      <c r="C45" t="s">
        <v>385</v>
      </c>
      <c r="D45" t="s">
        <v>388</v>
      </c>
      <c r="E45" t="s">
        <v>411</v>
      </c>
      <c r="F45" t="str">
        <f>VLOOKUP(E45, 'POS Categories'!$A$1:$B$1999, 2, FALSE)</f>
        <v>Sasktel</v>
      </c>
    </row>
    <row r="46" spans="1:6" x14ac:dyDescent="0.25">
      <c r="A46">
        <v>44599</v>
      </c>
      <c r="B46">
        <v>-10.3</v>
      </c>
      <c r="C46" t="s">
        <v>385</v>
      </c>
      <c r="D46" t="s">
        <v>388</v>
      </c>
      <c r="E46" t="s">
        <v>33</v>
      </c>
      <c r="F46" t="str">
        <f>VLOOKUP(E46, 'POS Categories'!$A$1:$B$1999, 2, FALSE)</f>
        <v>Food</v>
      </c>
    </row>
    <row r="47" spans="1:6" x14ac:dyDescent="0.25">
      <c r="A47">
        <v>44599</v>
      </c>
      <c r="B47">
        <v>-27.77</v>
      </c>
      <c r="C47" t="s">
        <v>385</v>
      </c>
      <c r="D47" t="s">
        <v>388</v>
      </c>
      <c r="E47" t="s">
        <v>35</v>
      </c>
      <c r="F47" t="str">
        <f>VLOOKUP(E47, 'POS Categories'!$A$1:$B$1999, 2, FALSE)</f>
        <v>Personal</v>
      </c>
    </row>
    <row r="48" spans="1:6" x14ac:dyDescent="0.25">
      <c r="A48">
        <v>44599</v>
      </c>
      <c r="B48">
        <v>-11.09</v>
      </c>
      <c r="C48" t="s">
        <v>385</v>
      </c>
      <c r="D48" t="s">
        <v>388</v>
      </c>
      <c r="E48" t="s">
        <v>8</v>
      </c>
      <c r="F48" t="str">
        <f>VLOOKUP(E48, 'POS Categories'!$A$1:$B$1999, 2, FALSE)</f>
        <v>Food</v>
      </c>
    </row>
    <row r="49" spans="1:6" x14ac:dyDescent="0.25">
      <c r="A49">
        <v>44599</v>
      </c>
      <c r="B49">
        <v>-6.27</v>
      </c>
      <c r="C49" t="s">
        <v>385</v>
      </c>
      <c r="D49" t="s">
        <v>388</v>
      </c>
      <c r="E49" t="s">
        <v>34</v>
      </c>
      <c r="F49" t="str">
        <f>VLOOKUP(E49, 'POS Categories'!$A$1:$B$1999, 2, FALSE)</f>
        <v>Food</v>
      </c>
    </row>
    <row r="50" spans="1:6" x14ac:dyDescent="0.25">
      <c r="A50">
        <v>44597</v>
      </c>
      <c r="B50">
        <v>-38.96</v>
      </c>
      <c r="C50" t="s">
        <v>385</v>
      </c>
      <c r="D50" t="s">
        <v>388</v>
      </c>
      <c r="E50" t="s">
        <v>344</v>
      </c>
      <c r="F50" t="str">
        <f>VLOOKUP(E50, 'POS Categories'!$A$1:$B$1999, 2, FALSE)</f>
        <v>Food</v>
      </c>
    </row>
    <row r="51" spans="1:6" x14ac:dyDescent="0.25">
      <c r="A51">
        <v>44597</v>
      </c>
      <c r="B51">
        <v>-12.55</v>
      </c>
      <c r="C51" t="s">
        <v>385</v>
      </c>
      <c r="D51" t="s">
        <v>388</v>
      </c>
      <c r="E51" t="s">
        <v>34</v>
      </c>
      <c r="F51" t="str">
        <f>VLOOKUP(E51, 'POS Categories'!$A$1:$B$1999, 2, FALSE)</f>
        <v>Food</v>
      </c>
    </row>
    <row r="52" spans="1:6" x14ac:dyDescent="0.25">
      <c r="A52">
        <v>44596</v>
      </c>
      <c r="B52">
        <v>-32.590000000000003</v>
      </c>
      <c r="C52" t="s">
        <v>385</v>
      </c>
      <c r="D52" t="s">
        <v>388</v>
      </c>
      <c r="E52" t="s">
        <v>8</v>
      </c>
      <c r="F52" t="str">
        <f>VLOOKUP(E52, 'POS Categories'!$A$1:$B$1999, 2, FALSE)</f>
        <v>Food</v>
      </c>
    </row>
    <row r="53" spans="1:6" x14ac:dyDescent="0.25">
      <c r="A53">
        <v>44595</v>
      </c>
      <c r="B53">
        <v>-38.47</v>
      </c>
      <c r="C53" t="s">
        <v>385</v>
      </c>
      <c r="D53" t="s">
        <v>388</v>
      </c>
      <c r="E53" t="s">
        <v>376</v>
      </c>
      <c r="F53" t="str">
        <f>VLOOKUP(E53, 'POS Categories'!$A$1:$B$1999, 2, FALSE)</f>
        <v>Food</v>
      </c>
    </row>
    <row r="54" spans="1:6" x14ac:dyDescent="0.25">
      <c r="A54">
        <v>44595</v>
      </c>
      <c r="B54">
        <v>-35.03</v>
      </c>
      <c r="C54" t="s">
        <v>385</v>
      </c>
      <c r="D54" t="s">
        <v>388</v>
      </c>
      <c r="E54" t="s">
        <v>8</v>
      </c>
      <c r="F54" t="str">
        <f>VLOOKUP(E54, 'POS Categories'!$A$1:$B$1999, 2, FALSE)</f>
        <v>Food</v>
      </c>
    </row>
    <row r="55" spans="1:6" x14ac:dyDescent="0.25">
      <c r="A55">
        <v>44594</v>
      </c>
      <c r="B55">
        <v>198</v>
      </c>
      <c r="C55" t="s">
        <v>385</v>
      </c>
      <c r="D55" t="s">
        <v>467</v>
      </c>
      <c r="E55" t="s">
        <v>200</v>
      </c>
      <c r="F55" t="str">
        <f>VLOOKUP(E55, 'POS Categories'!$A$1:$B$1999, 2, FALSE)</f>
        <v>Bills</v>
      </c>
    </row>
    <row r="56" spans="1:6" x14ac:dyDescent="0.25">
      <c r="A56">
        <v>44594</v>
      </c>
      <c r="B56">
        <v>-275.3</v>
      </c>
      <c r="C56" t="s">
        <v>385</v>
      </c>
      <c r="D56" t="s">
        <v>388</v>
      </c>
      <c r="E56" t="s">
        <v>36</v>
      </c>
      <c r="F56" t="str">
        <f>VLOOKUP(E56, 'POS Categories'!$A$1:$B$1999, 2, FALSE)</f>
        <v>Food</v>
      </c>
    </row>
    <row r="57" spans="1:6" x14ac:dyDescent="0.25">
      <c r="A57">
        <v>44594</v>
      </c>
      <c r="B57">
        <v>-15.92</v>
      </c>
      <c r="C57" t="s">
        <v>385</v>
      </c>
      <c r="D57" t="s">
        <v>388</v>
      </c>
      <c r="E57" t="s">
        <v>174</v>
      </c>
      <c r="F57" t="str">
        <f>VLOOKUP(E57, 'POS Categories'!$A$1:$B$1999, 2, FALSE)</f>
        <v>Food</v>
      </c>
    </row>
    <row r="58" spans="1:6" x14ac:dyDescent="0.25">
      <c r="A58">
        <v>44594</v>
      </c>
      <c r="B58">
        <v>-14.16</v>
      </c>
      <c r="C58" t="s">
        <v>385</v>
      </c>
      <c r="D58" t="s">
        <v>388</v>
      </c>
      <c r="E58" t="s">
        <v>251</v>
      </c>
      <c r="F58" t="str">
        <f>VLOOKUP(E58, 'POS Categories'!$A$1:$B$1999, 2, FALSE)</f>
        <v>Bills</v>
      </c>
    </row>
    <row r="59" spans="1:6" x14ac:dyDescent="0.25">
      <c r="A59">
        <v>44593</v>
      </c>
      <c r="B59">
        <v>-1235</v>
      </c>
      <c r="C59" t="s">
        <v>385</v>
      </c>
      <c r="D59" t="s">
        <v>414</v>
      </c>
      <c r="E59" t="s">
        <v>206</v>
      </c>
      <c r="F59" t="str">
        <f>VLOOKUP(E59, 'POS Categories'!$A$1:$B$1999, 2, FALSE)</f>
        <v>Rent</v>
      </c>
    </row>
    <row r="60" spans="1:6" x14ac:dyDescent="0.25">
      <c r="A60">
        <v>44593</v>
      </c>
      <c r="B60">
        <v>-26.53</v>
      </c>
      <c r="C60" t="s">
        <v>385</v>
      </c>
      <c r="D60" t="s">
        <v>388</v>
      </c>
      <c r="E60" t="s">
        <v>142</v>
      </c>
      <c r="F60" t="str">
        <f>VLOOKUP(E60, 'POS Categories'!$A$1:$B$1999, 2, FALSE)</f>
        <v>Food</v>
      </c>
    </row>
    <row r="61" spans="1:6" x14ac:dyDescent="0.25">
      <c r="A61">
        <v>44593</v>
      </c>
      <c r="B61">
        <v>-35.5</v>
      </c>
      <c r="C61" t="s">
        <v>385</v>
      </c>
      <c r="D61" t="s">
        <v>466</v>
      </c>
      <c r="E61" t="s">
        <v>200</v>
      </c>
      <c r="F61" t="str">
        <f>VLOOKUP(E61, 'POS Categories'!$A$1:$B$1999, 2, FALSE)</f>
        <v>Bills</v>
      </c>
    </row>
    <row r="62" spans="1:6" x14ac:dyDescent="0.25">
      <c r="A62">
        <v>44593</v>
      </c>
      <c r="B62">
        <v>-6.27</v>
      </c>
      <c r="C62" t="s">
        <v>385</v>
      </c>
      <c r="D62" t="s">
        <v>388</v>
      </c>
      <c r="E62" t="s">
        <v>34</v>
      </c>
      <c r="F62" t="str">
        <f>VLOOKUP(E62, 'POS Categories'!$A$1:$B$1999, 2, FALSE)</f>
        <v>Food</v>
      </c>
    </row>
    <row r="63" spans="1:6" x14ac:dyDescent="0.25">
      <c r="A63">
        <v>44593</v>
      </c>
      <c r="B63">
        <v>-6.15</v>
      </c>
      <c r="C63" t="s">
        <v>385</v>
      </c>
      <c r="D63" t="s">
        <v>388</v>
      </c>
      <c r="E63" t="s">
        <v>185</v>
      </c>
      <c r="F63" t="str">
        <f>VLOOKUP(E63, 'POS Categories'!$A$1:$B$1999, 2, FALSE)</f>
        <v>Food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7"/>
  <sheetViews>
    <sheetView workbookViewId="0">
      <selection activeCell="J13" sqref="J13"/>
    </sheetView>
  </sheetViews>
  <sheetFormatPr defaultRowHeight="15" x14ac:dyDescent="0.25"/>
  <cols>
    <col min="4" max="4" width="23.28515625" bestFit="1" customWidth="1"/>
    <col min="5" max="5" width="36.140625" bestFit="1" customWidth="1"/>
  </cols>
  <sheetData>
    <row r="1" spans="1:6" x14ac:dyDescent="0.25">
      <c r="A1" t="s">
        <v>384</v>
      </c>
      <c r="B1">
        <v>5146.97</v>
      </c>
      <c r="C1" t="s">
        <v>385</v>
      </c>
      <c r="D1" t="s">
        <v>386</v>
      </c>
      <c r="E1" t="s">
        <v>387</v>
      </c>
      <c r="F1" t="str">
        <f>VLOOKUP(E1, '[1]POS Categories'!$A$1:$B$999, 2, FALSE)</f>
        <v>Job</v>
      </c>
    </row>
    <row r="2" spans="1:6" x14ac:dyDescent="0.25">
      <c r="A2" t="s">
        <v>384</v>
      </c>
      <c r="B2">
        <v>-25.95</v>
      </c>
      <c r="C2" t="s">
        <v>385</v>
      </c>
      <c r="D2" t="s">
        <v>388</v>
      </c>
      <c r="E2" t="s">
        <v>184</v>
      </c>
      <c r="F2" t="str">
        <f>VLOOKUP(E2, '[1]POS Categories'!$A$1:$B$999, 2, FALSE)</f>
        <v>Food</v>
      </c>
    </row>
    <row r="3" spans="1:6" x14ac:dyDescent="0.25">
      <c r="A3" t="s">
        <v>384</v>
      </c>
      <c r="B3">
        <v>-51.7</v>
      </c>
      <c r="C3" t="s">
        <v>385</v>
      </c>
      <c r="D3" t="s">
        <v>388</v>
      </c>
      <c r="E3" t="s">
        <v>236</v>
      </c>
      <c r="F3" t="str">
        <f>VLOOKUP(E3, '[1]POS Categories'!$A$1:$B$999, 2, FALSE)</f>
        <v>Food</v>
      </c>
    </row>
    <row r="4" spans="1:6" x14ac:dyDescent="0.25">
      <c r="A4" t="s">
        <v>389</v>
      </c>
      <c r="B4">
        <v>-19.09</v>
      </c>
      <c r="C4" t="s">
        <v>385</v>
      </c>
      <c r="D4" t="s">
        <v>388</v>
      </c>
      <c r="E4" t="s">
        <v>237</v>
      </c>
      <c r="F4" t="str">
        <f>VLOOKUP(E4, '[1]POS Categories'!$A$1:$B$999, 2, FALSE)</f>
        <v>Food</v>
      </c>
    </row>
    <row r="5" spans="1:6" x14ac:dyDescent="0.25">
      <c r="A5" t="s">
        <v>390</v>
      </c>
      <c r="B5">
        <v>-68.3</v>
      </c>
      <c r="C5" t="s">
        <v>385</v>
      </c>
      <c r="D5" t="s">
        <v>388</v>
      </c>
      <c r="E5" t="s">
        <v>238</v>
      </c>
      <c r="F5" t="str">
        <f>VLOOKUP(E5, '[1]POS Categories'!$A$1:$B$999, 2, FALSE)</f>
        <v>Food</v>
      </c>
    </row>
    <row r="6" spans="1:6" x14ac:dyDescent="0.25">
      <c r="A6" t="s">
        <v>390</v>
      </c>
      <c r="B6">
        <v>-15.85</v>
      </c>
      <c r="C6" t="s">
        <v>385</v>
      </c>
      <c r="D6" t="s">
        <v>388</v>
      </c>
      <c r="E6" t="s">
        <v>183</v>
      </c>
      <c r="F6" t="str">
        <f>VLOOKUP(E6, '[1]POS Categories'!$A$1:$B$999, 2, FALSE)</f>
        <v>Food</v>
      </c>
    </row>
    <row r="7" spans="1:6" x14ac:dyDescent="0.25">
      <c r="A7" t="s">
        <v>391</v>
      </c>
      <c r="B7">
        <v>-6.9</v>
      </c>
      <c r="C7" t="s">
        <v>385</v>
      </c>
      <c r="D7" t="s">
        <v>388</v>
      </c>
      <c r="E7" t="s">
        <v>239</v>
      </c>
      <c r="F7" t="str">
        <f>VLOOKUP(E7, '[1]POS Categories'!$A$1:$B$999, 2, FALSE)</f>
        <v>Entertainment</v>
      </c>
    </row>
    <row r="8" spans="1:6" x14ac:dyDescent="0.25">
      <c r="A8" t="s">
        <v>391</v>
      </c>
      <c r="B8">
        <v>-16.82</v>
      </c>
      <c r="C8" t="s">
        <v>385</v>
      </c>
      <c r="D8" t="s">
        <v>388</v>
      </c>
      <c r="E8" t="s">
        <v>174</v>
      </c>
      <c r="F8" t="str">
        <f>VLOOKUP(E8, '[1]POS Categories'!$A$1:$B$999, 2, FALSE)</f>
        <v>Food</v>
      </c>
    </row>
    <row r="9" spans="1:6" x14ac:dyDescent="0.25">
      <c r="A9" t="s">
        <v>392</v>
      </c>
      <c r="B9">
        <v>-35.03</v>
      </c>
      <c r="C9" t="s">
        <v>385</v>
      </c>
      <c r="D9" t="s">
        <v>388</v>
      </c>
      <c r="E9" t="s">
        <v>8</v>
      </c>
      <c r="F9" t="str">
        <f>VLOOKUP(E9, '[1]POS Categories'!$A$1:$B$999, 2, FALSE)</f>
        <v>Food</v>
      </c>
    </row>
    <row r="10" spans="1:6" x14ac:dyDescent="0.25">
      <c r="A10" t="s">
        <v>393</v>
      </c>
      <c r="B10">
        <v>-31.26</v>
      </c>
      <c r="C10" t="s">
        <v>385</v>
      </c>
      <c r="D10" t="s">
        <v>388</v>
      </c>
      <c r="E10" t="s">
        <v>149</v>
      </c>
      <c r="F10" t="str">
        <f>VLOOKUP(E10, '[1]POS Categories'!$A$1:$B$999, 2, FALSE)</f>
        <v>Food</v>
      </c>
    </row>
    <row r="11" spans="1:6" x14ac:dyDescent="0.25">
      <c r="A11" t="s">
        <v>394</v>
      </c>
      <c r="B11">
        <v>-22.31</v>
      </c>
      <c r="C11" t="s">
        <v>385</v>
      </c>
      <c r="D11" t="s">
        <v>388</v>
      </c>
      <c r="E11" t="s">
        <v>32</v>
      </c>
      <c r="F11" t="str">
        <f>VLOOKUP(E11, '[1]POS Categories'!$A$1:$B$999, 2, FALSE)</f>
        <v>Food</v>
      </c>
    </row>
    <row r="12" spans="1:6" x14ac:dyDescent="0.25">
      <c r="A12" t="s">
        <v>394</v>
      </c>
      <c r="B12">
        <v>-11.09</v>
      </c>
      <c r="C12" t="s">
        <v>385</v>
      </c>
      <c r="D12" t="s">
        <v>388</v>
      </c>
      <c r="E12" t="s">
        <v>240</v>
      </c>
      <c r="F12" t="str">
        <f>VLOOKUP(E12, '[1]POS Categories'!$A$1:$B$999, 2, FALSE)</f>
        <v>Food</v>
      </c>
    </row>
    <row r="13" spans="1:6" x14ac:dyDescent="0.25">
      <c r="A13" t="s">
        <v>394</v>
      </c>
      <c r="B13">
        <v>-6.27</v>
      </c>
      <c r="C13" t="s">
        <v>385</v>
      </c>
      <c r="D13" t="s">
        <v>388</v>
      </c>
      <c r="E13" t="s">
        <v>34</v>
      </c>
      <c r="F13" t="str">
        <f>VLOOKUP(E13, '[1]POS Categories'!$A$1:$B$999, 2, FALSE)</f>
        <v>Food</v>
      </c>
    </row>
    <row r="14" spans="1:6" x14ac:dyDescent="0.25">
      <c r="A14" t="s">
        <v>394</v>
      </c>
      <c r="B14">
        <v>-59.44</v>
      </c>
      <c r="C14" t="s">
        <v>385</v>
      </c>
      <c r="D14" t="s">
        <v>388</v>
      </c>
      <c r="E14" t="s">
        <v>395</v>
      </c>
      <c r="F14" t="str">
        <f>VLOOKUP(E14, '[1]POS Categories'!$A$1:$B$999, 2, FALSE)</f>
        <v>Vehicle</v>
      </c>
    </row>
    <row r="15" spans="1:6" x14ac:dyDescent="0.25">
      <c r="A15" t="s">
        <v>394</v>
      </c>
      <c r="B15">
        <v>-11.09</v>
      </c>
      <c r="C15" t="s">
        <v>385</v>
      </c>
      <c r="D15" t="s">
        <v>388</v>
      </c>
      <c r="E15" t="s">
        <v>173</v>
      </c>
      <c r="F15" t="str">
        <f>VLOOKUP(E15, '[1]POS Categories'!$A$1:$B$999, 2, FALSE)</f>
        <v>Entertainment</v>
      </c>
    </row>
    <row r="16" spans="1:6" x14ac:dyDescent="0.25">
      <c r="A16" t="s">
        <v>394</v>
      </c>
      <c r="B16">
        <v>-57.44</v>
      </c>
      <c r="C16" t="s">
        <v>385</v>
      </c>
      <c r="D16" t="s">
        <v>388</v>
      </c>
      <c r="E16" t="s">
        <v>236</v>
      </c>
      <c r="F16" t="str">
        <f>VLOOKUP(E16, '[1]POS Categories'!$A$1:$B$999, 2, FALSE)</f>
        <v>Food</v>
      </c>
    </row>
    <row r="17" spans="1:6" x14ac:dyDescent="0.25">
      <c r="A17" t="s">
        <v>396</v>
      </c>
      <c r="B17">
        <v>-13.8</v>
      </c>
      <c r="C17" t="s">
        <v>385</v>
      </c>
      <c r="D17" t="s">
        <v>388</v>
      </c>
      <c r="E17" t="s">
        <v>241</v>
      </c>
      <c r="F17" t="str">
        <f>VLOOKUP(E17, '[1]POS Categories'!$A$1:$B$999, 2, FALSE)</f>
        <v>Food</v>
      </c>
    </row>
    <row r="18" spans="1:6" x14ac:dyDescent="0.25">
      <c r="A18" t="s">
        <v>396</v>
      </c>
      <c r="B18">
        <v>-35.03</v>
      </c>
      <c r="C18" t="s">
        <v>385</v>
      </c>
      <c r="D18" t="s">
        <v>388</v>
      </c>
      <c r="E18" t="s">
        <v>8</v>
      </c>
      <c r="F18" t="str">
        <f>VLOOKUP(E18, '[1]POS Categories'!$A$1:$B$999, 2, FALSE)</f>
        <v>Food</v>
      </c>
    </row>
    <row r="19" spans="1:6" x14ac:dyDescent="0.25">
      <c r="A19" t="s">
        <v>397</v>
      </c>
      <c r="B19">
        <v>-25.29</v>
      </c>
      <c r="C19" t="s">
        <v>385</v>
      </c>
      <c r="D19" t="s">
        <v>388</v>
      </c>
      <c r="E19" t="s">
        <v>171</v>
      </c>
      <c r="F19" t="str">
        <f>VLOOKUP(E19, '[1]POS Categories'!$A$1:$B$999, 2, FALSE)</f>
        <v>Food</v>
      </c>
    </row>
    <row r="20" spans="1:6" x14ac:dyDescent="0.25">
      <c r="A20" t="s">
        <v>398</v>
      </c>
      <c r="B20">
        <v>-19.14</v>
      </c>
      <c r="C20" t="s">
        <v>385</v>
      </c>
      <c r="D20" t="s">
        <v>388</v>
      </c>
      <c r="E20" t="s">
        <v>174</v>
      </c>
      <c r="F20" t="str">
        <f>VLOOKUP(E20, '[1]POS Categories'!$A$1:$B$999, 2, FALSE)</f>
        <v>Food</v>
      </c>
    </row>
    <row r="21" spans="1:6" x14ac:dyDescent="0.25">
      <c r="A21" t="s">
        <v>398</v>
      </c>
      <c r="B21">
        <v>-58.42</v>
      </c>
      <c r="C21" t="s">
        <v>385</v>
      </c>
      <c r="D21" t="s">
        <v>388</v>
      </c>
      <c r="E21" t="s">
        <v>199</v>
      </c>
      <c r="F21" t="str">
        <f>VLOOKUP(E21, '[1]POS Categories'!$A$1:$B$999, 2, FALSE)</f>
        <v>Personal</v>
      </c>
    </row>
    <row r="22" spans="1:6" x14ac:dyDescent="0.25">
      <c r="A22" t="s">
        <v>399</v>
      </c>
      <c r="B22">
        <v>-31.72</v>
      </c>
      <c r="C22" t="s">
        <v>385</v>
      </c>
      <c r="D22" t="s">
        <v>388</v>
      </c>
      <c r="E22" t="s">
        <v>142</v>
      </c>
      <c r="F22" t="str">
        <f>VLOOKUP(E22, '[1]POS Categories'!$A$1:$B$999, 2, FALSE)</f>
        <v>Food</v>
      </c>
    </row>
    <row r="23" spans="1:6" x14ac:dyDescent="0.25">
      <c r="A23" t="s">
        <v>399</v>
      </c>
      <c r="B23">
        <v>-31.05</v>
      </c>
      <c r="C23" t="s">
        <v>385</v>
      </c>
      <c r="D23" t="s">
        <v>388</v>
      </c>
      <c r="E23" t="s">
        <v>242</v>
      </c>
      <c r="F23" t="str">
        <f>VLOOKUP(E23, '[1]POS Categories'!$A$1:$B$999, 2, FALSE)</f>
        <v>Food</v>
      </c>
    </row>
    <row r="24" spans="1:6" x14ac:dyDescent="0.25">
      <c r="A24" t="s">
        <v>399</v>
      </c>
      <c r="B24">
        <v>-31.93</v>
      </c>
      <c r="C24" t="s">
        <v>385</v>
      </c>
      <c r="D24" t="s">
        <v>388</v>
      </c>
      <c r="E24" t="s">
        <v>8</v>
      </c>
      <c r="F24" t="str">
        <f>VLOOKUP(E24, '[1]POS Categories'!$A$1:$B$999, 2, FALSE)</f>
        <v>Food</v>
      </c>
    </row>
    <row r="25" spans="1:6" x14ac:dyDescent="0.25">
      <c r="A25" t="s">
        <v>399</v>
      </c>
      <c r="B25">
        <v>-914.24</v>
      </c>
      <c r="C25" t="s">
        <v>385</v>
      </c>
      <c r="D25" t="s">
        <v>400</v>
      </c>
      <c r="E25" t="s">
        <v>401</v>
      </c>
      <c r="F25" t="str">
        <f>VLOOKUP(E25, '[1]POS Categories'!$A$1:$B$999, 2, FALSE)</f>
        <v>Misc</v>
      </c>
    </row>
    <row r="26" spans="1:6" x14ac:dyDescent="0.25">
      <c r="A26" t="s">
        <v>402</v>
      </c>
      <c r="B26">
        <v>-12.55</v>
      </c>
      <c r="C26" t="s">
        <v>385</v>
      </c>
      <c r="D26" t="s">
        <v>388</v>
      </c>
      <c r="E26" t="s">
        <v>34</v>
      </c>
      <c r="F26" t="str">
        <f>VLOOKUP(E26, '[1]POS Categories'!$A$1:$B$999, 2, FALSE)</f>
        <v>Food</v>
      </c>
    </row>
    <row r="27" spans="1:6" x14ac:dyDescent="0.25">
      <c r="A27" t="s">
        <v>402</v>
      </c>
      <c r="B27">
        <v>-21.96</v>
      </c>
      <c r="C27" t="s">
        <v>385</v>
      </c>
      <c r="D27" t="s">
        <v>388</v>
      </c>
      <c r="E27" t="s">
        <v>33</v>
      </c>
      <c r="F27" t="str">
        <f>VLOOKUP(E27, '[1]POS Categories'!$A$1:$B$999, 2, FALSE)</f>
        <v>Food</v>
      </c>
    </row>
    <row r="28" spans="1:6" x14ac:dyDescent="0.25">
      <c r="A28" t="s">
        <v>402</v>
      </c>
      <c r="B28">
        <v>-21.43</v>
      </c>
      <c r="C28" t="s">
        <v>385</v>
      </c>
      <c r="D28" t="s">
        <v>388</v>
      </c>
      <c r="E28" t="s">
        <v>243</v>
      </c>
      <c r="F28" t="str">
        <f>VLOOKUP(E28, '[1]POS Categories'!$A$1:$B$999, 2, FALSE)</f>
        <v>Food</v>
      </c>
    </row>
    <row r="29" spans="1:6" x14ac:dyDescent="0.25">
      <c r="A29" t="s">
        <v>403</v>
      </c>
      <c r="B29">
        <v>-33.479999999999997</v>
      </c>
      <c r="C29" t="s">
        <v>385</v>
      </c>
      <c r="D29" t="s">
        <v>388</v>
      </c>
      <c r="E29" t="s">
        <v>8</v>
      </c>
      <c r="F29" t="str">
        <f>VLOOKUP(E29, '[1]POS Categories'!$A$1:$B$999, 2, FALSE)</f>
        <v>Food</v>
      </c>
    </row>
    <row r="30" spans="1:6" x14ac:dyDescent="0.25">
      <c r="A30" t="s">
        <v>403</v>
      </c>
      <c r="B30">
        <v>-66.55</v>
      </c>
      <c r="C30" t="s">
        <v>385</v>
      </c>
      <c r="D30" t="s">
        <v>388</v>
      </c>
      <c r="E30" t="s">
        <v>175</v>
      </c>
      <c r="F30" t="str">
        <f>VLOOKUP(E30, '[1]POS Categories'!$A$1:$B$999, 2, FALSE)</f>
        <v>Sasktel</v>
      </c>
    </row>
    <row r="31" spans="1:6" x14ac:dyDescent="0.25">
      <c r="A31" t="s">
        <v>404</v>
      </c>
      <c r="B31">
        <v>-13.2</v>
      </c>
      <c r="C31" t="s">
        <v>385</v>
      </c>
      <c r="D31" t="s">
        <v>388</v>
      </c>
      <c r="E31" t="s">
        <v>241</v>
      </c>
      <c r="F31" t="str">
        <f>VLOOKUP(E31, '[1]POS Categories'!$A$1:$B$999, 2, FALSE)</f>
        <v>Food</v>
      </c>
    </row>
    <row r="32" spans="1:6" x14ac:dyDescent="0.25">
      <c r="A32" t="s">
        <v>404</v>
      </c>
      <c r="B32">
        <v>-13.13</v>
      </c>
      <c r="C32" t="s">
        <v>385</v>
      </c>
      <c r="D32" t="s">
        <v>388</v>
      </c>
      <c r="E32" t="s">
        <v>174</v>
      </c>
      <c r="F32" t="str">
        <f>VLOOKUP(E32, '[1]POS Categories'!$A$1:$B$999, 2, FALSE)</f>
        <v>Food</v>
      </c>
    </row>
    <row r="33" spans="1:6" x14ac:dyDescent="0.25">
      <c r="A33" t="s">
        <v>404</v>
      </c>
      <c r="B33">
        <v>2210.0500000000002</v>
      </c>
      <c r="C33" t="s">
        <v>385</v>
      </c>
      <c r="D33" t="s">
        <v>386</v>
      </c>
      <c r="E33" t="s">
        <v>387</v>
      </c>
      <c r="F33" t="str">
        <f>VLOOKUP(E33, '[1]POS Categories'!$A$1:$B$999, 2, FALSE)</f>
        <v>Job</v>
      </c>
    </row>
    <row r="34" spans="1:6" x14ac:dyDescent="0.25">
      <c r="A34" t="s">
        <v>405</v>
      </c>
      <c r="B34">
        <v>-27.74</v>
      </c>
      <c r="C34" t="s">
        <v>385</v>
      </c>
      <c r="D34" t="s">
        <v>388</v>
      </c>
      <c r="E34" t="s">
        <v>22</v>
      </c>
      <c r="F34" t="str">
        <f>VLOOKUP(E34, '[1]POS Categories'!$A$1:$B$999, 2, FALSE)</f>
        <v>Entertainment</v>
      </c>
    </row>
    <row r="35" spans="1:6" x14ac:dyDescent="0.25">
      <c r="A35" t="s">
        <v>405</v>
      </c>
      <c r="B35">
        <v>-105.45</v>
      </c>
      <c r="C35" t="s">
        <v>385</v>
      </c>
      <c r="D35" t="s">
        <v>388</v>
      </c>
      <c r="E35" t="s">
        <v>244</v>
      </c>
      <c r="F35" t="str">
        <f>VLOOKUP(E35, '[1]POS Categories'!$A$1:$B$999, 2, FALSE)</f>
        <v>Entertainment</v>
      </c>
    </row>
    <row r="36" spans="1:6" x14ac:dyDescent="0.25">
      <c r="A36" t="s">
        <v>406</v>
      </c>
      <c r="B36">
        <v>-4.87</v>
      </c>
      <c r="C36" t="s">
        <v>385</v>
      </c>
      <c r="D36" t="s">
        <v>388</v>
      </c>
      <c r="E36" t="s">
        <v>245</v>
      </c>
      <c r="F36" t="str">
        <f>VLOOKUP(E36, '[1]POS Categories'!$A$1:$B$999, 2, FALSE)</f>
        <v>Food</v>
      </c>
    </row>
    <row r="37" spans="1:6" x14ac:dyDescent="0.25">
      <c r="A37" t="s">
        <v>406</v>
      </c>
      <c r="B37">
        <v>-27.09</v>
      </c>
      <c r="C37" t="s">
        <v>385</v>
      </c>
      <c r="D37" t="s">
        <v>388</v>
      </c>
      <c r="E37" t="s">
        <v>246</v>
      </c>
      <c r="F37" t="str">
        <f>VLOOKUP(E37, '[1]POS Categories'!$A$1:$B$999, 2, FALSE)</f>
        <v>Food</v>
      </c>
    </row>
    <row r="38" spans="1:6" x14ac:dyDescent="0.25">
      <c r="A38" t="s">
        <v>406</v>
      </c>
      <c r="B38">
        <v>-124.12</v>
      </c>
      <c r="C38" t="s">
        <v>385</v>
      </c>
      <c r="D38" t="s">
        <v>388</v>
      </c>
      <c r="E38" t="s">
        <v>33</v>
      </c>
      <c r="F38" t="str">
        <f>VLOOKUP(E38, '[1]POS Categories'!$A$1:$B$999, 2, FALSE)</f>
        <v>Food</v>
      </c>
    </row>
    <row r="39" spans="1:6" x14ac:dyDescent="0.25">
      <c r="A39" t="s">
        <v>406</v>
      </c>
      <c r="B39">
        <v>-16.05</v>
      </c>
      <c r="C39" t="s">
        <v>385</v>
      </c>
      <c r="D39" t="s">
        <v>388</v>
      </c>
      <c r="E39" t="s">
        <v>174</v>
      </c>
      <c r="F39" t="str">
        <f>VLOOKUP(E39, '[1]POS Categories'!$A$1:$B$999, 2, FALSE)</f>
        <v>Food</v>
      </c>
    </row>
    <row r="40" spans="1:6" x14ac:dyDescent="0.25">
      <c r="A40" t="s">
        <v>406</v>
      </c>
      <c r="B40">
        <v>-49.67</v>
      </c>
      <c r="C40" t="s">
        <v>385</v>
      </c>
      <c r="D40" t="s">
        <v>388</v>
      </c>
      <c r="E40" t="s">
        <v>247</v>
      </c>
      <c r="F40" t="str">
        <f>VLOOKUP(E40, '[1]POS Categories'!$A$1:$B$999, 2, FALSE)</f>
        <v>Food</v>
      </c>
    </row>
    <row r="41" spans="1:6" x14ac:dyDescent="0.25">
      <c r="A41" t="s">
        <v>406</v>
      </c>
      <c r="B41">
        <v>-55.53</v>
      </c>
      <c r="C41" t="s">
        <v>385</v>
      </c>
      <c r="D41" t="s">
        <v>388</v>
      </c>
      <c r="E41" t="s">
        <v>236</v>
      </c>
      <c r="F41" t="str">
        <f>VLOOKUP(E41, '[1]POS Categories'!$A$1:$B$999, 2, FALSE)</f>
        <v>Food</v>
      </c>
    </row>
    <row r="42" spans="1:6" x14ac:dyDescent="0.25">
      <c r="A42" t="s">
        <v>407</v>
      </c>
      <c r="B42">
        <v>-13.8</v>
      </c>
      <c r="C42" t="s">
        <v>385</v>
      </c>
      <c r="D42" t="s">
        <v>388</v>
      </c>
      <c r="E42" t="s">
        <v>241</v>
      </c>
      <c r="F42" t="str">
        <f>VLOOKUP(E42, '[1]POS Categories'!$A$1:$B$999, 2, FALSE)</f>
        <v>Food</v>
      </c>
    </row>
    <row r="43" spans="1:6" x14ac:dyDescent="0.25">
      <c r="A43" t="s">
        <v>407</v>
      </c>
      <c r="B43">
        <v>-9.98</v>
      </c>
      <c r="C43" t="s">
        <v>385</v>
      </c>
      <c r="D43" t="s">
        <v>388</v>
      </c>
      <c r="E43" t="s">
        <v>171</v>
      </c>
      <c r="F43" t="str">
        <f>VLOOKUP(E43, '[1]POS Categories'!$A$1:$B$999, 2, FALSE)</f>
        <v>Food</v>
      </c>
    </row>
    <row r="44" spans="1:6" x14ac:dyDescent="0.25">
      <c r="A44" t="s">
        <v>407</v>
      </c>
      <c r="B44">
        <v>-8.9600000000000009</v>
      </c>
      <c r="C44" t="s">
        <v>385</v>
      </c>
      <c r="D44" t="s">
        <v>388</v>
      </c>
      <c r="E44" t="s">
        <v>408</v>
      </c>
      <c r="F44" t="str">
        <f>VLOOKUP(E44, '[1]POS Categories'!$A$1:$B$999, 2, FALSE)</f>
        <v>Food</v>
      </c>
    </row>
    <row r="45" spans="1:6" x14ac:dyDescent="0.25">
      <c r="A45" t="s">
        <v>409</v>
      </c>
      <c r="B45">
        <v>-35.700000000000003</v>
      </c>
      <c r="C45" t="s">
        <v>385</v>
      </c>
      <c r="D45" t="s">
        <v>388</v>
      </c>
      <c r="E45" t="s">
        <v>171</v>
      </c>
      <c r="F45" t="str">
        <f>VLOOKUP(E45, '[1]POS Categories'!$A$1:$B$999, 2, FALSE)</f>
        <v>Food</v>
      </c>
    </row>
    <row r="46" spans="1:6" x14ac:dyDescent="0.25">
      <c r="A46" t="s">
        <v>410</v>
      </c>
      <c r="B46">
        <v>-3.8</v>
      </c>
      <c r="C46" t="s">
        <v>385</v>
      </c>
      <c r="D46" t="s">
        <v>388</v>
      </c>
      <c r="E46" t="s">
        <v>246</v>
      </c>
      <c r="F46" t="str">
        <f>VLOOKUP(E46, '[1]POS Categories'!$A$1:$B$999, 2, FALSE)</f>
        <v>Food</v>
      </c>
    </row>
    <row r="47" spans="1:6" x14ac:dyDescent="0.25">
      <c r="A47" t="s">
        <v>410</v>
      </c>
      <c r="B47">
        <v>-25.37</v>
      </c>
      <c r="C47" t="s">
        <v>385</v>
      </c>
      <c r="D47" t="s">
        <v>388</v>
      </c>
      <c r="E47" t="s">
        <v>246</v>
      </c>
      <c r="F47" t="str">
        <f>VLOOKUP(E47, '[1]POS Categories'!$A$1:$B$999, 2, FALSE)</f>
        <v>Food</v>
      </c>
    </row>
    <row r="48" spans="1:6" x14ac:dyDescent="0.25">
      <c r="A48" t="s">
        <v>410</v>
      </c>
      <c r="B48">
        <v>-93.54</v>
      </c>
      <c r="C48" t="s">
        <v>385</v>
      </c>
      <c r="D48" t="s">
        <v>388</v>
      </c>
      <c r="E48" t="s">
        <v>248</v>
      </c>
      <c r="F48" t="str">
        <f>VLOOKUP(E48, '[1]POS Categories'!$A$1:$B$999, 2, FALSE)</f>
        <v>Personal</v>
      </c>
    </row>
    <row r="49" spans="1:6" x14ac:dyDescent="0.25">
      <c r="A49" t="s">
        <v>410</v>
      </c>
      <c r="B49">
        <v>-57.81</v>
      </c>
      <c r="C49" t="s">
        <v>385</v>
      </c>
      <c r="D49" t="s">
        <v>388</v>
      </c>
      <c r="E49" t="s">
        <v>411</v>
      </c>
      <c r="F49" t="str">
        <f>VLOOKUP(E49, '[1]POS Categories'!$A$1:$B$999, 2, FALSE)</f>
        <v>Sasktel</v>
      </c>
    </row>
    <row r="50" spans="1:6" x14ac:dyDescent="0.25">
      <c r="A50" t="s">
        <v>412</v>
      </c>
      <c r="B50">
        <v>-302</v>
      </c>
      <c r="C50" t="s">
        <v>385</v>
      </c>
      <c r="D50" t="s">
        <v>400</v>
      </c>
      <c r="E50" t="s">
        <v>249</v>
      </c>
      <c r="F50" t="str">
        <f>VLOOKUP(E50, '[1]POS Categories'!$A$1:$B$999, 2, FALSE)</f>
        <v>Misc</v>
      </c>
    </row>
    <row r="51" spans="1:6" x14ac:dyDescent="0.25">
      <c r="A51" t="s">
        <v>412</v>
      </c>
      <c r="B51">
        <v>-51.35</v>
      </c>
      <c r="C51" t="s">
        <v>385</v>
      </c>
      <c r="D51" t="s">
        <v>388</v>
      </c>
      <c r="E51" t="s">
        <v>32</v>
      </c>
      <c r="F51" t="str">
        <f>VLOOKUP(E51, '[1]POS Categories'!$A$1:$B$999, 2, FALSE)</f>
        <v>Food</v>
      </c>
    </row>
    <row r="52" spans="1:6" x14ac:dyDescent="0.25">
      <c r="A52" t="s">
        <v>412</v>
      </c>
      <c r="B52">
        <v>-25.25</v>
      </c>
      <c r="C52" t="s">
        <v>385</v>
      </c>
      <c r="D52" t="s">
        <v>388</v>
      </c>
      <c r="E52" t="s">
        <v>174</v>
      </c>
      <c r="F52" t="str">
        <f>VLOOKUP(E52, '[1]POS Categories'!$A$1:$B$999, 2, FALSE)</f>
        <v>Food</v>
      </c>
    </row>
    <row r="53" spans="1:6" x14ac:dyDescent="0.25">
      <c r="A53" t="s">
        <v>413</v>
      </c>
      <c r="B53">
        <v>-1235</v>
      </c>
      <c r="C53" t="s">
        <v>385</v>
      </c>
      <c r="D53" t="s">
        <v>414</v>
      </c>
      <c r="E53" t="s">
        <v>206</v>
      </c>
      <c r="F53" t="str">
        <f>VLOOKUP(E53, '[1]POS Categories'!$A$1:$B$999, 2, FALSE)</f>
        <v>Rent</v>
      </c>
    </row>
    <row r="54" spans="1:6" x14ac:dyDescent="0.25">
      <c r="A54" t="s">
        <v>413</v>
      </c>
      <c r="B54">
        <v>-518.99</v>
      </c>
      <c r="C54" t="s">
        <v>385</v>
      </c>
      <c r="D54" t="s">
        <v>400</v>
      </c>
      <c r="E54" t="s">
        <v>249</v>
      </c>
      <c r="F54" t="str">
        <f>VLOOKUP(E54, '[1]POS Categories'!$A$1:$B$999, 2, FALSE)</f>
        <v>Misc</v>
      </c>
    </row>
    <row r="55" spans="1:6" x14ac:dyDescent="0.25">
      <c r="A55" t="s">
        <v>413</v>
      </c>
      <c r="B55">
        <v>-14.42</v>
      </c>
      <c r="C55" t="s">
        <v>385</v>
      </c>
      <c r="D55" t="s">
        <v>388</v>
      </c>
      <c r="E55" t="s">
        <v>142</v>
      </c>
      <c r="F55" t="str">
        <f>VLOOKUP(E55, '[1]POS Categories'!$A$1:$B$999, 2, FALSE)</f>
        <v>Food</v>
      </c>
    </row>
    <row r="56" spans="1:6" x14ac:dyDescent="0.25">
      <c r="A56" t="s">
        <v>413</v>
      </c>
      <c r="B56">
        <v>-49.95</v>
      </c>
      <c r="C56" t="s">
        <v>385</v>
      </c>
      <c r="D56" t="s">
        <v>388</v>
      </c>
      <c r="E56" t="s">
        <v>250</v>
      </c>
      <c r="F56" t="str">
        <f>VLOOKUP(E56, '[1]POS Categories'!$A$1:$B$999, 2, FALSE)</f>
        <v>Food</v>
      </c>
    </row>
    <row r="57" spans="1:6" x14ac:dyDescent="0.25">
      <c r="A57" t="s">
        <v>413</v>
      </c>
      <c r="B57">
        <v>-13.26</v>
      </c>
      <c r="C57" t="s">
        <v>385</v>
      </c>
      <c r="D57" t="s">
        <v>388</v>
      </c>
      <c r="E57" t="s">
        <v>185</v>
      </c>
      <c r="F57" t="str">
        <f>VLOOKUP(E57, '[1]POS Categories'!$A$1:$B$999, 2, FALSE)</f>
        <v>Food</v>
      </c>
    </row>
    <row r="58" spans="1:6" x14ac:dyDescent="0.25">
      <c r="A58" t="s">
        <v>413</v>
      </c>
      <c r="B58">
        <v>-20.239999999999998</v>
      </c>
      <c r="C58" t="s">
        <v>385</v>
      </c>
      <c r="D58" t="s">
        <v>388</v>
      </c>
      <c r="E58" t="s">
        <v>22</v>
      </c>
      <c r="F58" t="str">
        <f>VLOOKUP(E58, '[1]POS Categories'!$A$1:$B$999, 2, FALSE)</f>
        <v>Entertainment</v>
      </c>
    </row>
    <row r="59" spans="1:6" x14ac:dyDescent="0.25">
      <c r="A59" t="s">
        <v>413</v>
      </c>
      <c r="B59">
        <v>-1852.96</v>
      </c>
      <c r="C59" t="s">
        <v>385</v>
      </c>
      <c r="D59" t="s">
        <v>400</v>
      </c>
      <c r="E59" t="s">
        <v>249</v>
      </c>
      <c r="F59" t="str">
        <f>VLOOKUP(E59, '[1]POS Categories'!$A$1:$B$999, 2, FALSE)</f>
        <v>Misc</v>
      </c>
    </row>
    <row r="60" spans="1:6" x14ac:dyDescent="0.25">
      <c r="A60" t="s">
        <v>413</v>
      </c>
      <c r="B60">
        <v>-538.16999999999996</v>
      </c>
      <c r="C60" t="s">
        <v>385</v>
      </c>
      <c r="D60" t="s">
        <v>400</v>
      </c>
      <c r="E60" t="s">
        <v>249</v>
      </c>
      <c r="F60" t="str">
        <f>VLOOKUP(E60, '[1]POS Categories'!$A$1:$B$999, 2, FALSE)</f>
        <v>Misc</v>
      </c>
    </row>
    <row r="61" spans="1:6" x14ac:dyDescent="0.25">
      <c r="A61" t="s">
        <v>413</v>
      </c>
      <c r="B61">
        <v>-10.16</v>
      </c>
      <c r="C61" t="s">
        <v>385</v>
      </c>
      <c r="D61" t="s">
        <v>388</v>
      </c>
      <c r="E61" t="s">
        <v>22</v>
      </c>
      <c r="F61" t="str">
        <f>VLOOKUP(E61, '[1]POS Categories'!$A$1:$B$999, 2, FALSE)</f>
        <v>Entertainment</v>
      </c>
    </row>
    <row r="62" spans="1:6" x14ac:dyDescent="0.25">
      <c r="A62" t="s">
        <v>413</v>
      </c>
      <c r="B62">
        <v>-14.19</v>
      </c>
      <c r="C62" t="s">
        <v>385</v>
      </c>
      <c r="D62" t="s">
        <v>388</v>
      </c>
      <c r="E62" t="s">
        <v>251</v>
      </c>
      <c r="F62" t="str">
        <f>VLOOKUP(E62, '[1]POS Categories'!$A$1:$B$999, 2, FALSE)</f>
        <v>Bills</v>
      </c>
    </row>
    <row r="63" spans="1:6" x14ac:dyDescent="0.25">
      <c r="A63" t="s">
        <v>413</v>
      </c>
      <c r="B63">
        <v>-31.63</v>
      </c>
      <c r="C63" t="s">
        <v>385</v>
      </c>
      <c r="D63" t="s">
        <v>388</v>
      </c>
      <c r="E63" t="s">
        <v>252</v>
      </c>
      <c r="F63" t="str">
        <f>VLOOKUP(E63, '[1]POS Categories'!$A$1:$B$999, 2, FALSE)</f>
        <v>Food</v>
      </c>
    </row>
    <row r="64" spans="1:6" x14ac:dyDescent="0.25">
      <c r="A64" t="s">
        <v>413</v>
      </c>
      <c r="B64">
        <v>-17.88</v>
      </c>
      <c r="C64" t="s">
        <v>385</v>
      </c>
      <c r="D64" t="s">
        <v>388</v>
      </c>
      <c r="E64" t="s">
        <v>157</v>
      </c>
      <c r="F64" t="str">
        <f>VLOOKUP(E64, '[1]POS Categories'!$A$1:$B$999, 2, FALSE)</f>
        <v>Personal</v>
      </c>
    </row>
    <row r="65" spans="1:6" x14ac:dyDescent="0.25">
      <c r="A65" t="s">
        <v>413</v>
      </c>
      <c r="B65">
        <v>-56.08</v>
      </c>
      <c r="C65" t="s">
        <v>385</v>
      </c>
      <c r="D65" t="s">
        <v>388</v>
      </c>
      <c r="E65" t="s">
        <v>395</v>
      </c>
      <c r="F65" t="str">
        <f>VLOOKUP(E65, '[1]POS Categories'!$A$1:$B$999, 2, FALSE)</f>
        <v>Vehicle</v>
      </c>
    </row>
    <row r="66" spans="1:6" x14ac:dyDescent="0.25">
      <c r="A66" t="s">
        <v>413</v>
      </c>
      <c r="B66">
        <v>-28.84</v>
      </c>
      <c r="C66" t="s">
        <v>385</v>
      </c>
      <c r="D66" t="s">
        <v>388</v>
      </c>
      <c r="E66" t="s">
        <v>142</v>
      </c>
      <c r="F66" t="str">
        <f>VLOOKUP(E66, '[1]POS Categories'!$A$1:$B$999, 2, FALSE)</f>
        <v>Food</v>
      </c>
    </row>
    <row r="67" spans="1:6" x14ac:dyDescent="0.25">
      <c r="A67" t="s">
        <v>413</v>
      </c>
      <c r="B67">
        <v>-12.55</v>
      </c>
      <c r="C67" t="s">
        <v>385</v>
      </c>
      <c r="D67" t="s">
        <v>388</v>
      </c>
      <c r="E67" t="s">
        <v>34</v>
      </c>
      <c r="F67" t="str">
        <f>VLOOKUP(E67, '[1]POS Categories'!$A$1:$B$999, 2, FALSE)</f>
        <v>Food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8"/>
  <sheetViews>
    <sheetView workbookViewId="0">
      <selection activeCell="F2" sqref="F2"/>
    </sheetView>
  </sheetViews>
  <sheetFormatPr defaultRowHeight="15" x14ac:dyDescent="0.25"/>
  <cols>
    <col min="4" max="4" width="23.28515625" bestFit="1" customWidth="1"/>
    <col min="5" max="5" width="36.140625" bestFit="1" customWidth="1"/>
  </cols>
  <sheetData>
    <row r="1" spans="1:6" x14ac:dyDescent="0.25">
      <c r="A1" t="s">
        <v>415</v>
      </c>
      <c r="B1">
        <v>-54.58</v>
      </c>
      <c r="C1" t="s">
        <v>385</v>
      </c>
      <c r="D1" t="s">
        <v>388</v>
      </c>
      <c r="E1" t="s">
        <v>364</v>
      </c>
      <c r="F1" t="str">
        <f>VLOOKUP(E1, '[1]POS Categories'!$A$1:$B$999, 2, FALSE)</f>
        <v>Food</v>
      </c>
    </row>
    <row r="2" spans="1:6" x14ac:dyDescent="0.25">
      <c r="A2" t="s">
        <v>415</v>
      </c>
      <c r="B2">
        <v>-56.49</v>
      </c>
      <c r="C2" t="s">
        <v>385</v>
      </c>
      <c r="D2" t="s">
        <v>388</v>
      </c>
      <c r="E2" t="s">
        <v>236</v>
      </c>
      <c r="F2" t="str">
        <f>VLOOKUP(E2, '[1]POS Categories'!$A$1:$B$999, 2, FALSE)</f>
        <v>Food</v>
      </c>
    </row>
    <row r="3" spans="1:6" x14ac:dyDescent="0.25">
      <c r="A3" t="s">
        <v>415</v>
      </c>
      <c r="B3">
        <v>2318.89</v>
      </c>
      <c r="C3" t="s">
        <v>385</v>
      </c>
      <c r="D3" t="s">
        <v>386</v>
      </c>
      <c r="E3" t="s">
        <v>387</v>
      </c>
      <c r="F3" t="str">
        <f>VLOOKUP(E3, '[1]POS Categories'!$A$1:$B$999, 2, FALSE)</f>
        <v>Job</v>
      </c>
    </row>
    <row r="4" spans="1:6" x14ac:dyDescent="0.25">
      <c r="A4" t="s">
        <v>416</v>
      </c>
      <c r="B4">
        <v>-119.26</v>
      </c>
      <c r="C4" t="s">
        <v>385</v>
      </c>
      <c r="D4" t="s">
        <v>388</v>
      </c>
      <c r="E4" t="s">
        <v>324</v>
      </c>
      <c r="F4" t="str">
        <f>VLOOKUP(E4, '[1]POS Categories'!$A$1:$B$999, 2, FALSE)</f>
        <v>Food</v>
      </c>
    </row>
    <row r="5" spans="1:6" x14ac:dyDescent="0.25">
      <c r="A5" t="s">
        <v>417</v>
      </c>
      <c r="B5">
        <v>-6.69</v>
      </c>
      <c r="C5" t="s">
        <v>385</v>
      </c>
      <c r="D5" t="s">
        <v>388</v>
      </c>
      <c r="E5" t="s">
        <v>154</v>
      </c>
      <c r="F5" t="str">
        <f>VLOOKUP(E5, '[1]POS Categories'!$A$1:$B$999, 2, FALSE)</f>
        <v>Food</v>
      </c>
    </row>
    <row r="6" spans="1:6" x14ac:dyDescent="0.25">
      <c r="A6" t="s">
        <v>417</v>
      </c>
      <c r="B6">
        <v>-47.86</v>
      </c>
      <c r="C6" t="s">
        <v>385</v>
      </c>
      <c r="D6" t="s">
        <v>388</v>
      </c>
      <c r="E6" t="s">
        <v>118</v>
      </c>
      <c r="F6" t="str">
        <f>VLOOKUP(E6, '[1]POS Categories'!$A$1:$B$999, 2, FALSE)</f>
        <v>Food</v>
      </c>
    </row>
    <row r="7" spans="1:6" x14ac:dyDescent="0.25">
      <c r="A7" t="s">
        <v>417</v>
      </c>
      <c r="B7">
        <v>-11.97</v>
      </c>
      <c r="C7" t="s">
        <v>385</v>
      </c>
      <c r="D7" t="s">
        <v>388</v>
      </c>
      <c r="E7" t="s">
        <v>12</v>
      </c>
      <c r="F7" t="str">
        <f>VLOOKUP(E7, '[1]POS Categories'!$A$1:$B$999, 2, FALSE)</f>
        <v>Food</v>
      </c>
    </row>
    <row r="8" spans="1:6" x14ac:dyDescent="0.25">
      <c r="A8" t="s">
        <v>417</v>
      </c>
      <c r="B8">
        <v>-5.89</v>
      </c>
      <c r="C8" t="s">
        <v>385</v>
      </c>
      <c r="D8" t="s">
        <v>388</v>
      </c>
      <c r="E8" t="s">
        <v>155</v>
      </c>
      <c r="F8" t="str">
        <f>VLOOKUP(E8, '[1]POS Categories'!$A$1:$B$999, 2, FALSE)</f>
        <v>Food</v>
      </c>
    </row>
    <row r="9" spans="1:6" x14ac:dyDescent="0.25">
      <c r="A9" t="s">
        <v>417</v>
      </c>
      <c r="B9">
        <v>-17.59</v>
      </c>
      <c r="C9" t="s">
        <v>385</v>
      </c>
      <c r="D9" t="s">
        <v>388</v>
      </c>
      <c r="E9" t="s">
        <v>365</v>
      </c>
      <c r="F9" t="str">
        <f>VLOOKUP(E9, '[1]POS Categories'!$A$1:$B$999, 2, FALSE)</f>
        <v>Food</v>
      </c>
    </row>
    <row r="10" spans="1:6" x14ac:dyDescent="0.25">
      <c r="A10" t="s">
        <v>417</v>
      </c>
      <c r="B10">
        <v>-5.87</v>
      </c>
      <c r="C10" t="s">
        <v>385</v>
      </c>
      <c r="D10" t="s">
        <v>388</v>
      </c>
      <c r="E10" t="s">
        <v>366</v>
      </c>
      <c r="F10" t="str">
        <f>VLOOKUP(E10, '[1]POS Categories'!$A$1:$B$999, 2, FALSE)</f>
        <v>Entertainment</v>
      </c>
    </row>
    <row r="11" spans="1:6" x14ac:dyDescent="0.25">
      <c r="A11" t="s">
        <v>417</v>
      </c>
      <c r="B11">
        <v>-31.97</v>
      </c>
      <c r="C11" t="s">
        <v>385</v>
      </c>
      <c r="D11" t="s">
        <v>388</v>
      </c>
      <c r="E11" t="s">
        <v>367</v>
      </c>
      <c r="F11" t="str">
        <f>VLOOKUP(E11, '[1]POS Categories'!$A$1:$B$999, 2, FALSE)</f>
        <v>Food</v>
      </c>
    </row>
    <row r="12" spans="1:6" x14ac:dyDescent="0.25">
      <c r="A12" t="s">
        <v>418</v>
      </c>
      <c r="B12">
        <v>-12.55</v>
      </c>
      <c r="C12" t="s">
        <v>385</v>
      </c>
      <c r="D12" t="s">
        <v>388</v>
      </c>
      <c r="E12" t="s">
        <v>368</v>
      </c>
      <c r="F12" t="str">
        <f>VLOOKUP(E12, '[1]POS Categories'!$A$1:$B$999, 2, FALSE)</f>
        <v>Food</v>
      </c>
    </row>
    <row r="13" spans="1:6" x14ac:dyDescent="0.25">
      <c r="A13" t="s">
        <v>419</v>
      </c>
      <c r="B13">
        <v>-9.98</v>
      </c>
      <c r="C13" t="s">
        <v>385</v>
      </c>
      <c r="D13" t="s">
        <v>388</v>
      </c>
      <c r="E13" t="s">
        <v>369</v>
      </c>
      <c r="F13" t="str">
        <f>VLOOKUP(E13, '[1]POS Categories'!$A$1:$B$999, 2, FALSE)</f>
        <v>Food</v>
      </c>
    </row>
    <row r="14" spans="1:6" x14ac:dyDescent="0.25">
      <c r="A14" t="s">
        <v>419</v>
      </c>
      <c r="B14">
        <v>-10.47</v>
      </c>
      <c r="C14" t="s">
        <v>385</v>
      </c>
      <c r="D14" t="s">
        <v>388</v>
      </c>
      <c r="E14" t="s">
        <v>176</v>
      </c>
      <c r="F14" t="s">
        <v>193</v>
      </c>
    </row>
    <row r="15" spans="1:6" x14ac:dyDescent="0.25">
      <c r="A15" t="s">
        <v>419</v>
      </c>
      <c r="B15">
        <v>-32.75</v>
      </c>
      <c r="C15" t="s">
        <v>385</v>
      </c>
      <c r="D15" t="s">
        <v>388</v>
      </c>
      <c r="E15" t="s">
        <v>408</v>
      </c>
      <c r="F15" t="str">
        <f>VLOOKUP(E15, '[1]POS Categories'!$A$1:$B$999, 2, FALSE)</f>
        <v>Food</v>
      </c>
    </row>
    <row r="16" spans="1:6" x14ac:dyDescent="0.25">
      <c r="A16" t="s">
        <v>419</v>
      </c>
      <c r="B16">
        <v>-7.71</v>
      </c>
      <c r="C16" t="s">
        <v>385</v>
      </c>
      <c r="D16" t="s">
        <v>388</v>
      </c>
      <c r="E16" t="s">
        <v>395</v>
      </c>
      <c r="F16" t="str">
        <f>VLOOKUP(E16, '[1]POS Categories'!$A$1:$B$999, 2, FALSE)</f>
        <v>Vehicle</v>
      </c>
    </row>
    <row r="17" spans="1:6" x14ac:dyDescent="0.25">
      <c r="A17" t="s">
        <v>419</v>
      </c>
      <c r="B17">
        <v>-53.38</v>
      </c>
      <c r="C17" t="s">
        <v>385</v>
      </c>
      <c r="D17" t="s">
        <v>388</v>
      </c>
      <c r="E17" t="s">
        <v>395</v>
      </c>
      <c r="F17" t="str">
        <f>VLOOKUP(E17, '[1]POS Categories'!$A$1:$B$999, 2, FALSE)</f>
        <v>Vehicle</v>
      </c>
    </row>
    <row r="18" spans="1:6" x14ac:dyDescent="0.25">
      <c r="A18" t="s">
        <v>419</v>
      </c>
      <c r="B18">
        <v>-10.49</v>
      </c>
      <c r="C18" t="s">
        <v>385</v>
      </c>
      <c r="D18" t="s">
        <v>388</v>
      </c>
      <c r="E18" t="s">
        <v>215</v>
      </c>
      <c r="F18" t="str">
        <f>VLOOKUP(E18, '[1]POS Categories'!$A$1:$B$999, 2, FALSE)</f>
        <v>Personal</v>
      </c>
    </row>
    <row r="19" spans="1:6" x14ac:dyDescent="0.25">
      <c r="A19" t="s">
        <v>419</v>
      </c>
      <c r="B19">
        <v>-64.09</v>
      </c>
      <c r="C19" t="s">
        <v>385</v>
      </c>
      <c r="D19" t="s">
        <v>388</v>
      </c>
      <c r="E19" t="s">
        <v>157</v>
      </c>
      <c r="F19" t="str">
        <f>VLOOKUP(E19, '[1]POS Categories'!$A$1:$B$999, 2, FALSE)</f>
        <v>Personal</v>
      </c>
    </row>
    <row r="20" spans="1:6" x14ac:dyDescent="0.25">
      <c r="A20" t="s">
        <v>419</v>
      </c>
      <c r="B20">
        <v>-22.19</v>
      </c>
      <c r="C20" t="s">
        <v>385</v>
      </c>
      <c r="D20" t="s">
        <v>388</v>
      </c>
      <c r="E20" t="s">
        <v>420</v>
      </c>
      <c r="F20" t="str">
        <f>VLOOKUP(E20, '[1]POS Categories'!$A$1:$B$999, 2, FALSE)</f>
        <v>Home</v>
      </c>
    </row>
    <row r="21" spans="1:6" x14ac:dyDescent="0.25">
      <c r="A21" t="s">
        <v>421</v>
      </c>
      <c r="B21">
        <v>-60.22</v>
      </c>
      <c r="C21" t="s">
        <v>385</v>
      </c>
      <c r="D21" t="s">
        <v>388</v>
      </c>
      <c r="E21" t="s">
        <v>364</v>
      </c>
      <c r="F21" t="str">
        <f>VLOOKUP(E21, '[1]POS Categories'!$A$1:$B$999, 2, FALSE)</f>
        <v>Food</v>
      </c>
    </row>
    <row r="22" spans="1:6" x14ac:dyDescent="0.25">
      <c r="A22" t="s">
        <v>421</v>
      </c>
      <c r="B22">
        <v>-35.65</v>
      </c>
      <c r="C22" t="s">
        <v>385</v>
      </c>
      <c r="D22" t="s">
        <v>388</v>
      </c>
      <c r="E22" t="s">
        <v>370</v>
      </c>
      <c r="F22" t="str">
        <f>VLOOKUP(E22, '[1]POS Categories'!$A$1:$B$999, 2, FALSE)</f>
        <v>Entertainment</v>
      </c>
    </row>
    <row r="23" spans="1:6" x14ac:dyDescent="0.25">
      <c r="A23" t="s">
        <v>421</v>
      </c>
      <c r="B23">
        <v>-9.98</v>
      </c>
      <c r="C23" t="s">
        <v>385</v>
      </c>
      <c r="D23" t="s">
        <v>388</v>
      </c>
      <c r="E23" t="s">
        <v>22</v>
      </c>
      <c r="F23" t="str">
        <f>VLOOKUP(E23, '[1]POS Categories'!$A$1:$B$999, 2, FALSE)</f>
        <v>Entertainment</v>
      </c>
    </row>
    <row r="24" spans="1:6" x14ac:dyDescent="0.25">
      <c r="A24" t="s">
        <v>422</v>
      </c>
      <c r="B24">
        <v>-20</v>
      </c>
      <c r="C24" t="s">
        <v>385</v>
      </c>
      <c r="D24" t="s">
        <v>388</v>
      </c>
      <c r="E24" t="s">
        <v>371</v>
      </c>
      <c r="F24" t="str">
        <f>VLOOKUP(E24, '[1]POS Categories'!$A$1:$B$999, 2, FALSE)</f>
        <v>Entertainment</v>
      </c>
    </row>
    <row r="25" spans="1:6" x14ac:dyDescent="0.25">
      <c r="A25" t="s">
        <v>422</v>
      </c>
      <c r="B25">
        <v>-5.7</v>
      </c>
      <c r="C25" t="s">
        <v>385</v>
      </c>
      <c r="D25" t="s">
        <v>388</v>
      </c>
      <c r="E25" t="s">
        <v>202</v>
      </c>
      <c r="F25" t="str">
        <f>VLOOKUP(E25, '[1]POS Categories'!$A$1:$B$999, 2, FALSE)</f>
        <v>Food</v>
      </c>
    </row>
    <row r="26" spans="1:6" x14ac:dyDescent="0.25">
      <c r="A26" t="s">
        <v>422</v>
      </c>
      <c r="B26">
        <v>-54.6</v>
      </c>
      <c r="C26" t="s">
        <v>385</v>
      </c>
      <c r="D26" t="s">
        <v>388</v>
      </c>
      <c r="E26" t="s">
        <v>423</v>
      </c>
      <c r="F26" t="str">
        <f>VLOOKUP(E26, '[1]POS Categories'!$A$1:$B$999, 2, FALSE)</f>
        <v>Food</v>
      </c>
    </row>
    <row r="27" spans="1:6" x14ac:dyDescent="0.25">
      <c r="A27" t="s">
        <v>422</v>
      </c>
      <c r="B27">
        <v>-2</v>
      </c>
      <c r="C27" t="s">
        <v>385</v>
      </c>
      <c r="D27" t="s">
        <v>388</v>
      </c>
      <c r="E27" t="s">
        <v>372</v>
      </c>
      <c r="F27" t="str">
        <f>VLOOKUP(E27, '[1]POS Categories'!$A$1:$B$999, 2, FALSE)</f>
        <v>Gifts</v>
      </c>
    </row>
    <row r="28" spans="1:6" x14ac:dyDescent="0.25">
      <c r="A28" t="s">
        <v>422</v>
      </c>
      <c r="B28">
        <v>-16.64</v>
      </c>
      <c r="C28" t="s">
        <v>385</v>
      </c>
      <c r="D28" t="s">
        <v>388</v>
      </c>
      <c r="E28" t="s">
        <v>373</v>
      </c>
      <c r="F28" t="str">
        <f>VLOOKUP(E28, '[1]POS Categories'!$A$1:$B$999, 2, FALSE)</f>
        <v>Gifts</v>
      </c>
    </row>
    <row r="29" spans="1:6" x14ac:dyDescent="0.25">
      <c r="A29" t="s">
        <v>422</v>
      </c>
      <c r="B29">
        <v>-14.42</v>
      </c>
      <c r="C29" t="s">
        <v>385</v>
      </c>
      <c r="D29" t="s">
        <v>388</v>
      </c>
      <c r="E29" t="s">
        <v>420</v>
      </c>
      <c r="F29" t="s">
        <v>193</v>
      </c>
    </row>
    <row r="30" spans="1:6" x14ac:dyDescent="0.25">
      <c r="A30" t="s">
        <v>422</v>
      </c>
      <c r="B30">
        <v>-15.52</v>
      </c>
      <c r="C30" t="s">
        <v>385</v>
      </c>
      <c r="D30" t="s">
        <v>388</v>
      </c>
      <c r="E30" t="s">
        <v>374</v>
      </c>
      <c r="F30" t="str">
        <f>VLOOKUP(E30, '[1]POS Categories'!$A$1:$B$999, 2, FALSE)</f>
        <v>Food</v>
      </c>
    </row>
    <row r="31" spans="1:6" x14ac:dyDescent="0.25">
      <c r="A31" t="s">
        <v>422</v>
      </c>
      <c r="B31">
        <v>-40.270000000000003</v>
      </c>
      <c r="C31" t="s">
        <v>385</v>
      </c>
      <c r="D31" t="s">
        <v>388</v>
      </c>
      <c r="E31" t="s">
        <v>162</v>
      </c>
      <c r="F31" t="str">
        <f>VLOOKUP(E31, '[1]POS Categories'!$A$1:$B$999, 2, FALSE)</f>
        <v>Food</v>
      </c>
    </row>
    <row r="32" spans="1:6" x14ac:dyDescent="0.25">
      <c r="A32" t="s">
        <v>424</v>
      </c>
      <c r="B32">
        <v>-13.8</v>
      </c>
      <c r="C32" t="s">
        <v>385</v>
      </c>
      <c r="D32" t="s">
        <v>388</v>
      </c>
      <c r="E32" t="s">
        <v>241</v>
      </c>
      <c r="F32" t="str">
        <f>VLOOKUP(E32, '[1]POS Categories'!$A$1:$B$999, 2, FALSE)</f>
        <v>Food</v>
      </c>
    </row>
    <row r="33" spans="1:6" x14ac:dyDescent="0.25">
      <c r="A33" t="s">
        <v>424</v>
      </c>
      <c r="B33">
        <v>-10.65</v>
      </c>
      <c r="C33" t="s">
        <v>385</v>
      </c>
      <c r="D33" t="s">
        <v>388</v>
      </c>
      <c r="E33" t="s">
        <v>287</v>
      </c>
      <c r="F33" t="str">
        <f>VLOOKUP(E33, '[1]POS Categories'!$A$1:$B$999, 2, FALSE)</f>
        <v>Food</v>
      </c>
    </row>
    <row r="34" spans="1:6" x14ac:dyDescent="0.25">
      <c r="A34" t="s">
        <v>425</v>
      </c>
      <c r="B34">
        <v>-15.54</v>
      </c>
      <c r="C34" t="s">
        <v>385</v>
      </c>
      <c r="D34" t="s">
        <v>388</v>
      </c>
      <c r="E34" t="s">
        <v>174</v>
      </c>
      <c r="F34" t="str">
        <f>VLOOKUP(E34, '[1]POS Categories'!$A$1:$B$999, 2, FALSE)</f>
        <v>Food</v>
      </c>
    </row>
    <row r="35" spans="1:6" x14ac:dyDescent="0.25">
      <c r="A35" t="s">
        <v>425</v>
      </c>
      <c r="B35">
        <v>-7.43</v>
      </c>
      <c r="C35" t="s">
        <v>385</v>
      </c>
      <c r="D35" t="s">
        <v>388</v>
      </c>
      <c r="E35" t="s">
        <v>22</v>
      </c>
      <c r="F35" t="str">
        <f>VLOOKUP(E35, '[1]POS Categories'!$A$1:$B$999, 2, FALSE)</f>
        <v>Entertainment</v>
      </c>
    </row>
    <row r="36" spans="1:6" x14ac:dyDescent="0.25">
      <c r="A36" t="s">
        <v>426</v>
      </c>
      <c r="B36">
        <v>191.12</v>
      </c>
      <c r="C36" t="s">
        <v>385</v>
      </c>
      <c r="D36" t="s">
        <v>427</v>
      </c>
      <c r="E36" t="s">
        <v>375</v>
      </c>
      <c r="F36" t="str">
        <f>VLOOKUP(E36, '[1]POS Categories'!$A$1:$B$999, 2, FALSE)</f>
        <v>Gifts</v>
      </c>
    </row>
    <row r="37" spans="1:6" x14ac:dyDescent="0.25">
      <c r="A37" t="s">
        <v>428</v>
      </c>
      <c r="B37">
        <v>-74.680000000000007</v>
      </c>
      <c r="C37" t="s">
        <v>385</v>
      </c>
      <c r="D37" t="s">
        <v>388</v>
      </c>
      <c r="E37" t="s">
        <v>376</v>
      </c>
      <c r="F37" t="str">
        <f>VLOOKUP(E37, '[1]POS Categories'!$A$1:$B$999, 2, FALSE)</f>
        <v>Food</v>
      </c>
    </row>
    <row r="38" spans="1:6" x14ac:dyDescent="0.25">
      <c r="A38" t="s">
        <v>428</v>
      </c>
      <c r="B38">
        <v>-3.97</v>
      </c>
      <c r="C38" t="s">
        <v>385</v>
      </c>
      <c r="D38" t="s">
        <v>388</v>
      </c>
      <c r="E38" t="s">
        <v>377</v>
      </c>
      <c r="F38" t="str">
        <f>VLOOKUP(E38, '[1]POS Categories'!$A$1:$B$999, 2, FALSE)</f>
        <v>Personal</v>
      </c>
    </row>
    <row r="39" spans="1:6" x14ac:dyDescent="0.25">
      <c r="A39" t="s">
        <v>428</v>
      </c>
      <c r="B39">
        <v>-33.479999999999997</v>
      </c>
      <c r="C39" t="s">
        <v>385</v>
      </c>
      <c r="D39" t="s">
        <v>388</v>
      </c>
      <c r="E39" t="s">
        <v>8</v>
      </c>
      <c r="F39" t="str">
        <f>VLOOKUP(E39, '[1]POS Categories'!$A$1:$B$999, 2, FALSE)</f>
        <v>Food</v>
      </c>
    </row>
    <row r="40" spans="1:6" x14ac:dyDescent="0.25">
      <c r="A40" t="s">
        <v>428</v>
      </c>
      <c r="B40">
        <v>-538.16999999999996</v>
      </c>
      <c r="C40" t="s">
        <v>385</v>
      </c>
      <c r="D40" t="s">
        <v>400</v>
      </c>
      <c r="E40" t="s">
        <v>401</v>
      </c>
      <c r="F40" t="str">
        <f>VLOOKUP(E40, '[1]POS Categories'!$A$1:$B$999, 2, FALSE)</f>
        <v>Misc</v>
      </c>
    </row>
    <row r="41" spans="1:6" x14ac:dyDescent="0.25">
      <c r="A41" t="s">
        <v>428</v>
      </c>
      <c r="B41">
        <v>-66.55</v>
      </c>
      <c r="C41" t="s">
        <v>385</v>
      </c>
      <c r="D41" t="s">
        <v>388</v>
      </c>
      <c r="E41" t="s">
        <v>175</v>
      </c>
      <c r="F41" t="str">
        <f>VLOOKUP(E41, '[1]POS Categories'!$A$1:$B$999, 2, FALSE)</f>
        <v>Sasktel</v>
      </c>
    </row>
    <row r="42" spans="1:6" x14ac:dyDescent="0.25">
      <c r="A42" t="s">
        <v>428</v>
      </c>
      <c r="B42">
        <v>2424.66</v>
      </c>
      <c r="C42" t="s">
        <v>385</v>
      </c>
      <c r="D42" t="s">
        <v>386</v>
      </c>
      <c r="E42" t="s">
        <v>387</v>
      </c>
      <c r="F42" t="str">
        <f>VLOOKUP(E42, '[1]POS Categories'!$A$1:$B$999, 2, FALSE)</f>
        <v>Job</v>
      </c>
    </row>
    <row r="43" spans="1:6" x14ac:dyDescent="0.25">
      <c r="A43" t="s">
        <v>429</v>
      </c>
      <c r="B43">
        <v>-4</v>
      </c>
      <c r="C43" t="s">
        <v>385</v>
      </c>
      <c r="D43" t="s">
        <v>388</v>
      </c>
      <c r="E43" t="s">
        <v>246</v>
      </c>
      <c r="F43" t="str">
        <f>VLOOKUP(E43, '[1]POS Categories'!$A$1:$B$999, 2, FALSE)</f>
        <v>Food</v>
      </c>
    </row>
    <row r="44" spans="1:6" x14ac:dyDescent="0.25">
      <c r="A44" t="s">
        <v>429</v>
      </c>
      <c r="B44">
        <v>19.25</v>
      </c>
      <c r="C44" t="s">
        <v>385</v>
      </c>
      <c r="D44" t="s">
        <v>430</v>
      </c>
      <c r="E44" t="s">
        <v>246</v>
      </c>
      <c r="F44" t="str">
        <f>VLOOKUP(E44, '[1]POS Categories'!$A$1:$B$999, 2, FALSE)</f>
        <v>Food</v>
      </c>
    </row>
    <row r="45" spans="1:6" x14ac:dyDescent="0.25">
      <c r="A45" t="s">
        <v>429</v>
      </c>
      <c r="B45">
        <v>-22.03</v>
      </c>
      <c r="C45" t="s">
        <v>385</v>
      </c>
      <c r="D45" t="s">
        <v>388</v>
      </c>
      <c r="E45" t="s">
        <v>246</v>
      </c>
      <c r="F45" t="str">
        <f>VLOOKUP(E45, '[1]POS Categories'!$A$1:$B$999, 2, FALSE)</f>
        <v>Food</v>
      </c>
    </row>
    <row r="46" spans="1:6" x14ac:dyDescent="0.25">
      <c r="A46" t="s">
        <v>429</v>
      </c>
      <c r="B46">
        <v>-19.25</v>
      </c>
      <c r="C46" t="s">
        <v>385</v>
      </c>
      <c r="D46" t="s">
        <v>388</v>
      </c>
      <c r="E46" t="s">
        <v>246</v>
      </c>
      <c r="F46" t="str">
        <f>VLOOKUP(E46, '[1]POS Categories'!$A$1:$B$999, 2, FALSE)</f>
        <v>Food</v>
      </c>
    </row>
    <row r="47" spans="1:6" x14ac:dyDescent="0.25">
      <c r="A47" t="s">
        <v>431</v>
      </c>
      <c r="B47">
        <v>-17.52</v>
      </c>
      <c r="C47" t="s">
        <v>385</v>
      </c>
      <c r="D47" t="s">
        <v>388</v>
      </c>
      <c r="E47" t="s">
        <v>171</v>
      </c>
      <c r="F47" t="str">
        <f>VLOOKUP(E47, '[1]POS Categories'!$A$1:$B$999, 2, FALSE)</f>
        <v>Food</v>
      </c>
    </row>
    <row r="48" spans="1:6" x14ac:dyDescent="0.25">
      <c r="A48" t="s">
        <v>431</v>
      </c>
      <c r="B48">
        <v>-5.27</v>
      </c>
      <c r="C48" t="s">
        <v>385</v>
      </c>
      <c r="D48" t="s">
        <v>388</v>
      </c>
      <c r="E48" t="s">
        <v>246</v>
      </c>
      <c r="F48" t="str">
        <f>VLOOKUP(E48, '[1]POS Categories'!$A$1:$B$999, 2, FALSE)</f>
        <v>Food</v>
      </c>
    </row>
    <row r="49" spans="1:6" x14ac:dyDescent="0.25">
      <c r="A49" t="s">
        <v>431</v>
      </c>
      <c r="B49">
        <v>-24.3</v>
      </c>
      <c r="C49" t="s">
        <v>385</v>
      </c>
      <c r="D49" t="s">
        <v>388</v>
      </c>
      <c r="E49" t="s">
        <v>378</v>
      </c>
      <c r="F49" t="str">
        <f>VLOOKUP(E49, '[1]POS Categories'!$A$1:$B$999, 2, FALSE)</f>
        <v>Food</v>
      </c>
    </row>
    <row r="50" spans="1:6" x14ac:dyDescent="0.25">
      <c r="A50" t="s">
        <v>431</v>
      </c>
      <c r="B50">
        <v>-197.7</v>
      </c>
      <c r="C50" t="s">
        <v>385</v>
      </c>
      <c r="D50" t="s">
        <v>388</v>
      </c>
      <c r="E50" t="s">
        <v>375</v>
      </c>
      <c r="F50" t="str">
        <f>VLOOKUP(E50, '[1]POS Categories'!$A$1:$B$999, 2, FALSE)</f>
        <v>Gifts</v>
      </c>
    </row>
    <row r="51" spans="1:6" x14ac:dyDescent="0.25">
      <c r="A51" t="s">
        <v>432</v>
      </c>
      <c r="B51">
        <v>-62.68</v>
      </c>
      <c r="C51" t="s">
        <v>385</v>
      </c>
      <c r="D51" t="s">
        <v>388</v>
      </c>
      <c r="E51" t="s">
        <v>189</v>
      </c>
      <c r="F51" t="str">
        <f>VLOOKUP(E51, '[1]POS Categories'!$A$1:$B$999, 2, FALSE)</f>
        <v>Food</v>
      </c>
    </row>
    <row r="52" spans="1:6" x14ac:dyDescent="0.25">
      <c r="A52" t="s">
        <v>432</v>
      </c>
      <c r="B52">
        <v>-13.8</v>
      </c>
      <c r="C52" t="s">
        <v>385</v>
      </c>
      <c r="D52" t="s">
        <v>388</v>
      </c>
      <c r="E52" t="s">
        <v>241</v>
      </c>
      <c r="F52" t="str">
        <f>VLOOKUP(E52, '[1]POS Categories'!$A$1:$B$999, 2, FALSE)</f>
        <v>Food</v>
      </c>
    </row>
    <row r="53" spans="1:6" x14ac:dyDescent="0.25">
      <c r="A53" t="s">
        <v>432</v>
      </c>
      <c r="B53">
        <v>-12.55</v>
      </c>
      <c r="C53" t="s">
        <v>385</v>
      </c>
      <c r="D53" t="s">
        <v>388</v>
      </c>
      <c r="E53" t="s">
        <v>34</v>
      </c>
      <c r="F53" t="str">
        <f>VLOOKUP(E53, '[1]POS Categories'!$A$1:$B$999, 2, FALSE)</f>
        <v>Food</v>
      </c>
    </row>
    <row r="54" spans="1:6" x14ac:dyDescent="0.25">
      <c r="A54" t="s">
        <v>433</v>
      </c>
      <c r="B54">
        <v>-10.65</v>
      </c>
      <c r="C54" t="s">
        <v>385</v>
      </c>
      <c r="D54" t="s">
        <v>388</v>
      </c>
      <c r="E54" t="s">
        <v>174</v>
      </c>
      <c r="F54" t="str">
        <f>VLOOKUP(E54, '[1]POS Categories'!$A$1:$B$999, 2, FALSE)</f>
        <v>Food</v>
      </c>
    </row>
    <row r="55" spans="1:6" x14ac:dyDescent="0.25">
      <c r="A55" t="s">
        <v>433</v>
      </c>
      <c r="B55">
        <v>-5.86</v>
      </c>
      <c r="C55" t="s">
        <v>385</v>
      </c>
      <c r="D55" t="s">
        <v>388</v>
      </c>
      <c r="E55" t="s">
        <v>408</v>
      </c>
      <c r="F55" t="str">
        <f>VLOOKUP(E55, '[1]POS Categories'!$A$1:$B$999, 2, FALSE)</f>
        <v>Food</v>
      </c>
    </row>
    <row r="56" spans="1:6" x14ac:dyDescent="0.25">
      <c r="A56" t="s">
        <v>434</v>
      </c>
      <c r="B56">
        <v>-112.49</v>
      </c>
      <c r="C56" t="s">
        <v>385</v>
      </c>
      <c r="D56" t="s">
        <v>435</v>
      </c>
      <c r="E56" t="s">
        <v>177</v>
      </c>
      <c r="F56" t="str">
        <f>VLOOKUP(E56, '[1]POS Categories'!$A$1:$B$999, 2, FALSE)</f>
        <v>Power</v>
      </c>
    </row>
    <row r="57" spans="1:6" x14ac:dyDescent="0.25">
      <c r="A57" t="s">
        <v>434</v>
      </c>
      <c r="B57">
        <v>-17.52</v>
      </c>
      <c r="C57" t="s">
        <v>385</v>
      </c>
      <c r="D57" t="s">
        <v>388</v>
      </c>
      <c r="E57" t="s">
        <v>8</v>
      </c>
      <c r="F57" t="str">
        <f>VLOOKUP(E57, '[1]POS Categories'!$A$1:$B$999, 2, FALSE)</f>
        <v>Food</v>
      </c>
    </row>
    <row r="58" spans="1:6" x14ac:dyDescent="0.25">
      <c r="A58" t="s">
        <v>436</v>
      </c>
      <c r="B58">
        <v>-3.92</v>
      </c>
      <c r="C58" t="s">
        <v>385</v>
      </c>
      <c r="D58" t="s">
        <v>388</v>
      </c>
      <c r="E58" t="s">
        <v>246</v>
      </c>
      <c r="F58" t="str">
        <f>VLOOKUP(E58, '[1]POS Categories'!$A$1:$B$999, 2, FALSE)</f>
        <v>Food</v>
      </c>
    </row>
    <row r="59" spans="1:6" x14ac:dyDescent="0.25">
      <c r="A59" t="s">
        <v>436</v>
      </c>
      <c r="B59">
        <v>21.61</v>
      </c>
      <c r="C59" t="s">
        <v>385</v>
      </c>
      <c r="D59" t="s">
        <v>430</v>
      </c>
      <c r="E59" t="s">
        <v>246</v>
      </c>
      <c r="F59" t="str">
        <f>VLOOKUP(E59, '[1]POS Categories'!$A$1:$B$999, 2, FALSE)</f>
        <v>Food</v>
      </c>
    </row>
    <row r="60" spans="1:6" x14ac:dyDescent="0.25">
      <c r="A60" t="s">
        <v>436</v>
      </c>
      <c r="B60">
        <v>-24.39</v>
      </c>
      <c r="C60" t="s">
        <v>385</v>
      </c>
      <c r="D60" t="s">
        <v>388</v>
      </c>
      <c r="E60" t="s">
        <v>246</v>
      </c>
      <c r="F60" t="str">
        <f>VLOOKUP(E60, '[1]POS Categories'!$A$1:$B$999, 2, FALSE)</f>
        <v>Food</v>
      </c>
    </row>
    <row r="61" spans="1:6" x14ac:dyDescent="0.25">
      <c r="A61" t="s">
        <v>436</v>
      </c>
      <c r="B61">
        <v>-21.61</v>
      </c>
      <c r="C61" t="s">
        <v>385</v>
      </c>
      <c r="D61" t="s">
        <v>388</v>
      </c>
      <c r="E61" t="s">
        <v>246</v>
      </c>
      <c r="F61" t="str">
        <f>VLOOKUP(E61, '[1]POS Categories'!$A$1:$B$999, 2, FALSE)</f>
        <v>Food</v>
      </c>
    </row>
    <row r="62" spans="1:6" x14ac:dyDescent="0.25">
      <c r="A62" t="s">
        <v>437</v>
      </c>
      <c r="B62">
        <v>-5.4</v>
      </c>
      <c r="C62" t="s">
        <v>385</v>
      </c>
      <c r="D62" t="s">
        <v>388</v>
      </c>
      <c r="E62" t="s">
        <v>246</v>
      </c>
      <c r="F62" t="str">
        <f>VLOOKUP(E62, '[1]POS Categories'!$A$1:$B$999, 2, FALSE)</f>
        <v>Food</v>
      </c>
    </row>
    <row r="63" spans="1:6" x14ac:dyDescent="0.25">
      <c r="A63" t="s">
        <v>437</v>
      </c>
      <c r="B63">
        <v>-52.06</v>
      </c>
      <c r="C63" t="s">
        <v>385</v>
      </c>
      <c r="D63" t="s">
        <v>388</v>
      </c>
      <c r="E63" t="s">
        <v>246</v>
      </c>
      <c r="F63" t="str">
        <f>VLOOKUP(E63, '[1]POS Categories'!$A$1:$B$999, 2, FALSE)</f>
        <v>Food</v>
      </c>
    </row>
    <row r="64" spans="1:6" x14ac:dyDescent="0.25">
      <c r="A64" t="s">
        <v>437</v>
      </c>
      <c r="B64">
        <v>-16.079999999999998</v>
      </c>
      <c r="C64" t="s">
        <v>385</v>
      </c>
      <c r="D64" t="s">
        <v>388</v>
      </c>
      <c r="E64" t="s">
        <v>142</v>
      </c>
      <c r="F64" t="str">
        <f>VLOOKUP(E64, '[1]POS Categories'!$A$1:$B$999, 2, FALSE)</f>
        <v>Food</v>
      </c>
    </row>
    <row r="65" spans="1:6" x14ac:dyDescent="0.25">
      <c r="A65" t="s">
        <v>437</v>
      </c>
      <c r="B65">
        <v>-57.81</v>
      </c>
      <c r="C65" t="s">
        <v>385</v>
      </c>
      <c r="D65" t="s">
        <v>388</v>
      </c>
      <c r="E65" t="s">
        <v>411</v>
      </c>
      <c r="F65" t="str">
        <f>VLOOKUP(E65, '[1]POS Categories'!$A$1:$B$999, 2, FALSE)</f>
        <v>Sasktel</v>
      </c>
    </row>
    <row r="66" spans="1:6" x14ac:dyDescent="0.25">
      <c r="A66" t="s">
        <v>438</v>
      </c>
      <c r="B66">
        <v>-5.66</v>
      </c>
      <c r="C66" t="s">
        <v>385</v>
      </c>
      <c r="D66" t="s">
        <v>388</v>
      </c>
      <c r="E66" t="s">
        <v>246</v>
      </c>
      <c r="F66" t="str">
        <f>VLOOKUP(E66, '[1]POS Categories'!$A$1:$B$999, 2, FALSE)</f>
        <v>Food</v>
      </c>
    </row>
    <row r="67" spans="1:6" x14ac:dyDescent="0.25">
      <c r="A67" t="s">
        <v>438</v>
      </c>
      <c r="B67">
        <v>-32.799999999999997</v>
      </c>
      <c r="C67" t="s">
        <v>385</v>
      </c>
      <c r="D67" t="s">
        <v>388</v>
      </c>
      <c r="E67" t="s">
        <v>246</v>
      </c>
      <c r="F67" t="str">
        <f>VLOOKUP(E67, '[1]POS Categories'!$A$1:$B$999, 2, FALSE)</f>
        <v>Food</v>
      </c>
    </row>
    <row r="68" spans="1:6" x14ac:dyDescent="0.25">
      <c r="A68" t="s">
        <v>438</v>
      </c>
      <c r="B68">
        <v>-26.74</v>
      </c>
      <c r="C68" t="s">
        <v>385</v>
      </c>
      <c r="D68" t="s">
        <v>388</v>
      </c>
      <c r="E68" t="s">
        <v>379</v>
      </c>
      <c r="F68" t="str">
        <f>VLOOKUP(E68, '[1]POS Categories'!$A$1:$B$999, 2, FALSE)</f>
        <v>Food</v>
      </c>
    </row>
    <row r="69" spans="1:6" x14ac:dyDescent="0.25">
      <c r="A69" t="s">
        <v>439</v>
      </c>
      <c r="B69">
        <v>-17.07</v>
      </c>
      <c r="C69" t="s">
        <v>385</v>
      </c>
      <c r="D69" t="s">
        <v>388</v>
      </c>
      <c r="E69" t="s">
        <v>380</v>
      </c>
      <c r="F69" t="str">
        <f>VLOOKUP(E69, '[1]POS Categories'!$A$1:$B$999, 2, FALSE)</f>
        <v>Food</v>
      </c>
    </row>
    <row r="70" spans="1:6" x14ac:dyDescent="0.25">
      <c r="A70" t="s">
        <v>439</v>
      </c>
      <c r="B70">
        <v>-24.42</v>
      </c>
      <c r="C70" t="s">
        <v>385</v>
      </c>
      <c r="D70" t="s">
        <v>388</v>
      </c>
      <c r="E70" t="s">
        <v>381</v>
      </c>
      <c r="F70" t="s">
        <v>193</v>
      </c>
    </row>
    <row r="71" spans="1:6" x14ac:dyDescent="0.25">
      <c r="A71" t="s">
        <v>439</v>
      </c>
      <c r="B71">
        <v>-32.81</v>
      </c>
      <c r="C71" t="s">
        <v>385</v>
      </c>
      <c r="D71" t="s">
        <v>388</v>
      </c>
      <c r="E71" t="s">
        <v>8</v>
      </c>
      <c r="F71" t="str">
        <f>VLOOKUP(E71, '[1]POS Categories'!$A$1:$B$999, 2, FALSE)</f>
        <v>Food</v>
      </c>
    </row>
    <row r="72" spans="1:6" x14ac:dyDescent="0.25">
      <c r="A72" t="s">
        <v>439</v>
      </c>
      <c r="B72">
        <v>-12.55</v>
      </c>
      <c r="C72" t="s">
        <v>385</v>
      </c>
      <c r="D72" t="s">
        <v>388</v>
      </c>
      <c r="E72" t="s">
        <v>34</v>
      </c>
      <c r="F72" t="str">
        <f>VLOOKUP(E72, '[1]POS Categories'!$A$1:$B$999, 2, FALSE)</f>
        <v>Food</v>
      </c>
    </row>
    <row r="73" spans="1:6" x14ac:dyDescent="0.25">
      <c r="A73" t="s">
        <v>439</v>
      </c>
      <c r="B73">
        <v>-54.68</v>
      </c>
      <c r="C73" t="s">
        <v>385</v>
      </c>
      <c r="D73" t="s">
        <v>388</v>
      </c>
      <c r="E73" t="s">
        <v>395</v>
      </c>
      <c r="F73" t="str">
        <f>VLOOKUP(E73, '[1]POS Categories'!$A$1:$B$999, 2, FALSE)</f>
        <v>Vehicle</v>
      </c>
    </row>
    <row r="74" spans="1:6" x14ac:dyDescent="0.25">
      <c r="A74" t="s">
        <v>440</v>
      </c>
      <c r="B74">
        <v>-13.87</v>
      </c>
      <c r="C74" t="s">
        <v>385</v>
      </c>
      <c r="D74" t="s">
        <v>388</v>
      </c>
      <c r="E74" t="s">
        <v>382</v>
      </c>
      <c r="F74" t="str">
        <f>VLOOKUP(E74, '[1]POS Categories'!$A$1:$B$999, 2, FALSE)</f>
        <v>Bills</v>
      </c>
    </row>
    <row r="75" spans="1:6" x14ac:dyDescent="0.25">
      <c r="A75" t="s">
        <v>440</v>
      </c>
      <c r="B75">
        <v>-7.76</v>
      </c>
      <c r="C75" t="s">
        <v>385</v>
      </c>
      <c r="D75" t="s">
        <v>388</v>
      </c>
      <c r="E75" t="s">
        <v>22</v>
      </c>
      <c r="F75" t="str">
        <f>VLOOKUP(E75, '[1]POS Categories'!$A$1:$B$999, 2, FALSE)</f>
        <v>Entertainment</v>
      </c>
    </row>
    <row r="76" spans="1:6" x14ac:dyDescent="0.25">
      <c r="A76" t="s">
        <v>441</v>
      </c>
      <c r="B76">
        <v>-15.62</v>
      </c>
      <c r="C76" t="s">
        <v>385</v>
      </c>
      <c r="D76" t="s">
        <v>388</v>
      </c>
      <c r="E76" t="s">
        <v>149</v>
      </c>
      <c r="F76" t="str">
        <f>VLOOKUP(E76, '[1]POS Categories'!$A$1:$B$999, 2, FALSE)</f>
        <v>Food</v>
      </c>
    </row>
    <row r="77" spans="1:6" x14ac:dyDescent="0.25">
      <c r="A77" t="s">
        <v>442</v>
      </c>
      <c r="B77">
        <v>-1235</v>
      </c>
      <c r="C77" t="s">
        <v>385</v>
      </c>
      <c r="D77" t="s">
        <v>414</v>
      </c>
      <c r="E77" t="s">
        <v>206</v>
      </c>
      <c r="F77" t="str">
        <f>VLOOKUP(E77, '[1]POS Categories'!$A$1:$B$999, 2, FALSE)</f>
        <v>Rent</v>
      </c>
    </row>
    <row r="78" spans="1:6" x14ac:dyDescent="0.25">
      <c r="A78" t="s">
        <v>442</v>
      </c>
      <c r="B78">
        <v>-10.97</v>
      </c>
      <c r="C78" t="s">
        <v>385</v>
      </c>
      <c r="D78" t="s">
        <v>388</v>
      </c>
      <c r="E78" t="s">
        <v>171</v>
      </c>
      <c r="F78" t="str">
        <f>VLOOKUP(E78, '[1]POS Categories'!$A$1:$B$999, 2, FALSE)</f>
        <v>Food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5"/>
  <sheetViews>
    <sheetView workbookViewId="0">
      <selection activeCell="F58" sqref="F58"/>
    </sheetView>
  </sheetViews>
  <sheetFormatPr defaultRowHeight="15" x14ac:dyDescent="0.25"/>
  <cols>
    <col min="2" max="2" width="8" bestFit="1" customWidth="1"/>
    <col min="4" max="4" width="23.28515625" bestFit="1" customWidth="1"/>
    <col min="5" max="5" width="36.140625" bestFit="1" customWidth="1"/>
  </cols>
  <sheetData>
    <row r="1" spans="1:6" x14ac:dyDescent="0.25">
      <c r="A1" t="s">
        <v>443</v>
      </c>
      <c r="B1">
        <v>-17.07</v>
      </c>
      <c r="C1" t="s">
        <v>385</v>
      </c>
      <c r="D1" t="s">
        <v>388</v>
      </c>
      <c r="E1" t="s">
        <v>174</v>
      </c>
      <c r="F1" t="str">
        <f>VLOOKUP(E1, '[1]POS Categories'!$A$1:$B$999, 2, FALSE)</f>
        <v>Food</v>
      </c>
    </row>
    <row r="2" spans="1:6" x14ac:dyDescent="0.25">
      <c r="A2" t="s">
        <v>443</v>
      </c>
      <c r="B2">
        <v>2240.37</v>
      </c>
      <c r="C2" t="s">
        <v>385</v>
      </c>
      <c r="D2" t="s">
        <v>386</v>
      </c>
      <c r="E2" t="s">
        <v>387</v>
      </c>
      <c r="F2" t="str">
        <f>VLOOKUP(E2, '[1]POS Categories'!$A$1:$B$999, 2, FALSE)</f>
        <v>Job</v>
      </c>
    </row>
    <row r="3" spans="1:6" x14ac:dyDescent="0.25">
      <c r="A3" t="s">
        <v>444</v>
      </c>
      <c r="B3">
        <v>-14.07</v>
      </c>
      <c r="C3" t="s">
        <v>385</v>
      </c>
      <c r="D3" t="s">
        <v>388</v>
      </c>
      <c r="E3" t="s">
        <v>8</v>
      </c>
      <c r="F3" t="str">
        <f>VLOOKUP(E3, '[1]POS Categories'!$A$1:$B$999, 2, FALSE)</f>
        <v>Food</v>
      </c>
    </row>
    <row r="4" spans="1:6" x14ac:dyDescent="0.25">
      <c r="A4" t="s">
        <v>444</v>
      </c>
      <c r="B4">
        <v>-8.15</v>
      </c>
      <c r="C4" t="s">
        <v>385</v>
      </c>
      <c r="D4" t="s">
        <v>388</v>
      </c>
      <c r="E4" t="s">
        <v>183</v>
      </c>
      <c r="F4" t="str">
        <f>VLOOKUP(E4, '[1]POS Categories'!$A$1:$B$999, 2, FALSE)</f>
        <v>Food</v>
      </c>
    </row>
    <row r="5" spans="1:6" x14ac:dyDescent="0.25">
      <c r="A5" t="s">
        <v>444</v>
      </c>
      <c r="B5">
        <v>-48.84</v>
      </c>
      <c r="C5" t="s">
        <v>385</v>
      </c>
      <c r="D5" t="s">
        <v>388</v>
      </c>
      <c r="E5" t="s">
        <v>350</v>
      </c>
      <c r="F5" t="str">
        <f>VLOOKUP(E5, '[1]POS Categories'!$A$1:$B$999, 2, FALSE)</f>
        <v>Food</v>
      </c>
    </row>
    <row r="6" spans="1:6" x14ac:dyDescent="0.25">
      <c r="A6" t="s">
        <v>445</v>
      </c>
      <c r="B6">
        <v>-32.19</v>
      </c>
      <c r="C6" t="s">
        <v>385</v>
      </c>
      <c r="D6" t="s">
        <v>388</v>
      </c>
      <c r="E6" t="s">
        <v>22</v>
      </c>
      <c r="F6" t="str">
        <f>VLOOKUP(E6, '[1]POS Categories'!$A$1:$B$999, 2, FALSE)</f>
        <v>Entertainment</v>
      </c>
    </row>
    <row r="7" spans="1:6" x14ac:dyDescent="0.25">
      <c r="A7" t="s">
        <v>446</v>
      </c>
      <c r="B7">
        <v>-13.2</v>
      </c>
      <c r="C7" t="s">
        <v>385</v>
      </c>
      <c r="D7" t="s">
        <v>388</v>
      </c>
      <c r="E7" t="s">
        <v>241</v>
      </c>
      <c r="F7" t="str">
        <f>VLOOKUP(E7, '[1]POS Categories'!$A$1:$B$999, 2, FALSE)</f>
        <v>Food</v>
      </c>
    </row>
    <row r="8" spans="1:6" x14ac:dyDescent="0.25">
      <c r="A8" t="s">
        <v>446</v>
      </c>
      <c r="B8">
        <v>-98.26</v>
      </c>
      <c r="C8" t="s">
        <v>385</v>
      </c>
      <c r="D8" t="s">
        <v>388</v>
      </c>
      <c r="E8" t="s">
        <v>351</v>
      </c>
      <c r="F8" t="str">
        <f>VLOOKUP(E8, '[1]POS Categories'!$A$1:$B$999, 2, FALSE)</f>
        <v>Food</v>
      </c>
    </row>
    <row r="9" spans="1:6" x14ac:dyDescent="0.25">
      <c r="A9" t="s">
        <v>447</v>
      </c>
      <c r="B9">
        <v>-4.6900000000000004</v>
      </c>
      <c r="C9" t="s">
        <v>385</v>
      </c>
      <c r="D9" t="s">
        <v>388</v>
      </c>
      <c r="E9" t="s">
        <v>408</v>
      </c>
      <c r="F9" t="str">
        <f>VLOOKUP(E9, '[1]POS Categories'!$A$1:$B$999, 2, FALSE)</f>
        <v>Food</v>
      </c>
    </row>
    <row r="10" spans="1:6" x14ac:dyDescent="0.25">
      <c r="A10" t="s">
        <v>448</v>
      </c>
      <c r="B10">
        <v>-86.93</v>
      </c>
      <c r="C10" t="s">
        <v>385</v>
      </c>
      <c r="D10" t="s">
        <v>388</v>
      </c>
      <c r="E10" t="s">
        <v>33</v>
      </c>
      <c r="F10" t="str">
        <f>VLOOKUP(E10, '[1]POS Categories'!$A$1:$B$999, 2, FALSE)</f>
        <v>Food</v>
      </c>
    </row>
    <row r="11" spans="1:6" x14ac:dyDescent="0.25">
      <c r="A11" t="s">
        <v>449</v>
      </c>
      <c r="B11">
        <v>-12.24</v>
      </c>
      <c r="C11" t="s">
        <v>385</v>
      </c>
      <c r="D11" t="s">
        <v>388</v>
      </c>
      <c r="E11" t="s">
        <v>174</v>
      </c>
      <c r="F11" t="str">
        <f>VLOOKUP(E11, '[1]POS Categories'!$A$1:$B$999, 2, FALSE)</f>
        <v>Food</v>
      </c>
    </row>
    <row r="12" spans="1:6" x14ac:dyDescent="0.25">
      <c r="A12" t="s">
        <v>450</v>
      </c>
      <c r="B12">
        <v>-26.8</v>
      </c>
      <c r="C12" t="s">
        <v>385</v>
      </c>
      <c r="D12" t="s">
        <v>388</v>
      </c>
      <c r="E12" t="s">
        <v>162</v>
      </c>
      <c r="F12" t="str">
        <f>VLOOKUP(E12, '[1]POS Categories'!$A$1:$B$999, 2, FALSE)</f>
        <v>Food</v>
      </c>
    </row>
    <row r="13" spans="1:6" x14ac:dyDescent="0.25">
      <c r="A13" t="s">
        <v>450</v>
      </c>
      <c r="B13">
        <v>-12.93</v>
      </c>
      <c r="C13" t="s">
        <v>385</v>
      </c>
      <c r="D13" t="s">
        <v>388</v>
      </c>
      <c r="E13" t="s">
        <v>185</v>
      </c>
      <c r="F13" t="str">
        <f>VLOOKUP(E13, '[1]POS Categories'!$A$1:$B$999, 2, FALSE)</f>
        <v>Food</v>
      </c>
    </row>
    <row r="14" spans="1:6" x14ac:dyDescent="0.25">
      <c r="A14" t="s">
        <v>450</v>
      </c>
      <c r="B14">
        <v>-15.77</v>
      </c>
      <c r="C14" t="s">
        <v>385</v>
      </c>
      <c r="D14" t="s">
        <v>388</v>
      </c>
      <c r="E14" t="s">
        <v>142</v>
      </c>
      <c r="F14" t="str">
        <f>VLOOKUP(E14, '[1]POS Categories'!$A$1:$B$999, 2, FALSE)</f>
        <v>Food</v>
      </c>
    </row>
    <row r="15" spans="1:6" x14ac:dyDescent="0.25">
      <c r="A15" t="s">
        <v>450</v>
      </c>
      <c r="B15">
        <v>-25.53</v>
      </c>
      <c r="C15" t="s">
        <v>385</v>
      </c>
      <c r="D15" t="s">
        <v>388</v>
      </c>
      <c r="E15" t="s">
        <v>236</v>
      </c>
      <c r="F15" t="str">
        <f>VLOOKUP(E15, '[1]POS Categories'!$A$1:$B$999, 2, FALSE)</f>
        <v>Food</v>
      </c>
    </row>
    <row r="16" spans="1:6" x14ac:dyDescent="0.25">
      <c r="A16" t="s">
        <v>451</v>
      </c>
      <c r="B16">
        <v>-41.44</v>
      </c>
      <c r="C16" t="s">
        <v>385</v>
      </c>
      <c r="D16" t="s">
        <v>388</v>
      </c>
      <c r="E16" t="s">
        <v>452</v>
      </c>
      <c r="F16" t="str">
        <f>VLOOKUP(E16, '[1]POS Categories'!$A$1:$B$999, 2, FALSE)</f>
        <v>Food</v>
      </c>
    </row>
    <row r="17" spans="1:6" x14ac:dyDescent="0.25">
      <c r="A17" t="s">
        <v>451</v>
      </c>
      <c r="B17">
        <v>-16.100000000000001</v>
      </c>
      <c r="C17" t="s">
        <v>385</v>
      </c>
      <c r="D17" t="s">
        <v>388</v>
      </c>
      <c r="E17" t="s">
        <v>32</v>
      </c>
      <c r="F17" t="str">
        <f>VLOOKUP(E17, '[1]POS Categories'!$A$1:$B$999, 2, FALSE)</f>
        <v>Food</v>
      </c>
    </row>
    <row r="18" spans="1:6" x14ac:dyDescent="0.25">
      <c r="A18" t="s">
        <v>453</v>
      </c>
      <c r="B18">
        <v>-8.27</v>
      </c>
      <c r="C18" t="s">
        <v>385</v>
      </c>
      <c r="D18" t="s">
        <v>388</v>
      </c>
      <c r="E18" t="s">
        <v>408</v>
      </c>
      <c r="F18" t="str">
        <f>VLOOKUP(E18, '[1]POS Categories'!$A$1:$B$999, 2, FALSE)</f>
        <v>Food</v>
      </c>
    </row>
    <row r="19" spans="1:6" x14ac:dyDescent="0.25">
      <c r="A19" t="s">
        <v>454</v>
      </c>
      <c r="B19">
        <v>-198</v>
      </c>
      <c r="C19" t="s">
        <v>385</v>
      </c>
      <c r="D19" t="s">
        <v>388</v>
      </c>
      <c r="E19" t="s">
        <v>352</v>
      </c>
      <c r="F19" t="str">
        <f>VLOOKUP(E19, '[1]POS Categories'!$A$1:$B$999, 2, FALSE)</f>
        <v>Bills</v>
      </c>
    </row>
    <row r="20" spans="1:6" x14ac:dyDescent="0.25">
      <c r="A20" t="s">
        <v>455</v>
      </c>
      <c r="B20">
        <v>-202.03</v>
      </c>
      <c r="C20" t="s">
        <v>385</v>
      </c>
      <c r="D20" t="s">
        <v>400</v>
      </c>
      <c r="E20" t="s">
        <v>401</v>
      </c>
      <c r="F20" t="str">
        <f>VLOOKUP(E20, '[1]POS Categories'!$A$1:$B$999, 2, FALSE)</f>
        <v>Misc</v>
      </c>
    </row>
    <row r="21" spans="1:6" x14ac:dyDescent="0.25">
      <c r="A21" t="s">
        <v>455</v>
      </c>
      <c r="B21">
        <v>-13.8</v>
      </c>
      <c r="C21" t="s">
        <v>385</v>
      </c>
      <c r="D21" t="s">
        <v>388</v>
      </c>
      <c r="E21" t="s">
        <v>353</v>
      </c>
      <c r="F21" t="str">
        <f>VLOOKUP(E21, '[1]POS Categories'!$A$1:$B$999, 2, FALSE)</f>
        <v>Entertainment</v>
      </c>
    </row>
    <row r="22" spans="1:6" x14ac:dyDescent="0.25">
      <c r="A22" t="s">
        <v>456</v>
      </c>
      <c r="B22">
        <v>-43.18</v>
      </c>
      <c r="C22" t="s">
        <v>385</v>
      </c>
      <c r="D22" t="s">
        <v>388</v>
      </c>
      <c r="E22" t="s">
        <v>354</v>
      </c>
      <c r="F22" t="str">
        <f>VLOOKUP(E22, '[1]POS Categories'!$A$1:$B$999, 2, FALSE)</f>
        <v>Vehicle</v>
      </c>
    </row>
    <row r="23" spans="1:6" x14ac:dyDescent="0.25">
      <c r="A23" t="s">
        <v>456</v>
      </c>
      <c r="B23">
        <v>-6.19</v>
      </c>
      <c r="C23" t="s">
        <v>385</v>
      </c>
      <c r="D23" t="s">
        <v>388</v>
      </c>
      <c r="E23" t="s">
        <v>355</v>
      </c>
      <c r="F23" t="str">
        <f>VLOOKUP(E23, '[1]POS Categories'!$A$1:$B$999, 2, FALSE)</f>
        <v>Food</v>
      </c>
    </row>
    <row r="24" spans="1:6" x14ac:dyDescent="0.25">
      <c r="A24" t="s">
        <v>456</v>
      </c>
      <c r="B24">
        <v>-7.53</v>
      </c>
      <c r="C24" t="s">
        <v>385</v>
      </c>
      <c r="D24" t="s">
        <v>388</v>
      </c>
      <c r="E24" t="s">
        <v>457</v>
      </c>
      <c r="F24" t="str">
        <f>VLOOKUP(E24, '[1]POS Categories'!$A$1:$B$999, 2, FALSE)</f>
        <v>Food</v>
      </c>
    </row>
    <row r="25" spans="1:6" x14ac:dyDescent="0.25">
      <c r="A25" t="s">
        <v>456</v>
      </c>
      <c r="B25">
        <v>-39.549999999999997</v>
      </c>
      <c r="C25" t="s">
        <v>385</v>
      </c>
      <c r="D25" t="s">
        <v>388</v>
      </c>
      <c r="E25" t="s">
        <v>356</v>
      </c>
      <c r="F25" t="str">
        <f>VLOOKUP(E25, '[1]POS Categories'!$A$1:$B$999, 2, FALSE)</f>
        <v>Entertainment</v>
      </c>
    </row>
    <row r="26" spans="1:6" x14ac:dyDescent="0.25">
      <c r="A26" t="s">
        <v>456</v>
      </c>
      <c r="B26">
        <v>-11.23</v>
      </c>
      <c r="C26" t="s">
        <v>385</v>
      </c>
      <c r="D26" t="s">
        <v>388</v>
      </c>
      <c r="E26" t="s">
        <v>395</v>
      </c>
      <c r="F26" t="str">
        <f>VLOOKUP(E26, '[1]POS Categories'!$A$1:$B$999, 2, FALSE)</f>
        <v>Vehicle</v>
      </c>
    </row>
    <row r="27" spans="1:6" x14ac:dyDescent="0.25">
      <c r="A27" t="s">
        <v>456</v>
      </c>
      <c r="B27">
        <v>-37.909999999999997</v>
      </c>
      <c r="C27" t="s">
        <v>385</v>
      </c>
      <c r="D27" t="s">
        <v>388</v>
      </c>
      <c r="E27" t="s">
        <v>395</v>
      </c>
      <c r="F27" t="str">
        <f>VLOOKUP(E27, '[1]POS Categories'!$A$1:$B$999, 2, FALSE)</f>
        <v>Vehicle</v>
      </c>
    </row>
    <row r="28" spans="1:6" x14ac:dyDescent="0.25">
      <c r="A28" t="s">
        <v>456</v>
      </c>
      <c r="B28">
        <v>-31.93</v>
      </c>
      <c r="C28" t="s">
        <v>385</v>
      </c>
      <c r="D28" t="s">
        <v>388</v>
      </c>
      <c r="E28" t="s">
        <v>8</v>
      </c>
      <c r="F28" t="str">
        <f>VLOOKUP(E28, '[1]POS Categories'!$A$1:$B$999, 2, FALSE)</f>
        <v>Food</v>
      </c>
    </row>
    <row r="29" spans="1:6" x14ac:dyDescent="0.25">
      <c r="A29" t="s">
        <v>456</v>
      </c>
      <c r="B29">
        <v>-66.55</v>
      </c>
      <c r="C29" t="s">
        <v>385</v>
      </c>
      <c r="D29" t="s">
        <v>388</v>
      </c>
      <c r="E29" t="s">
        <v>175</v>
      </c>
      <c r="F29" t="str">
        <f>VLOOKUP(E29, '[1]POS Categories'!$A$1:$B$999, 2, FALSE)</f>
        <v>Sasktel</v>
      </c>
    </row>
    <row r="30" spans="1:6" x14ac:dyDescent="0.25">
      <c r="A30" t="s">
        <v>456</v>
      </c>
      <c r="B30">
        <v>2445.21</v>
      </c>
      <c r="C30" t="s">
        <v>385</v>
      </c>
      <c r="D30" t="s">
        <v>386</v>
      </c>
      <c r="E30" t="s">
        <v>387</v>
      </c>
      <c r="F30" t="str">
        <f>VLOOKUP(E30, '[1]POS Categories'!$A$1:$B$999, 2, FALSE)</f>
        <v>Job</v>
      </c>
    </row>
    <row r="31" spans="1:6" x14ac:dyDescent="0.25">
      <c r="A31" t="s">
        <v>456</v>
      </c>
      <c r="B31">
        <v>-9.98</v>
      </c>
      <c r="C31" t="s">
        <v>385</v>
      </c>
      <c r="D31" t="s">
        <v>388</v>
      </c>
      <c r="E31" t="s">
        <v>213</v>
      </c>
      <c r="F31" t="str">
        <f>VLOOKUP(E31, '[1]POS Categories'!$A$1:$B$999, 2, FALSE)</f>
        <v>Entertainment</v>
      </c>
    </row>
    <row r="32" spans="1:6" x14ac:dyDescent="0.25">
      <c r="A32" t="s">
        <v>456</v>
      </c>
      <c r="B32">
        <v>-11.18</v>
      </c>
      <c r="C32" t="s">
        <v>385</v>
      </c>
      <c r="D32" t="s">
        <v>388</v>
      </c>
      <c r="E32" t="s">
        <v>171</v>
      </c>
      <c r="F32" t="str">
        <f>VLOOKUP(E32, '[1]POS Categories'!$A$1:$B$999, 2, FALSE)</f>
        <v>Food</v>
      </c>
    </row>
    <row r="33" spans="1:6" x14ac:dyDescent="0.25">
      <c r="A33" t="s">
        <v>456</v>
      </c>
      <c r="B33">
        <v>-17.350000000000001</v>
      </c>
      <c r="C33" t="s">
        <v>385</v>
      </c>
      <c r="D33" t="s">
        <v>388</v>
      </c>
      <c r="E33" t="s">
        <v>142</v>
      </c>
      <c r="F33" t="str">
        <f>VLOOKUP(E33, '[1]POS Categories'!$A$1:$B$999, 2, FALSE)</f>
        <v>Food</v>
      </c>
    </row>
    <row r="34" spans="1:6" x14ac:dyDescent="0.25">
      <c r="A34" t="s">
        <v>456</v>
      </c>
      <c r="B34">
        <v>-19.41</v>
      </c>
      <c r="C34" t="s">
        <v>385</v>
      </c>
      <c r="D34" t="s">
        <v>388</v>
      </c>
      <c r="E34" t="s">
        <v>213</v>
      </c>
      <c r="F34" t="str">
        <f>VLOOKUP(E34, '[1]POS Categories'!$A$1:$B$999, 2, FALSE)</f>
        <v>Entertainment</v>
      </c>
    </row>
    <row r="35" spans="1:6" x14ac:dyDescent="0.25">
      <c r="A35" t="s">
        <v>458</v>
      </c>
      <c r="B35">
        <v>-11.18</v>
      </c>
      <c r="C35" t="s">
        <v>385</v>
      </c>
      <c r="D35" t="s">
        <v>388</v>
      </c>
      <c r="E35" t="s">
        <v>184</v>
      </c>
      <c r="F35" t="str">
        <f>VLOOKUP(E35, '[1]POS Categories'!$A$1:$B$999, 2, FALSE)</f>
        <v>Food</v>
      </c>
    </row>
    <row r="36" spans="1:6" x14ac:dyDescent="0.25">
      <c r="A36" t="s">
        <v>458</v>
      </c>
      <c r="B36">
        <v>-25.72</v>
      </c>
      <c r="C36" t="s">
        <v>385</v>
      </c>
      <c r="D36" t="s">
        <v>388</v>
      </c>
      <c r="E36" t="s">
        <v>348</v>
      </c>
      <c r="F36" t="str">
        <f>VLOOKUP(E36, '[1]POS Categories'!$A$1:$B$999, 2, FALSE)</f>
        <v>Food</v>
      </c>
    </row>
    <row r="37" spans="1:6" x14ac:dyDescent="0.25">
      <c r="A37" t="s">
        <v>459</v>
      </c>
      <c r="B37">
        <v>-34.5</v>
      </c>
      <c r="C37" t="s">
        <v>385</v>
      </c>
      <c r="D37" t="s">
        <v>388</v>
      </c>
      <c r="E37" t="s">
        <v>357</v>
      </c>
      <c r="F37" t="str">
        <f>VLOOKUP(E37, '[1]POS Categories'!$A$1:$B$999, 2, FALSE)</f>
        <v>Entertainment</v>
      </c>
    </row>
    <row r="38" spans="1:6" x14ac:dyDescent="0.25">
      <c r="A38" t="s">
        <v>460</v>
      </c>
      <c r="B38">
        <v>-31.26</v>
      </c>
      <c r="C38" t="s">
        <v>385</v>
      </c>
      <c r="D38" t="s">
        <v>388</v>
      </c>
      <c r="E38" t="s">
        <v>149</v>
      </c>
      <c r="F38" t="str">
        <f>VLOOKUP(E38, '[1]POS Categories'!$A$1:$B$999, 2, FALSE)</f>
        <v>Food</v>
      </c>
    </row>
    <row r="39" spans="1:6" x14ac:dyDescent="0.25">
      <c r="A39" t="s">
        <v>461</v>
      </c>
      <c r="B39">
        <v>49.02</v>
      </c>
      <c r="C39" t="s">
        <v>385</v>
      </c>
      <c r="D39" t="s">
        <v>427</v>
      </c>
      <c r="E39" t="s">
        <v>358</v>
      </c>
      <c r="F39" t="str">
        <f>VLOOKUP(E39, '[1]POS Categories'!$A$1:$B$999, 2, FALSE)</f>
        <v>Food</v>
      </c>
    </row>
    <row r="40" spans="1:6" x14ac:dyDescent="0.25">
      <c r="A40" t="s">
        <v>461</v>
      </c>
      <c r="B40">
        <v>-54.4</v>
      </c>
      <c r="C40" t="s">
        <v>385</v>
      </c>
      <c r="D40" t="s">
        <v>388</v>
      </c>
      <c r="E40" t="s">
        <v>32</v>
      </c>
      <c r="F40" t="str">
        <f>VLOOKUP(E40, '[1]POS Categories'!$A$1:$B$999, 2, FALSE)</f>
        <v>Food</v>
      </c>
    </row>
    <row r="41" spans="1:6" x14ac:dyDescent="0.25">
      <c r="A41" t="s">
        <v>461</v>
      </c>
      <c r="B41">
        <v>-15.96</v>
      </c>
      <c r="C41" t="s">
        <v>385</v>
      </c>
      <c r="D41" t="s">
        <v>388</v>
      </c>
      <c r="E41" t="s">
        <v>8</v>
      </c>
      <c r="F41" t="str">
        <f>VLOOKUP(E41, '[1]POS Categories'!$A$1:$B$999, 2, FALSE)</f>
        <v>Food</v>
      </c>
    </row>
    <row r="42" spans="1:6" x14ac:dyDescent="0.25">
      <c r="A42" t="s">
        <v>461</v>
      </c>
      <c r="B42">
        <v>-10.48</v>
      </c>
      <c r="C42" t="s">
        <v>385</v>
      </c>
      <c r="D42" t="s">
        <v>388</v>
      </c>
      <c r="E42" t="s">
        <v>33</v>
      </c>
      <c r="F42" t="str">
        <f>VLOOKUP(E42, '[1]POS Categories'!$A$1:$B$999, 2, FALSE)</f>
        <v>Food</v>
      </c>
    </row>
    <row r="43" spans="1:6" x14ac:dyDescent="0.25">
      <c r="A43" t="s">
        <v>461</v>
      </c>
      <c r="B43">
        <v>-25.3</v>
      </c>
      <c r="C43" t="s">
        <v>385</v>
      </c>
      <c r="D43" t="s">
        <v>388</v>
      </c>
      <c r="E43" t="s">
        <v>22</v>
      </c>
      <c r="F43" t="str">
        <f>VLOOKUP(E43, '[1]POS Categories'!$A$1:$B$999, 2, FALSE)</f>
        <v>Entertainment</v>
      </c>
    </row>
    <row r="44" spans="1:6" x14ac:dyDescent="0.25">
      <c r="A44" t="s">
        <v>462</v>
      </c>
      <c r="B44">
        <v>-19.96</v>
      </c>
      <c r="C44" t="s">
        <v>385</v>
      </c>
      <c r="D44" t="s">
        <v>388</v>
      </c>
      <c r="E44" t="s">
        <v>272</v>
      </c>
      <c r="F44" t="str">
        <f>VLOOKUP(E44, '[1]POS Categories'!$A$1:$B$999, 2, FALSE)</f>
        <v>Food</v>
      </c>
    </row>
    <row r="45" spans="1:6" x14ac:dyDescent="0.25">
      <c r="A45" t="s">
        <v>462</v>
      </c>
      <c r="B45">
        <v>-24</v>
      </c>
      <c r="C45" t="s">
        <v>385</v>
      </c>
      <c r="D45" t="s">
        <v>388</v>
      </c>
      <c r="E45" t="s">
        <v>33</v>
      </c>
      <c r="F45" t="str">
        <f>VLOOKUP(E45, '[1]POS Categories'!$A$1:$B$999, 2, FALSE)</f>
        <v>Food</v>
      </c>
    </row>
    <row r="46" spans="1:6" x14ac:dyDescent="0.25">
      <c r="A46" t="s">
        <v>462</v>
      </c>
      <c r="B46">
        <v>-48.84</v>
      </c>
      <c r="C46" t="s">
        <v>385</v>
      </c>
      <c r="D46" t="s">
        <v>388</v>
      </c>
      <c r="E46" t="s">
        <v>236</v>
      </c>
      <c r="F46" t="str">
        <f>VLOOKUP(E46, '[1]POS Categories'!$A$1:$B$999, 2, FALSE)</f>
        <v>Food</v>
      </c>
    </row>
    <row r="47" spans="1:6" x14ac:dyDescent="0.25">
      <c r="A47" t="s">
        <v>462</v>
      </c>
      <c r="B47">
        <v>-12.55</v>
      </c>
      <c r="C47" t="s">
        <v>385</v>
      </c>
      <c r="D47" t="s">
        <v>388</v>
      </c>
      <c r="E47" t="s">
        <v>34</v>
      </c>
      <c r="F47" t="str">
        <f>VLOOKUP(E47, '[1]POS Categories'!$A$1:$B$999, 2, FALSE)</f>
        <v>Food</v>
      </c>
    </row>
    <row r="48" spans="1:6" x14ac:dyDescent="0.25">
      <c r="A48" t="s">
        <v>462</v>
      </c>
      <c r="B48">
        <v>-34.17</v>
      </c>
      <c r="C48" t="s">
        <v>385</v>
      </c>
      <c r="D48" t="s">
        <v>388</v>
      </c>
      <c r="E48" t="s">
        <v>162</v>
      </c>
      <c r="F48" t="str">
        <f>VLOOKUP(E48, '[1]POS Categories'!$A$1:$B$999, 2, FALSE)</f>
        <v>Food</v>
      </c>
    </row>
    <row r="49" spans="1:6" x14ac:dyDescent="0.25">
      <c r="A49" t="s">
        <v>462</v>
      </c>
      <c r="B49">
        <v>-66.02</v>
      </c>
      <c r="C49" t="s">
        <v>385</v>
      </c>
      <c r="D49" t="s">
        <v>388</v>
      </c>
      <c r="E49" t="s">
        <v>463</v>
      </c>
      <c r="F49" t="str">
        <f>VLOOKUP(E49, '[1]POS Categories'!$A$1:$B$999, 2, FALSE)</f>
        <v>Vehicle</v>
      </c>
    </row>
    <row r="50" spans="1:6" x14ac:dyDescent="0.25">
      <c r="A50" t="s">
        <v>464</v>
      </c>
      <c r="B50">
        <v>-13.2</v>
      </c>
      <c r="C50" t="s">
        <v>385</v>
      </c>
      <c r="D50" t="s">
        <v>388</v>
      </c>
      <c r="E50" t="s">
        <v>241</v>
      </c>
      <c r="F50" t="str">
        <f>VLOOKUP(E50, '[1]POS Categories'!$A$1:$B$999, 2, FALSE)</f>
        <v>Food</v>
      </c>
    </row>
    <row r="51" spans="1:6" x14ac:dyDescent="0.25">
      <c r="A51" t="s">
        <v>464</v>
      </c>
      <c r="B51">
        <v>-39.06</v>
      </c>
      <c r="C51" t="s">
        <v>385</v>
      </c>
      <c r="D51" t="s">
        <v>388</v>
      </c>
      <c r="E51" t="s">
        <v>35</v>
      </c>
      <c r="F51" t="str">
        <f>VLOOKUP(E51, '[1]POS Categories'!$A$1:$B$999, 2, FALSE)</f>
        <v>Personal</v>
      </c>
    </row>
    <row r="52" spans="1:6" x14ac:dyDescent="0.25">
      <c r="A52" t="s">
        <v>464</v>
      </c>
      <c r="B52">
        <v>-57.81</v>
      </c>
      <c r="C52" t="s">
        <v>385</v>
      </c>
      <c r="D52" t="s">
        <v>388</v>
      </c>
      <c r="E52" t="s">
        <v>411</v>
      </c>
      <c r="F52" t="str">
        <f>VLOOKUP(E52, '[1]POS Categories'!$A$1:$B$999, 2, FALSE)</f>
        <v>Sasktel</v>
      </c>
    </row>
    <row r="53" spans="1:6" x14ac:dyDescent="0.25">
      <c r="A53" t="s">
        <v>464</v>
      </c>
      <c r="B53">
        <v>-17.07</v>
      </c>
      <c r="C53" t="s">
        <v>385</v>
      </c>
      <c r="D53" t="s">
        <v>388</v>
      </c>
      <c r="E53" t="s">
        <v>174</v>
      </c>
      <c r="F53" t="str">
        <f>VLOOKUP(E53, '[1]POS Categories'!$A$1:$B$999, 2, FALSE)</f>
        <v>Food</v>
      </c>
    </row>
    <row r="54" spans="1:6" x14ac:dyDescent="0.25">
      <c r="A54" t="s">
        <v>464</v>
      </c>
      <c r="B54">
        <v>-6.32</v>
      </c>
      <c r="C54" t="s">
        <v>385</v>
      </c>
      <c r="D54" t="s">
        <v>388</v>
      </c>
      <c r="E54" t="s">
        <v>22</v>
      </c>
      <c r="F54" t="str">
        <f>VLOOKUP(E54, '[1]POS Categories'!$A$1:$B$999, 2, FALSE)</f>
        <v>Entertainment</v>
      </c>
    </row>
    <row r="55" spans="1:6" x14ac:dyDescent="0.25">
      <c r="A55" t="s">
        <v>465</v>
      </c>
      <c r="B55">
        <v>-49.02</v>
      </c>
      <c r="C55" t="s">
        <v>385</v>
      </c>
      <c r="D55" t="s">
        <v>388</v>
      </c>
      <c r="E55" t="s">
        <v>358</v>
      </c>
      <c r="F55" t="str">
        <f>VLOOKUP(E55, '[1]POS Categories'!$A$1:$B$999, 2, FALSE)</f>
        <v>Food</v>
      </c>
    </row>
    <row r="56" spans="1:6" x14ac:dyDescent="0.25">
      <c r="A56" t="s">
        <v>465</v>
      </c>
      <c r="B56">
        <v>-60</v>
      </c>
      <c r="C56" t="s">
        <v>385</v>
      </c>
      <c r="D56" t="s">
        <v>466</v>
      </c>
      <c r="E56" t="s">
        <v>200</v>
      </c>
      <c r="F56" t="s">
        <v>290</v>
      </c>
    </row>
    <row r="57" spans="1:6" x14ac:dyDescent="0.25">
      <c r="A57" t="s">
        <v>465</v>
      </c>
      <c r="B57">
        <v>35</v>
      </c>
      <c r="C57" t="s">
        <v>385</v>
      </c>
      <c r="D57" t="s">
        <v>467</v>
      </c>
      <c r="E57" t="s">
        <v>200</v>
      </c>
      <c r="F57" t="s">
        <v>290</v>
      </c>
    </row>
    <row r="58" spans="1:6" x14ac:dyDescent="0.25">
      <c r="A58" t="s">
        <v>465</v>
      </c>
      <c r="B58">
        <v>35</v>
      </c>
      <c r="C58" t="s">
        <v>385</v>
      </c>
      <c r="D58" t="s">
        <v>467</v>
      </c>
      <c r="E58" t="s">
        <v>200</v>
      </c>
      <c r="F58" t="s">
        <v>290</v>
      </c>
    </row>
    <row r="59" spans="1:6" x14ac:dyDescent="0.25">
      <c r="A59" t="s">
        <v>468</v>
      </c>
      <c r="B59">
        <v>-38.49</v>
      </c>
      <c r="C59" t="s">
        <v>385</v>
      </c>
      <c r="D59" t="s">
        <v>388</v>
      </c>
      <c r="E59" t="s">
        <v>32</v>
      </c>
      <c r="F59" t="str">
        <f>VLOOKUP(E59, '[1]POS Categories'!$A$1:$B$999, 2, FALSE)</f>
        <v>Food</v>
      </c>
    </row>
    <row r="60" spans="1:6" x14ac:dyDescent="0.25">
      <c r="A60" t="s">
        <v>468</v>
      </c>
      <c r="B60">
        <v>-31.59</v>
      </c>
      <c r="C60" t="s">
        <v>385</v>
      </c>
      <c r="D60" t="s">
        <v>388</v>
      </c>
      <c r="E60" t="s">
        <v>8</v>
      </c>
      <c r="F60" t="str">
        <f>VLOOKUP(E60, '[1]POS Categories'!$A$1:$B$999, 2, FALSE)</f>
        <v>Food</v>
      </c>
    </row>
    <row r="61" spans="1:6" x14ac:dyDescent="0.25">
      <c r="A61" t="s">
        <v>469</v>
      </c>
      <c r="B61">
        <v>-33.090000000000003</v>
      </c>
      <c r="C61" t="s">
        <v>385</v>
      </c>
      <c r="D61" t="s">
        <v>388</v>
      </c>
      <c r="E61" t="s">
        <v>359</v>
      </c>
      <c r="F61" t="s">
        <v>290</v>
      </c>
    </row>
    <row r="62" spans="1:6" x14ac:dyDescent="0.25">
      <c r="A62" t="s">
        <v>469</v>
      </c>
      <c r="B62">
        <v>-41.65</v>
      </c>
      <c r="C62" t="s">
        <v>385</v>
      </c>
      <c r="D62" t="s">
        <v>388</v>
      </c>
      <c r="E62" t="s">
        <v>332</v>
      </c>
      <c r="F62" t="s">
        <v>290</v>
      </c>
    </row>
    <row r="63" spans="1:6" x14ac:dyDescent="0.25">
      <c r="A63" t="s">
        <v>469</v>
      </c>
      <c r="B63">
        <v>-16.149999999999999</v>
      </c>
      <c r="C63" t="s">
        <v>385</v>
      </c>
      <c r="D63" t="s">
        <v>388</v>
      </c>
      <c r="E63" t="s">
        <v>360</v>
      </c>
      <c r="F63" t="s">
        <v>290</v>
      </c>
    </row>
    <row r="64" spans="1:6" x14ac:dyDescent="0.25">
      <c r="A64" t="s">
        <v>469</v>
      </c>
      <c r="B64">
        <v>-21</v>
      </c>
      <c r="C64" t="s">
        <v>385</v>
      </c>
      <c r="D64" t="s">
        <v>388</v>
      </c>
      <c r="E64" t="s">
        <v>295</v>
      </c>
      <c r="F64" t="str">
        <f>VLOOKUP(E64, '[1]POS Categories'!$A$1:$B$999, 2, FALSE)</f>
        <v>Vacation</v>
      </c>
    </row>
    <row r="65" spans="1:6" x14ac:dyDescent="0.25">
      <c r="A65" t="s">
        <v>469</v>
      </c>
      <c r="B65">
        <v>-31.5</v>
      </c>
      <c r="C65" t="s">
        <v>385</v>
      </c>
      <c r="D65" t="s">
        <v>388</v>
      </c>
      <c r="E65" t="s">
        <v>338</v>
      </c>
      <c r="F65" t="s">
        <v>193</v>
      </c>
    </row>
    <row r="66" spans="1:6" x14ac:dyDescent="0.25">
      <c r="A66" t="s">
        <v>469</v>
      </c>
      <c r="B66">
        <v>-13.82</v>
      </c>
      <c r="C66" t="s">
        <v>385</v>
      </c>
      <c r="D66" t="s">
        <v>388</v>
      </c>
      <c r="E66" t="s">
        <v>251</v>
      </c>
      <c r="F66" t="str">
        <f>VLOOKUP(E66, '[1]POS Categories'!$A$1:$B$999, 2, FALSE)</f>
        <v>Bills</v>
      </c>
    </row>
    <row r="67" spans="1:6" x14ac:dyDescent="0.25">
      <c r="A67" t="s">
        <v>470</v>
      </c>
      <c r="B67">
        <v>-18.98</v>
      </c>
      <c r="C67" t="s">
        <v>385</v>
      </c>
      <c r="D67" t="s">
        <v>388</v>
      </c>
      <c r="E67" t="s">
        <v>361</v>
      </c>
      <c r="F67" t="s">
        <v>290</v>
      </c>
    </row>
    <row r="68" spans="1:6" x14ac:dyDescent="0.25">
      <c r="A68" t="s">
        <v>470</v>
      </c>
      <c r="B68">
        <v>-6.54</v>
      </c>
      <c r="C68" t="s">
        <v>385</v>
      </c>
      <c r="D68" t="s">
        <v>388</v>
      </c>
      <c r="E68" t="s">
        <v>362</v>
      </c>
      <c r="F68" t="s">
        <v>290</v>
      </c>
    </row>
    <row r="69" spans="1:6" x14ac:dyDescent="0.25">
      <c r="A69" t="s">
        <v>470</v>
      </c>
      <c r="B69">
        <v>-36.76</v>
      </c>
      <c r="C69" t="s">
        <v>385</v>
      </c>
      <c r="D69" t="s">
        <v>388</v>
      </c>
      <c r="E69" t="s">
        <v>362</v>
      </c>
      <c r="F69" t="s">
        <v>290</v>
      </c>
    </row>
    <row r="70" spans="1:6" x14ac:dyDescent="0.25">
      <c r="A70" t="s">
        <v>470</v>
      </c>
      <c r="B70">
        <v>-28.14</v>
      </c>
      <c r="C70" t="s">
        <v>385</v>
      </c>
      <c r="D70" t="s">
        <v>388</v>
      </c>
      <c r="E70" t="s">
        <v>395</v>
      </c>
      <c r="F70" t="s">
        <v>290</v>
      </c>
    </row>
    <row r="71" spans="1:6" x14ac:dyDescent="0.25">
      <c r="A71" t="s">
        <v>471</v>
      </c>
      <c r="B71">
        <v>-1235</v>
      </c>
      <c r="C71" t="s">
        <v>385</v>
      </c>
      <c r="D71" t="s">
        <v>414</v>
      </c>
      <c r="E71" t="s">
        <v>206</v>
      </c>
      <c r="F71" t="str">
        <f>VLOOKUP(E71, '[1]POS Categories'!$A$1:$B$999, 2, FALSE)</f>
        <v>Rent</v>
      </c>
    </row>
    <row r="72" spans="1:6" x14ac:dyDescent="0.25">
      <c r="A72" t="s">
        <v>471</v>
      </c>
      <c r="B72">
        <v>-19.25</v>
      </c>
      <c r="C72" t="s">
        <v>385</v>
      </c>
      <c r="D72" t="s">
        <v>388</v>
      </c>
      <c r="E72" t="s">
        <v>142</v>
      </c>
      <c r="F72" t="str">
        <f>VLOOKUP(E72, '[1]POS Categories'!$A$1:$B$999, 2, FALSE)</f>
        <v>Food</v>
      </c>
    </row>
    <row r="73" spans="1:6" x14ac:dyDescent="0.25">
      <c r="A73" t="s">
        <v>471</v>
      </c>
      <c r="B73">
        <v>-17.52</v>
      </c>
      <c r="C73" t="s">
        <v>385</v>
      </c>
      <c r="D73" t="s">
        <v>388</v>
      </c>
      <c r="E73" t="s">
        <v>8</v>
      </c>
      <c r="F73" t="str">
        <f>VLOOKUP(E73, '[1]POS Categories'!$A$1:$B$999, 2, FALSE)</f>
        <v>Food</v>
      </c>
    </row>
    <row r="74" spans="1:6" x14ac:dyDescent="0.25">
      <c r="A74" t="s">
        <v>471</v>
      </c>
      <c r="B74">
        <v>-12.55</v>
      </c>
      <c r="C74" t="s">
        <v>385</v>
      </c>
      <c r="D74" t="s">
        <v>388</v>
      </c>
      <c r="E74" t="s">
        <v>34</v>
      </c>
      <c r="F74" t="str">
        <f>VLOOKUP(E74, '[1]POS Categories'!$A$1:$B$999, 2, FALSE)</f>
        <v>Food</v>
      </c>
    </row>
    <row r="75" spans="1:6" x14ac:dyDescent="0.25">
      <c r="A75" t="s">
        <v>471</v>
      </c>
      <c r="B75">
        <v>-16.82</v>
      </c>
      <c r="C75" t="s">
        <v>385</v>
      </c>
      <c r="D75" t="s">
        <v>388</v>
      </c>
      <c r="E75" t="s">
        <v>363</v>
      </c>
      <c r="F75" t="str">
        <f>VLOOKUP(E75, '[1]POS Categories'!$A$1:$B$999, 2, FALSE)</f>
        <v>Food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2"/>
  <sheetViews>
    <sheetView topLeftCell="A41" workbookViewId="0">
      <selection activeCell="F2" sqref="F2"/>
    </sheetView>
  </sheetViews>
  <sheetFormatPr defaultRowHeight="15" x14ac:dyDescent="0.25"/>
  <cols>
    <col min="4" max="4" width="23.28515625" bestFit="1" customWidth="1"/>
    <col min="5" max="5" width="34.42578125" bestFit="1" customWidth="1"/>
  </cols>
  <sheetData>
    <row r="1" spans="1:6" x14ac:dyDescent="0.25">
      <c r="A1" t="s">
        <v>472</v>
      </c>
      <c r="B1">
        <v>52</v>
      </c>
      <c r="C1" t="s">
        <v>385</v>
      </c>
      <c r="D1" t="s">
        <v>467</v>
      </c>
      <c r="E1" t="s">
        <v>200</v>
      </c>
      <c r="F1" t="str">
        <f>VLOOKUP(E1, '[1]POS Categories'!$A$1:$B$999, 2, FALSE)</f>
        <v>Bills</v>
      </c>
    </row>
    <row r="2" spans="1:6" x14ac:dyDescent="0.25">
      <c r="A2" t="s">
        <v>472</v>
      </c>
      <c r="B2">
        <v>51.85</v>
      </c>
      <c r="C2" t="s">
        <v>385</v>
      </c>
      <c r="D2" t="s">
        <v>467</v>
      </c>
      <c r="E2" t="s">
        <v>200</v>
      </c>
      <c r="F2" t="str">
        <f>VLOOKUP(E2, '[1]POS Categories'!$A$1:$B$999, 2, FALSE)</f>
        <v>Bills</v>
      </c>
    </row>
    <row r="3" spans="1:6" x14ac:dyDescent="0.25">
      <c r="A3" t="s">
        <v>472</v>
      </c>
      <c r="B3">
        <v>-19.010000000000002</v>
      </c>
      <c r="C3" t="s">
        <v>385</v>
      </c>
      <c r="D3" t="s">
        <v>388</v>
      </c>
      <c r="E3" t="s">
        <v>342</v>
      </c>
      <c r="F3" t="str">
        <f>VLOOKUP(E3, '[1]POS Categories'!$A$1:$B$999, 2, FALSE)</f>
        <v>Food</v>
      </c>
    </row>
    <row r="4" spans="1:6" x14ac:dyDescent="0.25">
      <c r="A4" t="s">
        <v>473</v>
      </c>
      <c r="B4">
        <v>-12.55</v>
      </c>
      <c r="C4" t="s">
        <v>385</v>
      </c>
      <c r="D4" t="s">
        <v>388</v>
      </c>
      <c r="E4" t="s">
        <v>34</v>
      </c>
      <c r="F4" t="str">
        <f>VLOOKUP(E4, '[1]POS Categories'!$A$1:$B$999, 2, FALSE)</f>
        <v>Food</v>
      </c>
    </row>
    <row r="5" spans="1:6" x14ac:dyDescent="0.25">
      <c r="A5" t="s">
        <v>473</v>
      </c>
      <c r="B5">
        <v>-31.91</v>
      </c>
      <c r="C5" t="s">
        <v>385</v>
      </c>
      <c r="D5" t="s">
        <v>388</v>
      </c>
      <c r="E5" t="s">
        <v>142</v>
      </c>
      <c r="F5" t="str">
        <f>VLOOKUP(E5, '[1]POS Categories'!$A$1:$B$999, 2, FALSE)</f>
        <v>Food</v>
      </c>
    </row>
    <row r="6" spans="1:6" x14ac:dyDescent="0.25">
      <c r="A6" t="s">
        <v>473</v>
      </c>
      <c r="B6">
        <v>-12.24</v>
      </c>
      <c r="C6" t="s">
        <v>385</v>
      </c>
      <c r="D6" t="s">
        <v>388</v>
      </c>
      <c r="E6" t="s">
        <v>316</v>
      </c>
      <c r="F6" t="str">
        <f>VLOOKUP(E6, '[1]POS Categories'!$A$1:$B$999, 2, FALSE)</f>
        <v>Food</v>
      </c>
    </row>
    <row r="7" spans="1:6" x14ac:dyDescent="0.25">
      <c r="A7" t="s">
        <v>473</v>
      </c>
      <c r="B7">
        <v>2097.56</v>
      </c>
      <c r="C7" t="s">
        <v>385</v>
      </c>
      <c r="D7" t="s">
        <v>386</v>
      </c>
      <c r="E7" t="s">
        <v>387</v>
      </c>
      <c r="F7" t="str">
        <f>VLOOKUP(E7, '[1]POS Categories'!$A$1:$B$999, 2, FALSE)</f>
        <v>Job</v>
      </c>
    </row>
    <row r="8" spans="1:6" x14ac:dyDescent="0.25">
      <c r="A8" t="s">
        <v>474</v>
      </c>
      <c r="B8">
        <v>-18.32</v>
      </c>
      <c r="C8" t="s">
        <v>385</v>
      </c>
      <c r="D8" t="s">
        <v>388</v>
      </c>
      <c r="E8" t="s">
        <v>142</v>
      </c>
      <c r="F8" t="str">
        <f>VLOOKUP(E8, '[1]POS Categories'!$A$1:$B$999, 2, FALSE)</f>
        <v>Food</v>
      </c>
    </row>
    <row r="9" spans="1:6" x14ac:dyDescent="0.25">
      <c r="A9" t="s">
        <v>474</v>
      </c>
      <c r="B9">
        <v>-199.77</v>
      </c>
      <c r="C9" t="s">
        <v>385</v>
      </c>
      <c r="D9" t="s">
        <v>400</v>
      </c>
      <c r="E9" t="s">
        <v>401</v>
      </c>
      <c r="F9" t="str">
        <f>VLOOKUP(E9, '[1]POS Categories'!$A$1:$B$999, 2, FALSE)</f>
        <v>Misc</v>
      </c>
    </row>
    <row r="10" spans="1:6" x14ac:dyDescent="0.25">
      <c r="A10" t="s">
        <v>474</v>
      </c>
      <c r="B10">
        <v>-8.8699999999999992</v>
      </c>
      <c r="C10" t="s">
        <v>385</v>
      </c>
      <c r="D10" t="s">
        <v>388</v>
      </c>
      <c r="E10" t="s">
        <v>8</v>
      </c>
      <c r="F10" t="str">
        <f>VLOOKUP(E10, '[1]POS Categories'!$A$1:$B$999, 2, FALSE)</f>
        <v>Food</v>
      </c>
    </row>
    <row r="11" spans="1:6" x14ac:dyDescent="0.25">
      <c r="A11" t="s">
        <v>474</v>
      </c>
      <c r="B11">
        <v>-6.27</v>
      </c>
      <c r="C11" t="s">
        <v>385</v>
      </c>
      <c r="D11" t="s">
        <v>388</v>
      </c>
      <c r="E11" t="s">
        <v>34</v>
      </c>
      <c r="F11" t="str">
        <f>VLOOKUP(E11, '[1]POS Categories'!$A$1:$B$999, 2, FALSE)</f>
        <v>Food</v>
      </c>
    </row>
    <row r="12" spans="1:6" x14ac:dyDescent="0.25">
      <c r="A12" t="s">
        <v>475</v>
      </c>
      <c r="B12">
        <v>-23.57</v>
      </c>
      <c r="C12" t="s">
        <v>385</v>
      </c>
      <c r="D12" t="s">
        <v>388</v>
      </c>
      <c r="E12" t="s">
        <v>32</v>
      </c>
      <c r="F12" t="str">
        <f>VLOOKUP(E12, '[1]POS Categories'!$A$1:$B$999, 2, FALSE)</f>
        <v>Food</v>
      </c>
    </row>
    <row r="13" spans="1:6" x14ac:dyDescent="0.25">
      <c r="A13" t="s">
        <v>475</v>
      </c>
      <c r="B13">
        <v>-11.09</v>
      </c>
      <c r="C13" t="s">
        <v>385</v>
      </c>
      <c r="D13" t="s">
        <v>388</v>
      </c>
      <c r="E13" t="s">
        <v>174</v>
      </c>
      <c r="F13" t="str">
        <f>VLOOKUP(E13, '[1]POS Categories'!$A$1:$B$999, 2, FALSE)</f>
        <v>Food</v>
      </c>
    </row>
    <row r="14" spans="1:6" x14ac:dyDescent="0.25">
      <c r="A14" t="s">
        <v>476</v>
      </c>
      <c r="B14">
        <v>-16.82</v>
      </c>
      <c r="C14" t="s">
        <v>385</v>
      </c>
      <c r="D14" t="s">
        <v>388</v>
      </c>
      <c r="E14" t="s">
        <v>142</v>
      </c>
      <c r="F14" t="str">
        <f>VLOOKUP(E14, '[1]POS Categories'!$A$1:$B$999, 2, FALSE)</f>
        <v>Food</v>
      </c>
    </row>
    <row r="15" spans="1:6" x14ac:dyDescent="0.25">
      <c r="A15" t="s">
        <v>477</v>
      </c>
      <c r="B15">
        <v>-11.55</v>
      </c>
      <c r="C15" t="s">
        <v>385</v>
      </c>
      <c r="D15" t="s">
        <v>435</v>
      </c>
      <c r="E15" t="s">
        <v>177</v>
      </c>
      <c r="F15" t="str">
        <f>VLOOKUP(E15, '[1]POS Categories'!$A$1:$B$999, 2, FALSE)</f>
        <v>Power</v>
      </c>
    </row>
    <row r="16" spans="1:6" x14ac:dyDescent="0.25">
      <c r="A16" t="s">
        <v>478</v>
      </c>
      <c r="B16">
        <v>-17.52</v>
      </c>
      <c r="C16" t="s">
        <v>385</v>
      </c>
      <c r="D16" t="s">
        <v>388</v>
      </c>
      <c r="E16" t="s">
        <v>8</v>
      </c>
      <c r="F16" t="str">
        <f>VLOOKUP(E16, '[1]POS Categories'!$A$1:$B$999, 2, FALSE)</f>
        <v>Food</v>
      </c>
    </row>
    <row r="17" spans="1:6" x14ac:dyDescent="0.25">
      <c r="A17" t="s">
        <v>479</v>
      </c>
      <c r="B17">
        <v>-89.91</v>
      </c>
      <c r="C17" t="s">
        <v>385</v>
      </c>
      <c r="D17" t="s">
        <v>388</v>
      </c>
      <c r="E17" t="s">
        <v>43</v>
      </c>
      <c r="F17" t="str">
        <f>VLOOKUP(E17, '[1]POS Categories'!$A$1:$B$999, 2, FALSE)</f>
        <v>Personal</v>
      </c>
    </row>
    <row r="18" spans="1:6" x14ac:dyDescent="0.25">
      <c r="A18" t="s">
        <v>479</v>
      </c>
      <c r="B18">
        <v>-14.53</v>
      </c>
      <c r="C18" t="s">
        <v>385</v>
      </c>
      <c r="D18" t="s">
        <v>388</v>
      </c>
      <c r="E18" t="s">
        <v>171</v>
      </c>
      <c r="F18" t="str">
        <f>VLOOKUP(E18, '[1]POS Categories'!$A$1:$B$999, 2, FALSE)</f>
        <v>Food</v>
      </c>
    </row>
    <row r="19" spans="1:6" x14ac:dyDescent="0.25">
      <c r="A19" t="s">
        <v>480</v>
      </c>
      <c r="B19">
        <v>-85</v>
      </c>
      <c r="C19" t="s">
        <v>385</v>
      </c>
      <c r="D19" t="s">
        <v>466</v>
      </c>
      <c r="E19" t="s">
        <v>200</v>
      </c>
      <c r="F19" t="str">
        <f>VLOOKUP(E19, '[1]POS Categories'!$A$1:$B$999, 2, FALSE)</f>
        <v>Bills</v>
      </c>
    </row>
    <row r="20" spans="1:6" x14ac:dyDescent="0.25">
      <c r="A20" t="s">
        <v>480</v>
      </c>
      <c r="B20">
        <v>-23.46</v>
      </c>
      <c r="C20" t="s">
        <v>385</v>
      </c>
      <c r="D20" t="s">
        <v>388</v>
      </c>
      <c r="E20" t="s">
        <v>33</v>
      </c>
      <c r="F20" t="str">
        <f>VLOOKUP(E20, '[1]POS Categories'!$A$1:$B$999, 2, FALSE)</f>
        <v>Food</v>
      </c>
    </row>
    <row r="21" spans="1:6" x14ac:dyDescent="0.25">
      <c r="A21" t="s">
        <v>480</v>
      </c>
      <c r="B21">
        <v>-11.76</v>
      </c>
      <c r="C21" t="s">
        <v>385</v>
      </c>
      <c r="D21" t="s">
        <v>388</v>
      </c>
      <c r="E21" t="s">
        <v>185</v>
      </c>
      <c r="F21" t="str">
        <f>VLOOKUP(E21, '[1]POS Categories'!$A$1:$B$999, 2, FALSE)</f>
        <v>Food</v>
      </c>
    </row>
    <row r="22" spans="1:6" x14ac:dyDescent="0.25">
      <c r="A22" t="s">
        <v>481</v>
      </c>
      <c r="B22">
        <v>-10.97</v>
      </c>
      <c r="C22" t="s">
        <v>385</v>
      </c>
      <c r="D22" t="s">
        <v>388</v>
      </c>
      <c r="E22" t="s">
        <v>171</v>
      </c>
      <c r="F22" t="str">
        <f>VLOOKUP(E22, '[1]POS Categories'!$A$1:$B$999, 2, FALSE)</f>
        <v>Food</v>
      </c>
    </row>
    <row r="23" spans="1:6" x14ac:dyDescent="0.25">
      <c r="A23" t="s">
        <v>481</v>
      </c>
      <c r="B23">
        <v>-9.76</v>
      </c>
      <c r="C23" t="s">
        <v>385</v>
      </c>
      <c r="D23" t="s">
        <v>388</v>
      </c>
      <c r="E23" t="s">
        <v>8</v>
      </c>
      <c r="F23" t="str">
        <f>VLOOKUP(E23, '[1]POS Categories'!$A$1:$B$999, 2, FALSE)</f>
        <v>Food</v>
      </c>
    </row>
    <row r="24" spans="1:6" x14ac:dyDescent="0.25">
      <c r="A24" t="s">
        <v>481</v>
      </c>
      <c r="B24">
        <v>-125</v>
      </c>
      <c r="C24" t="s">
        <v>385</v>
      </c>
      <c r="D24" t="s">
        <v>466</v>
      </c>
      <c r="E24" t="s">
        <v>200</v>
      </c>
      <c r="F24" t="str">
        <f>VLOOKUP(E24, '[1]POS Categories'!$A$1:$B$999, 2, FALSE)</f>
        <v>Bills</v>
      </c>
    </row>
    <row r="25" spans="1:6" x14ac:dyDescent="0.25">
      <c r="A25" t="s">
        <v>482</v>
      </c>
      <c r="B25">
        <v>-19.88</v>
      </c>
      <c r="C25" t="s">
        <v>385</v>
      </c>
      <c r="D25" t="s">
        <v>388</v>
      </c>
      <c r="E25" t="s">
        <v>142</v>
      </c>
      <c r="F25" t="str">
        <f>VLOOKUP(E25, '[1]POS Categories'!$A$1:$B$999, 2, FALSE)</f>
        <v>Food</v>
      </c>
    </row>
    <row r="26" spans="1:6" x14ac:dyDescent="0.25">
      <c r="A26" t="s">
        <v>482</v>
      </c>
      <c r="B26">
        <v>-24.05</v>
      </c>
      <c r="C26" t="s">
        <v>385</v>
      </c>
      <c r="D26" t="s">
        <v>388</v>
      </c>
      <c r="E26" t="s">
        <v>240</v>
      </c>
      <c r="F26" t="str">
        <f>VLOOKUP(E26, '[1]POS Categories'!$A$1:$B$999, 2, FALSE)</f>
        <v>Food</v>
      </c>
    </row>
    <row r="27" spans="1:6" x14ac:dyDescent="0.25">
      <c r="A27" t="s">
        <v>482</v>
      </c>
      <c r="B27">
        <v>-40</v>
      </c>
      <c r="C27" t="s">
        <v>385</v>
      </c>
      <c r="D27" t="s">
        <v>388</v>
      </c>
      <c r="E27" t="s">
        <v>343</v>
      </c>
      <c r="F27" t="str">
        <f>VLOOKUP(E27, '[1]POS Categories'!$A$1:$B$999, 2, FALSE)</f>
        <v>Sports</v>
      </c>
    </row>
    <row r="28" spans="1:6" x14ac:dyDescent="0.25">
      <c r="A28" t="s">
        <v>482</v>
      </c>
      <c r="B28">
        <v>-31.32</v>
      </c>
      <c r="C28" t="s">
        <v>385</v>
      </c>
      <c r="D28" t="s">
        <v>388</v>
      </c>
      <c r="E28" t="s">
        <v>344</v>
      </c>
      <c r="F28" t="str">
        <f>VLOOKUP(E28, '[1]POS Categories'!$A$1:$B$999, 2, FALSE)</f>
        <v>Food</v>
      </c>
    </row>
    <row r="29" spans="1:6" x14ac:dyDescent="0.25">
      <c r="A29" t="s">
        <v>483</v>
      </c>
      <c r="B29">
        <v>-10.11</v>
      </c>
      <c r="C29" t="s">
        <v>385</v>
      </c>
      <c r="D29" t="s">
        <v>388</v>
      </c>
      <c r="E29" t="s">
        <v>341</v>
      </c>
      <c r="F29" t="str">
        <f>VLOOKUP(E29, '[1]POS Categories'!$A$1:$B$999, 2, FALSE)</f>
        <v>Vehicle</v>
      </c>
    </row>
    <row r="30" spans="1:6" x14ac:dyDescent="0.25">
      <c r="A30" t="s">
        <v>483</v>
      </c>
      <c r="B30">
        <v>-46.64</v>
      </c>
      <c r="C30" t="s">
        <v>385</v>
      </c>
      <c r="D30" t="s">
        <v>388</v>
      </c>
      <c r="E30" t="s">
        <v>341</v>
      </c>
      <c r="F30" t="str">
        <f>VLOOKUP(E30, '[1]POS Categories'!$A$1:$B$999, 2, FALSE)</f>
        <v>Vehicle</v>
      </c>
    </row>
    <row r="31" spans="1:6" x14ac:dyDescent="0.25">
      <c r="A31" t="s">
        <v>483</v>
      </c>
      <c r="B31">
        <v>-59.94</v>
      </c>
      <c r="C31" t="s">
        <v>385</v>
      </c>
      <c r="D31" t="s">
        <v>388</v>
      </c>
      <c r="E31" t="s">
        <v>247</v>
      </c>
      <c r="F31" t="str">
        <f>VLOOKUP(E31, '[1]POS Categories'!$A$1:$B$999, 2, FALSE)</f>
        <v>Food</v>
      </c>
    </row>
    <row r="32" spans="1:6" x14ac:dyDescent="0.25">
      <c r="A32" t="s">
        <v>483</v>
      </c>
      <c r="B32">
        <v>-11.1</v>
      </c>
      <c r="C32" t="s">
        <v>385</v>
      </c>
      <c r="D32" t="s">
        <v>388</v>
      </c>
      <c r="E32" t="s">
        <v>171</v>
      </c>
      <c r="F32" t="str">
        <f>VLOOKUP(E32, '[1]POS Categories'!$A$1:$B$999, 2, FALSE)</f>
        <v>Food</v>
      </c>
    </row>
    <row r="33" spans="1:6" x14ac:dyDescent="0.25">
      <c r="A33" t="s">
        <v>484</v>
      </c>
      <c r="B33">
        <v>-12.33</v>
      </c>
      <c r="C33" t="s">
        <v>385</v>
      </c>
      <c r="D33" t="s">
        <v>388</v>
      </c>
      <c r="E33" t="s">
        <v>34</v>
      </c>
      <c r="F33" t="str">
        <f>VLOOKUP(E33, '[1]POS Categories'!$A$1:$B$999, 2, FALSE)</f>
        <v>Food</v>
      </c>
    </row>
    <row r="34" spans="1:6" x14ac:dyDescent="0.25">
      <c r="A34" t="s">
        <v>484</v>
      </c>
      <c r="B34">
        <v>-39.78</v>
      </c>
      <c r="C34" t="s">
        <v>385</v>
      </c>
      <c r="D34" t="s">
        <v>388</v>
      </c>
      <c r="E34" t="s">
        <v>32</v>
      </c>
      <c r="F34" t="str">
        <f>VLOOKUP(E34, '[1]POS Categories'!$A$1:$B$999, 2, FALSE)</f>
        <v>Food</v>
      </c>
    </row>
    <row r="35" spans="1:6" x14ac:dyDescent="0.25">
      <c r="A35" t="s">
        <v>484</v>
      </c>
      <c r="B35">
        <v>-9.1999999999999993</v>
      </c>
      <c r="C35" t="s">
        <v>385</v>
      </c>
      <c r="D35" t="s">
        <v>388</v>
      </c>
      <c r="E35" t="s">
        <v>8</v>
      </c>
      <c r="F35" t="str">
        <f>VLOOKUP(E35, '[1]POS Categories'!$A$1:$B$999, 2, FALSE)</f>
        <v>Food</v>
      </c>
    </row>
    <row r="36" spans="1:6" x14ac:dyDescent="0.25">
      <c r="A36" t="s">
        <v>484</v>
      </c>
      <c r="B36">
        <v>-68.58</v>
      </c>
      <c r="C36" t="s">
        <v>385</v>
      </c>
      <c r="D36" t="s">
        <v>388</v>
      </c>
      <c r="E36" t="s">
        <v>175</v>
      </c>
      <c r="F36" t="str">
        <f>VLOOKUP(E36, '[1]POS Categories'!$A$1:$B$999, 2, FALSE)</f>
        <v>Sasktel</v>
      </c>
    </row>
    <row r="37" spans="1:6" x14ac:dyDescent="0.25">
      <c r="A37" t="s">
        <v>484</v>
      </c>
      <c r="B37">
        <v>2379.6999999999998</v>
      </c>
      <c r="C37" t="s">
        <v>385</v>
      </c>
      <c r="D37" t="s">
        <v>386</v>
      </c>
      <c r="E37" t="s">
        <v>387</v>
      </c>
      <c r="F37" t="str">
        <f>VLOOKUP(E37, '[1]POS Categories'!$A$1:$B$999, 2, FALSE)</f>
        <v>Job</v>
      </c>
    </row>
    <row r="38" spans="1:6" x14ac:dyDescent="0.25">
      <c r="A38" t="s">
        <v>485</v>
      </c>
      <c r="B38">
        <v>-13.89</v>
      </c>
      <c r="C38" t="s">
        <v>385</v>
      </c>
      <c r="D38" t="s">
        <v>388</v>
      </c>
      <c r="E38" t="s">
        <v>174</v>
      </c>
      <c r="F38" t="str">
        <f>VLOOKUP(E38, '[1]POS Categories'!$A$1:$B$999, 2, FALSE)</f>
        <v>Food</v>
      </c>
    </row>
    <row r="39" spans="1:6" x14ac:dyDescent="0.25">
      <c r="A39" t="s">
        <v>486</v>
      </c>
      <c r="B39">
        <v>-17.52</v>
      </c>
      <c r="C39" t="s">
        <v>385</v>
      </c>
      <c r="D39" t="s">
        <v>388</v>
      </c>
      <c r="E39" t="s">
        <v>8</v>
      </c>
      <c r="F39" t="str">
        <f>VLOOKUP(E39, '[1]POS Categories'!$A$1:$B$999, 2, FALSE)</f>
        <v>Food</v>
      </c>
    </row>
    <row r="40" spans="1:6" x14ac:dyDescent="0.25">
      <c r="A40" t="s">
        <v>486</v>
      </c>
      <c r="B40">
        <v>23.32</v>
      </c>
      <c r="C40" t="s">
        <v>385</v>
      </c>
      <c r="D40" t="s">
        <v>467</v>
      </c>
      <c r="E40" t="s">
        <v>200</v>
      </c>
      <c r="F40" t="str">
        <f>VLOOKUP(E40, '[1]POS Categories'!$A$1:$B$999, 2, FALSE)</f>
        <v>Bills</v>
      </c>
    </row>
    <row r="41" spans="1:6" x14ac:dyDescent="0.25">
      <c r="A41" t="s">
        <v>487</v>
      </c>
      <c r="B41">
        <v>67.260000000000005</v>
      </c>
      <c r="C41" t="s">
        <v>385</v>
      </c>
      <c r="D41" t="s">
        <v>427</v>
      </c>
      <c r="E41" t="s">
        <v>345</v>
      </c>
      <c r="F41" t="str">
        <f>VLOOKUP(E41, '[1]POS Categories'!$A$1:$B$999, 2, FALSE)</f>
        <v>Entertainment</v>
      </c>
    </row>
    <row r="42" spans="1:6" x14ac:dyDescent="0.25">
      <c r="A42" t="s">
        <v>487</v>
      </c>
      <c r="B42">
        <v>67.260000000000005</v>
      </c>
      <c r="C42" t="s">
        <v>385</v>
      </c>
      <c r="D42" t="s">
        <v>427</v>
      </c>
      <c r="E42" t="s">
        <v>345</v>
      </c>
      <c r="F42" t="str">
        <f>VLOOKUP(E42, '[1]POS Categories'!$A$1:$B$999, 2, FALSE)</f>
        <v>Entertainment</v>
      </c>
    </row>
    <row r="43" spans="1:6" x14ac:dyDescent="0.25">
      <c r="A43" t="s">
        <v>487</v>
      </c>
      <c r="B43">
        <v>67.260000000000005</v>
      </c>
      <c r="C43" t="s">
        <v>385</v>
      </c>
      <c r="D43" t="s">
        <v>427</v>
      </c>
      <c r="E43" t="s">
        <v>345</v>
      </c>
      <c r="F43" t="str">
        <f>VLOOKUP(E43, '[1]POS Categories'!$A$1:$B$999, 2, FALSE)</f>
        <v>Entertainment</v>
      </c>
    </row>
    <row r="44" spans="1:6" x14ac:dyDescent="0.25">
      <c r="A44" t="s">
        <v>487</v>
      </c>
      <c r="B44">
        <v>-21.68</v>
      </c>
      <c r="C44" t="s">
        <v>385</v>
      </c>
      <c r="D44" t="s">
        <v>388</v>
      </c>
      <c r="E44" t="s">
        <v>142</v>
      </c>
      <c r="F44" t="str">
        <f>VLOOKUP(E44, '[1]POS Categories'!$A$1:$B$999, 2, FALSE)</f>
        <v>Food</v>
      </c>
    </row>
    <row r="45" spans="1:6" x14ac:dyDescent="0.25">
      <c r="A45" t="s">
        <v>487</v>
      </c>
      <c r="B45">
        <v>-122</v>
      </c>
      <c r="C45" t="s">
        <v>385</v>
      </c>
      <c r="D45" t="s">
        <v>466</v>
      </c>
      <c r="E45" t="s">
        <v>200</v>
      </c>
      <c r="F45" t="s">
        <v>321</v>
      </c>
    </row>
    <row r="46" spans="1:6" x14ac:dyDescent="0.25">
      <c r="A46" t="s">
        <v>487</v>
      </c>
      <c r="B46">
        <v>75</v>
      </c>
      <c r="C46" t="s">
        <v>385</v>
      </c>
      <c r="D46" t="s">
        <v>467</v>
      </c>
      <c r="E46" t="s">
        <v>200</v>
      </c>
      <c r="F46" t="str">
        <f>VLOOKUP(E46, '[1]POS Categories'!$A$1:$B$999, 2, FALSE)</f>
        <v>Bills</v>
      </c>
    </row>
    <row r="47" spans="1:6" x14ac:dyDescent="0.25">
      <c r="A47" t="s">
        <v>487</v>
      </c>
      <c r="B47">
        <v>-12.29</v>
      </c>
      <c r="C47" t="s">
        <v>385</v>
      </c>
      <c r="D47" t="s">
        <v>388</v>
      </c>
      <c r="E47" t="s">
        <v>184</v>
      </c>
      <c r="F47" t="str">
        <f>VLOOKUP(E47, '[1]POS Categories'!$A$1:$B$999, 2, FALSE)</f>
        <v>Food</v>
      </c>
    </row>
    <row r="48" spans="1:6" x14ac:dyDescent="0.25">
      <c r="A48" t="s">
        <v>487</v>
      </c>
      <c r="B48">
        <v>-23.3</v>
      </c>
      <c r="C48" t="s">
        <v>385</v>
      </c>
      <c r="D48" t="s">
        <v>388</v>
      </c>
      <c r="E48" t="s">
        <v>23</v>
      </c>
      <c r="F48" t="str">
        <f>VLOOKUP(E48, '[1]POS Categories'!$A$1:$B$999, 2, FALSE)</f>
        <v>Entertainment</v>
      </c>
    </row>
    <row r="49" spans="1:6" x14ac:dyDescent="0.25">
      <c r="A49" t="s">
        <v>487</v>
      </c>
      <c r="B49">
        <v>128.79</v>
      </c>
      <c r="C49" t="s">
        <v>385</v>
      </c>
      <c r="D49" t="s">
        <v>430</v>
      </c>
      <c r="E49" t="s">
        <v>346</v>
      </c>
      <c r="F49" t="str">
        <f>VLOOKUP(E49, '[1]POS Categories'!$A$1:$B$999, 2, FALSE)</f>
        <v>Entertainment</v>
      </c>
    </row>
    <row r="50" spans="1:6" x14ac:dyDescent="0.25">
      <c r="A50" t="s">
        <v>487</v>
      </c>
      <c r="B50">
        <v>-128.79</v>
      </c>
      <c r="C50" t="s">
        <v>385</v>
      </c>
      <c r="D50" t="s">
        <v>388</v>
      </c>
      <c r="E50" t="s">
        <v>346</v>
      </c>
      <c r="F50" t="str">
        <f>VLOOKUP(E50, '[1]POS Categories'!$A$1:$B$999, 2, FALSE)</f>
        <v>Entertainment</v>
      </c>
    </row>
    <row r="51" spans="1:6" x14ac:dyDescent="0.25">
      <c r="A51" t="s">
        <v>488</v>
      </c>
      <c r="B51">
        <v>-71.48</v>
      </c>
      <c r="C51" t="s">
        <v>385</v>
      </c>
      <c r="D51" t="s">
        <v>388</v>
      </c>
      <c r="E51" t="s">
        <v>345</v>
      </c>
      <c r="F51" t="str">
        <f>VLOOKUP(E51, '[1]POS Categories'!$A$1:$B$999, 2, FALSE)</f>
        <v>Entertainment</v>
      </c>
    </row>
    <row r="52" spans="1:6" x14ac:dyDescent="0.25">
      <c r="A52" t="s">
        <v>488</v>
      </c>
      <c r="B52">
        <v>-71.48</v>
      </c>
      <c r="C52" t="s">
        <v>385</v>
      </c>
      <c r="D52" t="s">
        <v>388</v>
      </c>
      <c r="E52" t="s">
        <v>345</v>
      </c>
      <c r="F52" t="str">
        <f>VLOOKUP(E52, '[1]POS Categories'!$A$1:$B$999, 2, FALSE)</f>
        <v>Entertainment</v>
      </c>
    </row>
    <row r="53" spans="1:6" x14ac:dyDescent="0.25">
      <c r="A53" t="s">
        <v>488</v>
      </c>
      <c r="B53">
        <v>-71.48</v>
      </c>
      <c r="C53" t="s">
        <v>385</v>
      </c>
      <c r="D53" t="s">
        <v>388</v>
      </c>
      <c r="E53" t="s">
        <v>345</v>
      </c>
      <c r="F53" t="str">
        <f>VLOOKUP(E53, '[1]POS Categories'!$A$1:$B$999, 2, FALSE)</f>
        <v>Entertainment</v>
      </c>
    </row>
    <row r="54" spans="1:6" x14ac:dyDescent="0.25">
      <c r="A54" t="s">
        <v>488</v>
      </c>
      <c r="B54">
        <v>-42.91</v>
      </c>
      <c r="C54" t="s">
        <v>385</v>
      </c>
      <c r="D54" t="s">
        <v>388</v>
      </c>
      <c r="E54" t="s">
        <v>118</v>
      </c>
      <c r="F54" t="str">
        <f>VLOOKUP(E54, '[1]POS Categories'!$A$1:$B$999, 2, FALSE)</f>
        <v>Food</v>
      </c>
    </row>
    <row r="55" spans="1:6" x14ac:dyDescent="0.25">
      <c r="A55" t="s">
        <v>489</v>
      </c>
      <c r="B55">
        <v>-7.71</v>
      </c>
      <c r="C55" t="s">
        <v>385</v>
      </c>
      <c r="D55" t="s">
        <v>388</v>
      </c>
      <c r="E55" t="s">
        <v>395</v>
      </c>
      <c r="F55" t="str">
        <f>VLOOKUP(E55, '[1]POS Categories'!$A$1:$B$999, 2, FALSE)</f>
        <v>Vehicle</v>
      </c>
    </row>
    <row r="56" spans="1:6" x14ac:dyDescent="0.25">
      <c r="A56" t="s">
        <v>489</v>
      </c>
      <c r="B56">
        <v>-23.32</v>
      </c>
      <c r="C56" t="s">
        <v>385</v>
      </c>
      <c r="D56" t="s">
        <v>388</v>
      </c>
      <c r="E56" t="s">
        <v>347</v>
      </c>
      <c r="F56" t="str">
        <f>VLOOKUP(E56, '[1]POS Categories'!$A$1:$B$999, 2, FALSE)</f>
        <v>Food</v>
      </c>
    </row>
    <row r="57" spans="1:6" x14ac:dyDescent="0.25">
      <c r="A57" t="s">
        <v>490</v>
      </c>
      <c r="B57">
        <v>-81.010000000000005</v>
      </c>
      <c r="C57" t="s">
        <v>385</v>
      </c>
      <c r="D57" t="s">
        <v>388</v>
      </c>
      <c r="E57" t="s">
        <v>314</v>
      </c>
      <c r="F57" t="str">
        <f>VLOOKUP(E57, '[1]POS Categories'!$A$1:$B$999, 2, FALSE)</f>
        <v>Personal</v>
      </c>
    </row>
    <row r="58" spans="1:6" x14ac:dyDescent="0.25">
      <c r="A58" t="s">
        <v>490</v>
      </c>
      <c r="B58">
        <v>-57.81</v>
      </c>
      <c r="C58" t="s">
        <v>385</v>
      </c>
      <c r="D58" t="s">
        <v>388</v>
      </c>
      <c r="E58" t="s">
        <v>411</v>
      </c>
      <c r="F58" t="str">
        <f>VLOOKUP(E58, '[1]POS Categories'!$A$1:$B$999, 2, FALSE)</f>
        <v>Sasktel</v>
      </c>
    </row>
    <row r="59" spans="1:6" x14ac:dyDescent="0.25">
      <c r="A59" t="s">
        <v>491</v>
      </c>
      <c r="B59">
        <v>-11.09</v>
      </c>
      <c r="C59" t="s">
        <v>385</v>
      </c>
      <c r="D59" t="s">
        <v>388</v>
      </c>
      <c r="E59" t="s">
        <v>8</v>
      </c>
      <c r="F59" t="str">
        <f>VLOOKUP(E59, '[1]POS Categories'!$A$1:$B$999, 2, FALSE)</f>
        <v>Food</v>
      </c>
    </row>
    <row r="60" spans="1:6" x14ac:dyDescent="0.25">
      <c r="A60" t="s">
        <v>492</v>
      </c>
      <c r="B60">
        <v>-18.36</v>
      </c>
      <c r="C60" t="s">
        <v>385</v>
      </c>
      <c r="D60" t="s">
        <v>388</v>
      </c>
      <c r="E60" t="s">
        <v>32</v>
      </c>
      <c r="F60" t="str">
        <f>VLOOKUP(E60, '[1]POS Categories'!$A$1:$B$999, 2, FALSE)</f>
        <v>Food</v>
      </c>
    </row>
    <row r="61" spans="1:6" x14ac:dyDescent="0.25">
      <c r="A61" t="s">
        <v>492</v>
      </c>
      <c r="B61">
        <v>-61.02</v>
      </c>
      <c r="C61" t="s">
        <v>385</v>
      </c>
      <c r="D61" t="s">
        <v>388</v>
      </c>
      <c r="E61" t="s">
        <v>395</v>
      </c>
      <c r="F61" t="str">
        <f>VLOOKUP(E61, '[1]POS Categories'!$A$1:$B$999, 2, FALSE)</f>
        <v>Vehicle</v>
      </c>
    </row>
    <row r="62" spans="1:6" x14ac:dyDescent="0.25">
      <c r="A62" t="s">
        <v>493</v>
      </c>
      <c r="B62">
        <v>-66.39</v>
      </c>
      <c r="C62" t="s">
        <v>385</v>
      </c>
      <c r="D62" t="s">
        <v>388</v>
      </c>
      <c r="E62" t="s">
        <v>181</v>
      </c>
      <c r="F62" t="str">
        <f>VLOOKUP(E62, '[1]POS Categories'!$A$1:$B$999, 2, FALSE)</f>
        <v>Food</v>
      </c>
    </row>
    <row r="63" spans="1:6" x14ac:dyDescent="0.25">
      <c r="A63" t="s">
        <v>493</v>
      </c>
      <c r="B63">
        <v>-11.64</v>
      </c>
      <c r="C63" t="s">
        <v>385</v>
      </c>
      <c r="D63" t="s">
        <v>388</v>
      </c>
      <c r="E63" t="s">
        <v>185</v>
      </c>
      <c r="F63" t="str">
        <f>VLOOKUP(E63, '[1]POS Categories'!$A$1:$B$999, 2, FALSE)</f>
        <v>Food</v>
      </c>
    </row>
    <row r="64" spans="1:6" x14ac:dyDescent="0.25">
      <c r="A64" t="s">
        <v>493</v>
      </c>
      <c r="B64">
        <v>-30.35</v>
      </c>
      <c r="C64" t="s">
        <v>385</v>
      </c>
      <c r="D64" t="s">
        <v>388</v>
      </c>
      <c r="E64" t="s">
        <v>348</v>
      </c>
      <c r="F64" t="str">
        <f>VLOOKUP(E64, '[1]POS Categories'!$A$1:$B$999, 2, FALSE)</f>
        <v>Food</v>
      </c>
    </row>
    <row r="65" spans="1:6" x14ac:dyDescent="0.25">
      <c r="A65" t="s">
        <v>494</v>
      </c>
      <c r="B65">
        <v>-14.08</v>
      </c>
      <c r="C65" t="s">
        <v>385</v>
      </c>
      <c r="D65" t="s">
        <v>388</v>
      </c>
      <c r="E65" t="s">
        <v>171</v>
      </c>
      <c r="F65" t="str">
        <f>VLOOKUP(E65, '[1]POS Categories'!$A$1:$B$999, 2, FALSE)</f>
        <v>Food</v>
      </c>
    </row>
    <row r="66" spans="1:6" x14ac:dyDescent="0.25">
      <c r="A66" t="s">
        <v>494</v>
      </c>
      <c r="B66">
        <v>-13.78</v>
      </c>
      <c r="C66" t="s">
        <v>385</v>
      </c>
      <c r="D66" t="s">
        <v>388</v>
      </c>
      <c r="E66" t="s">
        <v>349</v>
      </c>
      <c r="F66" t="str">
        <f>VLOOKUP(E66, '[1]POS Categories'!$A$1:$B$999, 2, FALSE)</f>
        <v>Bills</v>
      </c>
    </row>
    <row r="67" spans="1:6" x14ac:dyDescent="0.25">
      <c r="A67" t="s">
        <v>494</v>
      </c>
      <c r="B67">
        <v>-10.41</v>
      </c>
      <c r="C67" t="s">
        <v>385</v>
      </c>
      <c r="D67" t="s">
        <v>388</v>
      </c>
      <c r="E67" t="s">
        <v>408</v>
      </c>
      <c r="F67" t="str">
        <f>VLOOKUP(E67, '[1]POS Categories'!$A$1:$B$999, 2, FALSE)</f>
        <v>Food</v>
      </c>
    </row>
    <row r="68" spans="1:6" x14ac:dyDescent="0.25">
      <c r="A68" t="s">
        <v>495</v>
      </c>
      <c r="B68">
        <v>-1235</v>
      </c>
      <c r="C68" t="s">
        <v>385</v>
      </c>
      <c r="D68" t="s">
        <v>414</v>
      </c>
      <c r="E68" t="s">
        <v>206</v>
      </c>
      <c r="F68" t="str">
        <f>VLOOKUP(E68, '[1]POS Categories'!$A$1:$B$999, 2, FALSE)</f>
        <v>Rent</v>
      </c>
    </row>
    <row r="69" spans="1:6" x14ac:dyDescent="0.25">
      <c r="A69" t="s">
        <v>495</v>
      </c>
      <c r="B69">
        <v>-19.989999999999998</v>
      </c>
      <c r="C69" t="s">
        <v>385</v>
      </c>
      <c r="D69" t="s">
        <v>388</v>
      </c>
      <c r="E69" t="s">
        <v>142</v>
      </c>
      <c r="F69" t="str">
        <f>VLOOKUP(E69, '[1]POS Categories'!$A$1:$B$999, 2, FALSE)</f>
        <v>Food</v>
      </c>
    </row>
    <row r="70" spans="1:6" x14ac:dyDescent="0.25">
      <c r="A70" t="s">
        <v>495</v>
      </c>
      <c r="B70">
        <v>-29.26</v>
      </c>
      <c r="C70" t="s">
        <v>385</v>
      </c>
      <c r="D70" t="s">
        <v>388</v>
      </c>
      <c r="E70" t="s">
        <v>149</v>
      </c>
      <c r="F70" t="str">
        <f>VLOOKUP(E70, '[1]POS Categories'!$A$1:$B$999, 2, FALSE)</f>
        <v>Food</v>
      </c>
    </row>
    <row r="71" spans="1:6" x14ac:dyDescent="0.25">
      <c r="A71" t="s">
        <v>495</v>
      </c>
      <c r="B71">
        <v>-17.29</v>
      </c>
      <c r="C71" t="s">
        <v>385</v>
      </c>
      <c r="D71" t="s">
        <v>388</v>
      </c>
      <c r="E71" t="s">
        <v>213</v>
      </c>
      <c r="F71" t="str">
        <f>VLOOKUP(E71, '[1]POS Categories'!$A$1:$B$999, 2, FALSE)</f>
        <v>Entertainment</v>
      </c>
    </row>
    <row r="72" spans="1:6" x14ac:dyDescent="0.25">
      <c r="A72" t="s">
        <v>495</v>
      </c>
      <c r="B72">
        <v>-20.04</v>
      </c>
      <c r="C72" t="s">
        <v>385</v>
      </c>
      <c r="D72" t="s">
        <v>388</v>
      </c>
      <c r="E72" t="s">
        <v>408</v>
      </c>
      <c r="F72" t="str">
        <f>VLOOKUP(E72, '[1]POS Categories'!$A$1:$B$999, 2, FALSE)</f>
        <v>Food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7"/>
  <sheetViews>
    <sheetView topLeftCell="A33" workbookViewId="0">
      <selection activeCell="F2" sqref="F2"/>
    </sheetView>
  </sheetViews>
  <sheetFormatPr defaultRowHeight="15" x14ac:dyDescent="0.25"/>
  <cols>
    <col min="4" max="4" width="23.28515625" bestFit="1" customWidth="1"/>
    <col min="5" max="5" width="36.140625" bestFit="1" customWidth="1"/>
  </cols>
  <sheetData>
    <row r="1" spans="1:6" x14ac:dyDescent="0.25">
      <c r="A1" t="s">
        <v>496</v>
      </c>
      <c r="B1">
        <v>-51.26</v>
      </c>
      <c r="C1" t="s">
        <v>385</v>
      </c>
      <c r="D1" t="s">
        <v>388</v>
      </c>
      <c r="E1" t="s">
        <v>162</v>
      </c>
      <c r="F1" t="str">
        <f>VLOOKUP(E1, '[1]POS Categories'!$A$1:$B$999, 2, FALSE)</f>
        <v>Food</v>
      </c>
    </row>
    <row r="2" spans="1:6" x14ac:dyDescent="0.25">
      <c r="A2" t="s">
        <v>496</v>
      </c>
      <c r="B2">
        <v>-18.07</v>
      </c>
      <c r="C2" t="s">
        <v>385</v>
      </c>
      <c r="D2" t="s">
        <v>388</v>
      </c>
      <c r="E2" t="s">
        <v>142</v>
      </c>
      <c r="F2" t="str">
        <f>VLOOKUP(E2, '[1]POS Categories'!$A$1:$B$999, 2, FALSE)</f>
        <v>Food</v>
      </c>
    </row>
    <row r="3" spans="1:6" x14ac:dyDescent="0.25">
      <c r="A3" t="s">
        <v>496</v>
      </c>
      <c r="B3">
        <v>2130.7600000000002</v>
      </c>
      <c r="C3" t="s">
        <v>385</v>
      </c>
      <c r="D3" t="s">
        <v>386</v>
      </c>
      <c r="E3" t="s">
        <v>387</v>
      </c>
      <c r="F3" t="str">
        <f>VLOOKUP(E3, '[1]POS Categories'!$A$1:$B$999, 2, FALSE)</f>
        <v>Job</v>
      </c>
    </row>
    <row r="4" spans="1:6" x14ac:dyDescent="0.25">
      <c r="A4" t="s">
        <v>496</v>
      </c>
      <c r="B4">
        <v>-55.49</v>
      </c>
      <c r="C4" t="s">
        <v>385</v>
      </c>
      <c r="D4" t="s">
        <v>388</v>
      </c>
      <c r="E4" t="s">
        <v>22</v>
      </c>
      <c r="F4" t="str">
        <f>VLOOKUP(E4, '[1]POS Categories'!$A$1:$B$999, 2, FALSE)</f>
        <v>Entertainment</v>
      </c>
    </row>
    <row r="5" spans="1:6" x14ac:dyDescent="0.25">
      <c r="A5" t="s">
        <v>497</v>
      </c>
      <c r="B5">
        <v>-14.53</v>
      </c>
      <c r="C5" t="s">
        <v>385</v>
      </c>
      <c r="D5" t="s">
        <v>388</v>
      </c>
      <c r="E5" t="s">
        <v>171</v>
      </c>
      <c r="F5" t="str">
        <f>VLOOKUP(E5, '[1]POS Categories'!$A$1:$B$999, 2, FALSE)</f>
        <v>Food</v>
      </c>
    </row>
    <row r="6" spans="1:6" x14ac:dyDescent="0.25">
      <c r="A6" t="s">
        <v>497</v>
      </c>
      <c r="B6">
        <v>-16.079999999999998</v>
      </c>
      <c r="C6" t="s">
        <v>385</v>
      </c>
      <c r="D6" t="s">
        <v>388</v>
      </c>
      <c r="E6" t="s">
        <v>408</v>
      </c>
      <c r="F6" t="str">
        <f>VLOOKUP(E6, '[1]POS Categories'!$A$1:$B$999, 2, FALSE)</f>
        <v>Food</v>
      </c>
    </row>
    <row r="7" spans="1:6" x14ac:dyDescent="0.25">
      <c r="A7" t="s">
        <v>498</v>
      </c>
      <c r="B7">
        <v>-105.44</v>
      </c>
      <c r="C7" t="s">
        <v>385</v>
      </c>
      <c r="D7" t="s">
        <v>388</v>
      </c>
      <c r="E7" t="s">
        <v>327</v>
      </c>
      <c r="F7" t="str">
        <f>VLOOKUP(E7, '[1]POS Categories'!$A$1:$B$999, 2, FALSE)</f>
        <v>Personal</v>
      </c>
    </row>
    <row r="8" spans="1:6" x14ac:dyDescent="0.25">
      <c r="A8" t="s">
        <v>498</v>
      </c>
      <c r="B8">
        <v>-11.09</v>
      </c>
      <c r="C8" t="s">
        <v>385</v>
      </c>
      <c r="D8" t="s">
        <v>388</v>
      </c>
      <c r="E8" t="s">
        <v>327</v>
      </c>
      <c r="F8" t="str">
        <f>VLOOKUP(E8, '[1]POS Categories'!$A$1:$B$999, 2, FALSE)</f>
        <v>Personal</v>
      </c>
    </row>
    <row r="9" spans="1:6" x14ac:dyDescent="0.25">
      <c r="A9" t="s">
        <v>498</v>
      </c>
      <c r="B9">
        <v>-17.52</v>
      </c>
      <c r="C9" t="s">
        <v>385</v>
      </c>
      <c r="D9" t="s">
        <v>388</v>
      </c>
      <c r="E9" t="s">
        <v>8</v>
      </c>
      <c r="F9" t="str">
        <f>VLOOKUP(E9, '[1]POS Categories'!$A$1:$B$999, 2, FALSE)</f>
        <v>Food</v>
      </c>
    </row>
    <row r="10" spans="1:6" x14ac:dyDescent="0.25">
      <c r="A10" t="s">
        <v>498</v>
      </c>
      <c r="B10">
        <v>-11.07</v>
      </c>
      <c r="C10" t="s">
        <v>385</v>
      </c>
      <c r="D10" t="s">
        <v>388</v>
      </c>
      <c r="E10" t="s">
        <v>201</v>
      </c>
      <c r="F10" t="str">
        <f>VLOOKUP(E10, '[1]POS Categories'!$A$1:$B$999, 2, FALSE)</f>
        <v>Personal</v>
      </c>
    </row>
    <row r="11" spans="1:6" x14ac:dyDescent="0.25">
      <c r="A11" t="s">
        <v>498</v>
      </c>
      <c r="B11">
        <v>-12.55</v>
      </c>
      <c r="C11" t="s">
        <v>385</v>
      </c>
      <c r="D11" t="s">
        <v>388</v>
      </c>
      <c r="E11" t="s">
        <v>237</v>
      </c>
      <c r="F11" t="str">
        <f>VLOOKUP(E11, '[1]POS Categories'!$A$1:$B$999, 2, FALSE)</f>
        <v>Food</v>
      </c>
    </row>
    <row r="12" spans="1:6" x14ac:dyDescent="0.25">
      <c r="A12" t="s">
        <v>498</v>
      </c>
      <c r="B12">
        <v>-24.83</v>
      </c>
      <c r="C12" t="s">
        <v>385</v>
      </c>
      <c r="D12" t="s">
        <v>388</v>
      </c>
      <c r="E12" t="s">
        <v>184</v>
      </c>
      <c r="F12" t="str">
        <f>VLOOKUP(E12, '[1]POS Categories'!$A$1:$B$999, 2, FALSE)</f>
        <v>Food</v>
      </c>
    </row>
    <row r="13" spans="1:6" x14ac:dyDescent="0.25">
      <c r="A13" t="s">
        <v>499</v>
      </c>
      <c r="B13">
        <v>-29.89</v>
      </c>
      <c r="C13" t="s">
        <v>385</v>
      </c>
      <c r="D13" t="s">
        <v>388</v>
      </c>
      <c r="E13" t="s">
        <v>33</v>
      </c>
      <c r="F13" t="str">
        <f>VLOOKUP(E13, '[1]POS Categories'!$A$1:$B$999, 2, FALSE)</f>
        <v>Food</v>
      </c>
    </row>
    <row r="14" spans="1:6" x14ac:dyDescent="0.25">
      <c r="A14" t="s">
        <v>499</v>
      </c>
      <c r="B14">
        <v>-28.5</v>
      </c>
      <c r="C14" t="s">
        <v>385</v>
      </c>
      <c r="D14" t="s">
        <v>388</v>
      </c>
      <c r="E14" t="s">
        <v>171</v>
      </c>
      <c r="F14" t="str">
        <f>VLOOKUP(E14, '[1]POS Categories'!$A$1:$B$999, 2, FALSE)</f>
        <v>Food</v>
      </c>
    </row>
    <row r="15" spans="1:6" x14ac:dyDescent="0.25">
      <c r="A15" t="s">
        <v>500</v>
      </c>
      <c r="B15">
        <v>-8.34</v>
      </c>
      <c r="C15" t="s">
        <v>385</v>
      </c>
      <c r="D15" t="s">
        <v>388</v>
      </c>
      <c r="E15" t="s">
        <v>408</v>
      </c>
      <c r="F15" t="str">
        <f>VLOOKUP(E15, '[1]POS Categories'!$A$1:$B$999, 2, FALSE)</f>
        <v>Food</v>
      </c>
    </row>
    <row r="16" spans="1:6" x14ac:dyDescent="0.25">
      <c r="A16" t="s">
        <v>501</v>
      </c>
      <c r="B16">
        <v>-8.24</v>
      </c>
      <c r="C16" t="s">
        <v>385</v>
      </c>
      <c r="D16" t="s">
        <v>388</v>
      </c>
      <c r="E16" t="s">
        <v>162</v>
      </c>
      <c r="F16" t="str">
        <f>VLOOKUP(E16, '[1]POS Categories'!$A$1:$B$999, 2, FALSE)</f>
        <v>Food</v>
      </c>
    </row>
    <row r="17" spans="1:6" x14ac:dyDescent="0.25">
      <c r="A17" t="s">
        <v>501</v>
      </c>
      <c r="B17">
        <v>-11.98</v>
      </c>
      <c r="C17" t="s">
        <v>385</v>
      </c>
      <c r="D17" t="s">
        <v>388</v>
      </c>
      <c r="E17" t="s">
        <v>8</v>
      </c>
      <c r="F17" t="str">
        <f>VLOOKUP(E17, '[1]POS Categories'!$A$1:$B$999, 2, FALSE)</f>
        <v>Food</v>
      </c>
    </row>
    <row r="18" spans="1:6" x14ac:dyDescent="0.25">
      <c r="A18" t="s">
        <v>502</v>
      </c>
      <c r="B18">
        <v>-12.55</v>
      </c>
      <c r="C18" t="s">
        <v>385</v>
      </c>
      <c r="D18" t="s">
        <v>388</v>
      </c>
      <c r="E18" t="s">
        <v>34</v>
      </c>
      <c r="F18" t="str">
        <f>VLOOKUP(E18, '[1]POS Categories'!$A$1:$B$999, 2, FALSE)</f>
        <v>Food</v>
      </c>
    </row>
    <row r="19" spans="1:6" x14ac:dyDescent="0.25">
      <c r="A19" t="s">
        <v>502</v>
      </c>
      <c r="B19">
        <v>-14.19</v>
      </c>
      <c r="C19" t="s">
        <v>385</v>
      </c>
      <c r="D19" t="s">
        <v>388</v>
      </c>
      <c r="E19" t="s">
        <v>174</v>
      </c>
      <c r="F19" t="str">
        <f>VLOOKUP(E19, '[1]POS Categories'!$A$1:$B$999, 2, FALSE)</f>
        <v>Food</v>
      </c>
    </row>
    <row r="20" spans="1:6" x14ac:dyDescent="0.25">
      <c r="A20" t="s">
        <v>502</v>
      </c>
      <c r="B20">
        <v>-22.74</v>
      </c>
      <c r="C20" t="s">
        <v>385</v>
      </c>
      <c r="D20" t="s">
        <v>435</v>
      </c>
      <c r="E20" t="s">
        <v>177</v>
      </c>
      <c r="F20" t="str">
        <f>VLOOKUP(E20, '[1]POS Categories'!$A$1:$B$999, 2, FALSE)</f>
        <v>Power</v>
      </c>
    </row>
    <row r="21" spans="1:6" x14ac:dyDescent="0.25">
      <c r="A21" t="s">
        <v>503</v>
      </c>
      <c r="B21">
        <v>-4.49</v>
      </c>
      <c r="C21" t="s">
        <v>385</v>
      </c>
      <c r="D21" t="s">
        <v>388</v>
      </c>
      <c r="E21" t="s">
        <v>33</v>
      </c>
      <c r="F21" t="str">
        <f>VLOOKUP(E21, '[1]POS Categories'!$A$1:$B$999, 2, FALSE)</f>
        <v>Food</v>
      </c>
    </row>
    <row r="22" spans="1:6" x14ac:dyDescent="0.25">
      <c r="A22" t="s">
        <v>503</v>
      </c>
      <c r="B22">
        <v>-12.64</v>
      </c>
      <c r="C22" t="s">
        <v>385</v>
      </c>
      <c r="D22" t="s">
        <v>388</v>
      </c>
      <c r="E22" t="s">
        <v>8</v>
      </c>
      <c r="F22" t="str">
        <f>VLOOKUP(E22, '[1]POS Categories'!$A$1:$B$999, 2, FALSE)</f>
        <v>Food</v>
      </c>
    </row>
    <row r="23" spans="1:6" x14ac:dyDescent="0.25">
      <c r="A23" t="s">
        <v>503</v>
      </c>
      <c r="B23">
        <v>-25.42</v>
      </c>
      <c r="C23" t="s">
        <v>385</v>
      </c>
      <c r="D23" t="s">
        <v>388</v>
      </c>
      <c r="E23" t="s">
        <v>33</v>
      </c>
      <c r="F23" t="str">
        <f>VLOOKUP(E23, '[1]POS Categories'!$A$1:$B$999, 2, FALSE)</f>
        <v>Food</v>
      </c>
    </row>
    <row r="24" spans="1:6" x14ac:dyDescent="0.25">
      <c r="A24" t="s">
        <v>504</v>
      </c>
      <c r="B24">
        <v>-524.99</v>
      </c>
      <c r="C24" t="s">
        <v>385</v>
      </c>
      <c r="D24" t="s">
        <v>388</v>
      </c>
      <c r="E24" t="s">
        <v>328</v>
      </c>
      <c r="F24" t="str">
        <f>VLOOKUP(E24, '[1]POS Categories'!$A$1:$B$999, 2, FALSE)</f>
        <v>Personal</v>
      </c>
    </row>
    <row r="25" spans="1:6" x14ac:dyDescent="0.25">
      <c r="A25" t="s">
        <v>504</v>
      </c>
      <c r="B25">
        <v>-220.49</v>
      </c>
      <c r="C25" t="s">
        <v>385</v>
      </c>
      <c r="D25" t="s">
        <v>388</v>
      </c>
      <c r="E25" t="s">
        <v>328</v>
      </c>
      <c r="F25" t="str">
        <f>VLOOKUP(E25, '[1]POS Categories'!$A$1:$B$999, 2, FALSE)</f>
        <v>Personal</v>
      </c>
    </row>
    <row r="26" spans="1:6" x14ac:dyDescent="0.25">
      <c r="A26" t="s">
        <v>504</v>
      </c>
      <c r="B26">
        <v>-19.88</v>
      </c>
      <c r="C26" t="s">
        <v>385</v>
      </c>
      <c r="D26" t="s">
        <v>388</v>
      </c>
      <c r="E26" t="s">
        <v>142</v>
      </c>
      <c r="F26" t="str">
        <f>VLOOKUP(E26, '[1]POS Categories'!$A$1:$B$999, 2, FALSE)</f>
        <v>Food</v>
      </c>
    </row>
    <row r="27" spans="1:6" x14ac:dyDescent="0.25">
      <c r="A27" t="s">
        <v>505</v>
      </c>
      <c r="B27">
        <v>-40.29</v>
      </c>
      <c r="C27" t="s">
        <v>385</v>
      </c>
      <c r="D27" t="s">
        <v>388</v>
      </c>
      <c r="E27" t="s">
        <v>452</v>
      </c>
      <c r="F27" t="str">
        <f>VLOOKUP(E27, '[1]POS Categories'!$A$1:$B$999, 2, FALSE)</f>
        <v>Food</v>
      </c>
    </row>
    <row r="28" spans="1:6" x14ac:dyDescent="0.25">
      <c r="A28" t="s">
        <v>505</v>
      </c>
      <c r="B28">
        <v>-48.03</v>
      </c>
      <c r="C28" t="s">
        <v>385</v>
      </c>
      <c r="D28" t="s">
        <v>388</v>
      </c>
      <c r="E28" t="s">
        <v>33</v>
      </c>
      <c r="F28" t="str">
        <f>VLOOKUP(E28, '[1]POS Categories'!$A$1:$B$999, 2, FALSE)</f>
        <v>Food</v>
      </c>
    </row>
    <row r="29" spans="1:6" x14ac:dyDescent="0.25">
      <c r="A29" t="s">
        <v>505</v>
      </c>
      <c r="B29">
        <v>-77.67</v>
      </c>
      <c r="C29" t="s">
        <v>385</v>
      </c>
      <c r="D29" t="s">
        <v>388</v>
      </c>
      <c r="E29" t="s">
        <v>157</v>
      </c>
      <c r="F29" t="str">
        <f>VLOOKUP(E29, '[1]POS Categories'!$A$1:$B$999, 2, FALSE)</f>
        <v>Personal</v>
      </c>
    </row>
    <row r="30" spans="1:6" x14ac:dyDescent="0.25">
      <c r="A30" t="s">
        <v>505</v>
      </c>
      <c r="B30">
        <v>-7.76</v>
      </c>
      <c r="C30" t="s">
        <v>385</v>
      </c>
      <c r="D30" t="s">
        <v>388</v>
      </c>
      <c r="E30" t="s">
        <v>44</v>
      </c>
      <c r="F30" t="str">
        <f>VLOOKUP(E30, '[1]POS Categories'!$A$1:$B$999, 2, FALSE)</f>
        <v>Home</v>
      </c>
    </row>
    <row r="31" spans="1:6" x14ac:dyDescent="0.25">
      <c r="A31" t="s">
        <v>505</v>
      </c>
      <c r="B31">
        <v>-12.33</v>
      </c>
      <c r="C31" t="s">
        <v>385</v>
      </c>
      <c r="D31" t="s">
        <v>388</v>
      </c>
      <c r="E31" t="s">
        <v>34</v>
      </c>
      <c r="F31" t="str">
        <f>VLOOKUP(E31, '[1]POS Categories'!$A$1:$B$999, 2, FALSE)</f>
        <v>Food</v>
      </c>
    </row>
    <row r="32" spans="1:6" x14ac:dyDescent="0.25">
      <c r="A32" t="s">
        <v>505</v>
      </c>
      <c r="B32">
        <v>-15.53</v>
      </c>
      <c r="C32" t="s">
        <v>385</v>
      </c>
      <c r="D32" t="s">
        <v>388</v>
      </c>
      <c r="E32" t="s">
        <v>8</v>
      </c>
      <c r="F32" t="str">
        <f>VLOOKUP(E32, '[1]POS Categories'!$A$1:$B$999, 2, FALSE)</f>
        <v>Food</v>
      </c>
    </row>
    <row r="33" spans="1:6" x14ac:dyDescent="0.25">
      <c r="A33" t="s">
        <v>506</v>
      </c>
      <c r="B33">
        <v>-250</v>
      </c>
      <c r="C33" t="s">
        <v>385</v>
      </c>
      <c r="D33" t="s">
        <v>507</v>
      </c>
      <c r="E33" t="s">
        <v>195</v>
      </c>
      <c r="F33" t="str">
        <f>VLOOKUP(E33, '[1]POS Categories'!$A$1:$B$999, 2, FALSE)</f>
        <v>Investment</v>
      </c>
    </row>
    <row r="34" spans="1:6" x14ac:dyDescent="0.25">
      <c r="A34" t="s">
        <v>506</v>
      </c>
      <c r="B34">
        <v>-23.57</v>
      </c>
      <c r="C34" t="s">
        <v>385</v>
      </c>
      <c r="D34" t="s">
        <v>388</v>
      </c>
      <c r="E34" t="s">
        <v>32</v>
      </c>
      <c r="F34" t="str">
        <f>VLOOKUP(E34, '[1]POS Categories'!$A$1:$B$999, 2, FALSE)</f>
        <v>Food</v>
      </c>
    </row>
    <row r="35" spans="1:6" x14ac:dyDescent="0.25">
      <c r="A35" t="s">
        <v>508</v>
      </c>
      <c r="B35">
        <v>-61</v>
      </c>
      <c r="C35" t="s">
        <v>385</v>
      </c>
      <c r="D35" t="s">
        <v>388</v>
      </c>
      <c r="E35" t="s">
        <v>175</v>
      </c>
      <c r="F35" t="str">
        <f>VLOOKUP(E35, '[1]POS Categories'!$A$1:$B$999, 2, FALSE)</f>
        <v>Sasktel</v>
      </c>
    </row>
    <row r="36" spans="1:6" x14ac:dyDescent="0.25">
      <c r="A36" t="s">
        <v>508</v>
      </c>
      <c r="B36">
        <v>-9.7799999999999994</v>
      </c>
      <c r="C36" t="s">
        <v>385</v>
      </c>
      <c r="D36" t="s">
        <v>388</v>
      </c>
      <c r="E36" t="s">
        <v>408</v>
      </c>
      <c r="F36" t="str">
        <f>VLOOKUP(E36, '[1]POS Categories'!$A$1:$B$999, 2, FALSE)</f>
        <v>Food</v>
      </c>
    </row>
    <row r="37" spans="1:6" x14ac:dyDescent="0.25">
      <c r="A37" t="s">
        <v>508</v>
      </c>
      <c r="B37">
        <v>2236.4499999999998</v>
      </c>
      <c r="C37" t="s">
        <v>385</v>
      </c>
      <c r="D37" t="s">
        <v>386</v>
      </c>
      <c r="E37" t="s">
        <v>387</v>
      </c>
      <c r="F37" t="str">
        <f>VLOOKUP(E37, '[1]POS Categories'!$A$1:$B$999, 2, FALSE)</f>
        <v>Job</v>
      </c>
    </row>
    <row r="38" spans="1:6" x14ac:dyDescent="0.25">
      <c r="A38" t="s">
        <v>509</v>
      </c>
      <c r="B38">
        <v>-13.18</v>
      </c>
      <c r="C38" t="s">
        <v>385</v>
      </c>
      <c r="D38" t="s">
        <v>388</v>
      </c>
      <c r="E38" t="s">
        <v>174</v>
      </c>
      <c r="F38" t="str">
        <f>VLOOKUP(E38, '[1]POS Categories'!$A$1:$B$999, 2, FALSE)</f>
        <v>Food</v>
      </c>
    </row>
    <row r="39" spans="1:6" x14ac:dyDescent="0.25">
      <c r="A39" t="s">
        <v>510</v>
      </c>
      <c r="B39">
        <v>-10.41</v>
      </c>
      <c r="C39" t="s">
        <v>385</v>
      </c>
      <c r="D39" t="s">
        <v>388</v>
      </c>
      <c r="E39" t="s">
        <v>408</v>
      </c>
      <c r="F39" t="str">
        <f>VLOOKUP(E39, '[1]POS Categories'!$A$1:$B$999, 2, FALSE)</f>
        <v>Food</v>
      </c>
    </row>
    <row r="40" spans="1:6" x14ac:dyDescent="0.25">
      <c r="A40" t="s">
        <v>510</v>
      </c>
      <c r="B40">
        <v>-39.78</v>
      </c>
      <c r="C40" t="s">
        <v>385</v>
      </c>
      <c r="D40" t="s">
        <v>388</v>
      </c>
      <c r="E40" t="s">
        <v>32</v>
      </c>
      <c r="F40" t="str">
        <f>VLOOKUP(E40, '[1]POS Categories'!$A$1:$B$999, 2, FALSE)</f>
        <v>Food</v>
      </c>
    </row>
    <row r="41" spans="1:6" x14ac:dyDescent="0.25">
      <c r="A41" t="s">
        <v>510</v>
      </c>
      <c r="B41">
        <v>-5.16</v>
      </c>
      <c r="C41" t="s">
        <v>385</v>
      </c>
      <c r="D41" t="s">
        <v>388</v>
      </c>
      <c r="E41" t="s">
        <v>22</v>
      </c>
      <c r="F41" t="str">
        <f>VLOOKUP(E41, '[1]POS Categories'!$A$1:$B$999, 2, FALSE)</f>
        <v>Entertainment</v>
      </c>
    </row>
    <row r="42" spans="1:6" x14ac:dyDescent="0.25">
      <c r="A42" t="s">
        <v>511</v>
      </c>
      <c r="B42">
        <v>-14.08</v>
      </c>
      <c r="C42" t="s">
        <v>385</v>
      </c>
      <c r="D42" t="s">
        <v>388</v>
      </c>
      <c r="E42" t="s">
        <v>171</v>
      </c>
      <c r="F42" t="str">
        <f>VLOOKUP(E42, '[1]POS Categories'!$A$1:$B$999, 2, FALSE)</f>
        <v>Food</v>
      </c>
    </row>
    <row r="43" spans="1:6" x14ac:dyDescent="0.25">
      <c r="A43" t="s">
        <v>511</v>
      </c>
      <c r="B43">
        <v>-59.2</v>
      </c>
      <c r="C43" t="s">
        <v>385</v>
      </c>
      <c r="D43" t="s">
        <v>388</v>
      </c>
      <c r="E43" t="s">
        <v>271</v>
      </c>
      <c r="F43" t="str">
        <f>VLOOKUP(E43, '[1]POS Categories'!$A$1:$B$999, 2, FALSE)</f>
        <v>Food</v>
      </c>
    </row>
    <row r="44" spans="1:6" x14ac:dyDescent="0.25">
      <c r="A44" t="s">
        <v>512</v>
      </c>
      <c r="B44">
        <v>-10.119999999999999</v>
      </c>
      <c r="C44" t="s">
        <v>385</v>
      </c>
      <c r="D44" t="s">
        <v>388</v>
      </c>
      <c r="E44" t="s">
        <v>329</v>
      </c>
      <c r="F44" t="str">
        <f>VLOOKUP(E44, '[1]POS Categories'!$A$1:$B$999, 2, FALSE)</f>
        <v>Entertainment</v>
      </c>
    </row>
    <row r="45" spans="1:6" x14ac:dyDescent="0.25">
      <c r="A45" t="s">
        <v>512</v>
      </c>
      <c r="B45">
        <v>-13.63</v>
      </c>
      <c r="C45" t="s">
        <v>385</v>
      </c>
      <c r="D45" t="s">
        <v>388</v>
      </c>
      <c r="E45" t="s">
        <v>8</v>
      </c>
      <c r="F45" t="str">
        <f>VLOOKUP(E45, '[1]POS Categories'!$A$1:$B$999, 2, FALSE)</f>
        <v>Food</v>
      </c>
    </row>
    <row r="46" spans="1:6" x14ac:dyDescent="0.25">
      <c r="A46" t="s">
        <v>513</v>
      </c>
      <c r="B46">
        <v>-11.09</v>
      </c>
      <c r="C46" t="s">
        <v>385</v>
      </c>
      <c r="D46" t="s">
        <v>388</v>
      </c>
      <c r="E46" t="s">
        <v>8</v>
      </c>
      <c r="F46" t="str">
        <f>VLOOKUP(E46, '[1]POS Categories'!$A$1:$B$999, 2, FALSE)</f>
        <v>Food</v>
      </c>
    </row>
    <row r="47" spans="1:6" x14ac:dyDescent="0.25">
      <c r="A47" t="s">
        <v>513</v>
      </c>
      <c r="B47">
        <v>-59.21</v>
      </c>
      <c r="C47" t="s">
        <v>385</v>
      </c>
      <c r="D47" t="s">
        <v>388</v>
      </c>
      <c r="E47" t="s">
        <v>330</v>
      </c>
      <c r="F47" t="str">
        <f>VLOOKUP(E47, '[1]POS Categories'!$A$1:$B$999, 2, FALSE)</f>
        <v>Vehicle</v>
      </c>
    </row>
    <row r="48" spans="1:6" x14ac:dyDescent="0.25">
      <c r="A48" t="s">
        <v>514</v>
      </c>
      <c r="B48">
        <v>-135.79</v>
      </c>
      <c r="C48" t="s">
        <v>385</v>
      </c>
      <c r="D48" t="s">
        <v>388</v>
      </c>
      <c r="E48" t="s">
        <v>331</v>
      </c>
      <c r="F48" t="str">
        <f>VLOOKUP(E48, '[1]POS Categories'!$A$1:$B$999, 2, FALSE)</f>
        <v>Food</v>
      </c>
    </row>
    <row r="49" spans="1:6" x14ac:dyDescent="0.25">
      <c r="A49" t="s">
        <v>514</v>
      </c>
      <c r="B49">
        <v>-12.1</v>
      </c>
      <c r="C49" t="s">
        <v>385</v>
      </c>
      <c r="D49" t="s">
        <v>388</v>
      </c>
      <c r="E49" t="s">
        <v>174</v>
      </c>
      <c r="F49" t="str">
        <f>VLOOKUP(E49, '[1]POS Categories'!$A$1:$B$999, 2, FALSE)</f>
        <v>Food</v>
      </c>
    </row>
    <row r="50" spans="1:6" x14ac:dyDescent="0.25">
      <c r="A50" t="s">
        <v>515</v>
      </c>
      <c r="B50">
        <v>-110.97</v>
      </c>
      <c r="C50" t="s">
        <v>385</v>
      </c>
      <c r="D50" t="s">
        <v>388</v>
      </c>
      <c r="E50" t="s">
        <v>157</v>
      </c>
      <c r="F50" t="str">
        <f>VLOOKUP(E50, '[1]POS Categories'!$A$1:$B$999, 2, FALSE)</f>
        <v>Personal</v>
      </c>
    </row>
    <row r="51" spans="1:6" x14ac:dyDescent="0.25">
      <c r="A51" t="s">
        <v>515</v>
      </c>
      <c r="B51">
        <v>-23.08</v>
      </c>
      <c r="C51" t="s">
        <v>385</v>
      </c>
      <c r="D51" t="s">
        <v>388</v>
      </c>
      <c r="E51" t="s">
        <v>33</v>
      </c>
      <c r="F51" t="str">
        <f>VLOOKUP(E51, '[1]POS Categories'!$A$1:$B$999, 2, FALSE)</f>
        <v>Food</v>
      </c>
    </row>
    <row r="52" spans="1:6" x14ac:dyDescent="0.25">
      <c r="A52" t="s">
        <v>515</v>
      </c>
      <c r="B52">
        <v>-1.98</v>
      </c>
      <c r="C52" t="s">
        <v>385</v>
      </c>
      <c r="D52" t="s">
        <v>388</v>
      </c>
      <c r="E52" t="s">
        <v>332</v>
      </c>
      <c r="F52" t="str">
        <f>VLOOKUP(E52, '[1]POS Categories'!$A$1:$B$999, 2, FALSE)</f>
        <v>Vehicle</v>
      </c>
    </row>
    <row r="53" spans="1:6" x14ac:dyDescent="0.25">
      <c r="A53" t="s">
        <v>515</v>
      </c>
      <c r="B53">
        <v>-141.75</v>
      </c>
      <c r="C53" t="s">
        <v>385</v>
      </c>
      <c r="D53" t="s">
        <v>388</v>
      </c>
      <c r="E53" t="s">
        <v>333</v>
      </c>
      <c r="F53" t="str">
        <f>VLOOKUP(E53, '[1]POS Categories'!$A$1:$B$999, 2, FALSE)</f>
        <v>Personal</v>
      </c>
    </row>
    <row r="54" spans="1:6" x14ac:dyDescent="0.25">
      <c r="A54" t="s">
        <v>515</v>
      </c>
      <c r="B54">
        <v>-63.36</v>
      </c>
      <c r="C54" t="s">
        <v>385</v>
      </c>
      <c r="D54" t="s">
        <v>388</v>
      </c>
      <c r="E54" t="s">
        <v>411</v>
      </c>
      <c r="F54" t="str">
        <f>VLOOKUP(E54, '[1]POS Categories'!$A$1:$B$999, 2, FALSE)</f>
        <v>Sasktel</v>
      </c>
    </row>
    <row r="55" spans="1:6" x14ac:dyDescent="0.25">
      <c r="A55" t="s">
        <v>515</v>
      </c>
      <c r="B55">
        <v>-99.12</v>
      </c>
      <c r="C55" t="s">
        <v>385</v>
      </c>
      <c r="D55" t="s">
        <v>388</v>
      </c>
      <c r="E55" t="s">
        <v>334</v>
      </c>
      <c r="F55" t="str">
        <f>VLOOKUP(E55, '[1]POS Categories'!$A$1:$B$999, 2, FALSE)</f>
        <v>Personal</v>
      </c>
    </row>
    <row r="56" spans="1:6" x14ac:dyDescent="0.25">
      <c r="A56" t="s">
        <v>515</v>
      </c>
      <c r="B56">
        <v>-12.35</v>
      </c>
      <c r="C56" t="s">
        <v>385</v>
      </c>
      <c r="D56" t="s">
        <v>388</v>
      </c>
      <c r="E56" t="s">
        <v>335</v>
      </c>
      <c r="F56" t="str">
        <f>VLOOKUP(E56, '[1]POS Categories'!$A$1:$B$999, 2, FALSE)</f>
        <v>Food</v>
      </c>
    </row>
    <row r="57" spans="1:6" x14ac:dyDescent="0.25">
      <c r="A57" t="s">
        <v>516</v>
      </c>
      <c r="B57">
        <v>-91.98</v>
      </c>
      <c r="C57" t="s">
        <v>385</v>
      </c>
      <c r="D57" t="s">
        <v>388</v>
      </c>
      <c r="E57" t="s">
        <v>336</v>
      </c>
      <c r="F57" t="str">
        <f>VLOOKUP(E57, '[1]POS Categories'!$A$1:$B$999, 2, FALSE)</f>
        <v>Food</v>
      </c>
    </row>
    <row r="58" spans="1:6" x14ac:dyDescent="0.25">
      <c r="A58" t="s">
        <v>516</v>
      </c>
      <c r="B58">
        <v>-16.77</v>
      </c>
      <c r="C58" t="s">
        <v>385</v>
      </c>
      <c r="D58" t="s">
        <v>388</v>
      </c>
      <c r="E58" t="s">
        <v>337</v>
      </c>
      <c r="F58" t="str">
        <f>VLOOKUP(E58, '[1]POS Categories'!$A$1:$B$999, 2, FALSE)</f>
        <v>Food</v>
      </c>
    </row>
    <row r="59" spans="1:6" x14ac:dyDescent="0.25">
      <c r="A59" t="s">
        <v>516</v>
      </c>
      <c r="B59">
        <v>-36.75</v>
      </c>
      <c r="C59" t="s">
        <v>385</v>
      </c>
      <c r="D59" t="s">
        <v>388</v>
      </c>
      <c r="E59" t="s">
        <v>338</v>
      </c>
      <c r="F59" t="s">
        <v>193</v>
      </c>
    </row>
    <row r="60" spans="1:6" x14ac:dyDescent="0.25">
      <c r="A60" t="s">
        <v>516</v>
      </c>
      <c r="B60">
        <v>-23.1</v>
      </c>
      <c r="C60" t="s">
        <v>385</v>
      </c>
      <c r="D60" t="s">
        <v>388</v>
      </c>
      <c r="E60" t="s">
        <v>339</v>
      </c>
      <c r="F60" t="str">
        <f>VLOOKUP(E60, '[1]POS Categories'!$A$1:$B$999, 2, FALSE)</f>
        <v>Personal</v>
      </c>
    </row>
    <row r="61" spans="1:6" x14ac:dyDescent="0.25">
      <c r="A61" t="s">
        <v>516</v>
      </c>
      <c r="B61">
        <v>-27.21</v>
      </c>
      <c r="C61" t="s">
        <v>385</v>
      </c>
      <c r="D61" t="s">
        <v>388</v>
      </c>
      <c r="E61" t="s">
        <v>340</v>
      </c>
      <c r="F61" t="str">
        <f>VLOOKUP(E61, '[1]POS Categories'!$A$1:$B$999, 2, FALSE)</f>
        <v>Food</v>
      </c>
    </row>
    <row r="62" spans="1:6" x14ac:dyDescent="0.25">
      <c r="A62" t="s">
        <v>517</v>
      </c>
      <c r="B62">
        <v>-10.58</v>
      </c>
      <c r="C62" t="s">
        <v>385</v>
      </c>
      <c r="D62" t="s">
        <v>388</v>
      </c>
      <c r="E62" t="s">
        <v>341</v>
      </c>
      <c r="F62" t="str">
        <f>VLOOKUP(E62, '[1]POS Categories'!$A$1:$B$999, 2, FALSE)</f>
        <v>Vehicle</v>
      </c>
    </row>
    <row r="63" spans="1:6" x14ac:dyDescent="0.25">
      <c r="A63" t="s">
        <v>517</v>
      </c>
      <c r="B63">
        <v>-14.06</v>
      </c>
      <c r="C63" t="s">
        <v>385</v>
      </c>
      <c r="D63" t="s">
        <v>388</v>
      </c>
      <c r="E63" t="s">
        <v>251</v>
      </c>
      <c r="F63" t="str">
        <f>VLOOKUP(E63, '[1]POS Categories'!$A$1:$B$999, 2, FALSE)</f>
        <v>Bills</v>
      </c>
    </row>
    <row r="64" spans="1:6" x14ac:dyDescent="0.25">
      <c r="A64" t="s">
        <v>518</v>
      </c>
      <c r="B64">
        <v>-31.72</v>
      </c>
      <c r="C64" t="s">
        <v>385</v>
      </c>
      <c r="D64" t="s">
        <v>388</v>
      </c>
      <c r="E64" t="s">
        <v>142</v>
      </c>
      <c r="F64" t="str">
        <f>VLOOKUP(E64, '[1]POS Categories'!$A$1:$B$999, 2, FALSE)</f>
        <v>Food</v>
      </c>
    </row>
    <row r="65" spans="1:6" x14ac:dyDescent="0.25">
      <c r="A65" t="s">
        <v>518</v>
      </c>
      <c r="B65">
        <v>-12.55</v>
      </c>
      <c r="C65" t="s">
        <v>385</v>
      </c>
      <c r="D65" t="s">
        <v>388</v>
      </c>
      <c r="E65" t="s">
        <v>34</v>
      </c>
      <c r="F65" t="str">
        <f>VLOOKUP(E65, '[1]POS Categories'!$A$1:$B$999, 2, FALSE)</f>
        <v>Food</v>
      </c>
    </row>
    <row r="66" spans="1:6" x14ac:dyDescent="0.25">
      <c r="A66" t="s">
        <v>519</v>
      </c>
      <c r="B66">
        <v>-1235</v>
      </c>
      <c r="C66" t="s">
        <v>385</v>
      </c>
      <c r="D66" t="s">
        <v>414</v>
      </c>
      <c r="E66" t="s">
        <v>206</v>
      </c>
      <c r="F66" t="str">
        <f>VLOOKUP(E66, '[1]POS Categories'!$A$1:$B$999, 2, FALSE)</f>
        <v>Rent</v>
      </c>
    </row>
    <row r="67" spans="1:6" x14ac:dyDescent="0.25">
      <c r="A67" t="s">
        <v>519</v>
      </c>
      <c r="B67">
        <v>-11.98</v>
      </c>
      <c r="C67" t="s">
        <v>385</v>
      </c>
      <c r="D67" t="s">
        <v>388</v>
      </c>
      <c r="E67" t="s">
        <v>8</v>
      </c>
      <c r="F67" t="str">
        <f>VLOOKUP(E67, '[1]POS Categories'!$A$1:$B$999, 2, FALSE)</f>
        <v>Food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8"/>
  <sheetViews>
    <sheetView topLeftCell="A29" workbookViewId="0">
      <selection activeCell="F2" sqref="F2"/>
    </sheetView>
  </sheetViews>
  <sheetFormatPr defaultRowHeight="15" x14ac:dyDescent="0.25"/>
  <cols>
    <col min="4" max="4" width="23.28515625" bestFit="1" customWidth="1"/>
    <col min="5" max="5" width="36.140625" bestFit="1" customWidth="1"/>
  </cols>
  <sheetData>
    <row r="1" spans="1:6" x14ac:dyDescent="0.25">
      <c r="A1" t="s">
        <v>520</v>
      </c>
      <c r="B1">
        <v>-10.31</v>
      </c>
      <c r="C1" t="s">
        <v>385</v>
      </c>
      <c r="D1" t="s">
        <v>388</v>
      </c>
      <c r="E1" t="s">
        <v>174</v>
      </c>
      <c r="F1" t="str">
        <f>VLOOKUP(E1, '[1]POS Categories'!$A$1:$B$999, 2, FALSE)</f>
        <v>Food</v>
      </c>
    </row>
    <row r="2" spans="1:6" x14ac:dyDescent="0.25">
      <c r="A2" t="s">
        <v>520</v>
      </c>
      <c r="B2">
        <v>2129.84</v>
      </c>
      <c r="C2" t="s">
        <v>385</v>
      </c>
      <c r="D2" t="s">
        <v>386</v>
      </c>
      <c r="E2" t="s">
        <v>387</v>
      </c>
      <c r="F2" t="str">
        <f>VLOOKUP(E2, '[1]POS Categories'!$A$1:$B$999, 2, FALSE)</f>
        <v>Job</v>
      </c>
    </row>
    <row r="3" spans="1:6" x14ac:dyDescent="0.25">
      <c r="A3" t="s">
        <v>521</v>
      </c>
      <c r="B3">
        <v>-18.07</v>
      </c>
      <c r="C3" t="s">
        <v>385</v>
      </c>
      <c r="D3" t="s">
        <v>388</v>
      </c>
      <c r="E3" t="s">
        <v>142</v>
      </c>
      <c r="F3" t="str">
        <f>VLOOKUP(E3, '[1]POS Categories'!$A$1:$B$999, 2, FALSE)</f>
        <v>Food</v>
      </c>
    </row>
    <row r="4" spans="1:6" x14ac:dyDescent="0.25">
      <c r="A4" t="s">
        <v>521</v>
      </c>
      <c r="B4">
        <v>-327.27999999999997</v>
      </c>
      <c r="C4" t="s">
        <v>385</v>
      </c>
      <c r="D4" t="s">
        <v>388</v>
      </c>
      <c r="E4" t="s">
        <v>36</v>
      </c>
      <c r="F4" t="str">
        <f>VLOOKUP(E4, '[1]POS Categories'!$A$1:$B$999, 2, FALSE)</f>
        <v>Food</v>
      </c>
    </row>
    <row r="5" spans="1:6" x14ac:dyDescent="0.25">
      <c r="A5" t="s">
        <v>521</v>
      </c>
      <c r="B5">
        <v>-63</v>
      </c>
      <c r="C5" t="s">
        <v>385</v>
      </c>
      <c r="D5" t="s">
        <v>388</v>
      </c>
      <c r="E5" t="s">
        <v>36</v>
      </c>
      <c r="F5" t="str">
        <f>VLOOKUP(E5, '[1]POS Categories'!$A$1:$B$999, 2, FALSE)</f>
        <v>Food</v>
      </c>
    </row>
    <row r="6" spans="1:6" x14ac:dyDescent="0.25">
      <c r="A6" t="s">
        <v>521</v>
      </c>
      <c r="B6">
        <v>-15.18</v>
      </c>
      <c r="C6" t="s">
        <v>385</v>
      </c>
      <c r="D6" t="s">
        <v>388</v>
      </c>
      <c r="E6" t="s">
        <v>149</v>
      </c>
      <c r="F6" t="str">
        <f>VLOOKUP(E6, '[1]POS Categories'!$A$1:$B$999, 2, FALSE)</f>
        <v>Food</v>
      </c>
    </row>
    <row r="7" spans="1:6" x14ac:dyDescent="0.25">
      <c r="A7" t="s">
        <v>521</v>
      </c>
      <c r="B7">
        <v>-17.399999999999999</v>
      </c>
      <c r="C7" t="s">
        <v>385</v>
      </c>
      <c r="D7" t="s">
        <v>388</v>
      </c>
      <c r="E7" t="s">
        <v>171</v>
      </c>
      <c r="F7" t="str">
        <f>VLOOKUP(E7, '[1]POS Categories'!$A$1:$B$999, 2, FALSE)</f>
        <v>Food</v>
      </c>
    </row>
    <row r="8" spans="1:6" x14ac:dyDescent="0.25">
      <c r="A8" t="s">
        <v>522</v>
      </c>
      <c r="B8">
        <v>-26.17</v>
      </c>
      <c r="C8" t="s">
        <v>385</v>
      </c>
      <c r="D8" t="s">
        <v>388</v>
      </c>
      <c r="E8" t="s">
        <v>287</v>
      </c>
      <c r="F8" t="str">
        <f>VLOOKUP(E8, '[1]POS Categories'!$A$1:$B$999, 2, FALSE)</f>
        <v>Food</v>
      </c>
    </row>
    <row r="9" spans="1:6" x14ac:dyDescent="0.25">
      <c r="A9" t="s">
        <v>522</v>
      </c>
      <c r="B9">
        <v>-6.2</v>
      </c>
      <c r="C9" t="s">
        <v>385</v>
      </c>
      <c r="D9" t="s">
        <v>388</v>
      </c>
      <c r="E9" t="s">
        <v>213</v>
      </c>
      <c r="F9" t="str">
        <f>VLOOKUP(E9, '[1]POS Categories'!$A$1:$B$999, 2, FALSE)</f>
        <v>Entertainment</v>
      </c>
    </row>
    <row r="10" spans="1:6" x14ac:dyDescent="0.25">
      <c r="A10" t="s">
        <v>523</v>
      </c>
      <c r="B10">
        <v>-130.93</v>
      </c>
      <c r="C10" t="s">
        <v>385</v>
      </c>
      <c r="D10" t="s">
        <v>388</v>
      </c>
      <c r="E10" t="s">
        <v>238</v>
      </c>
      <c r="F10" t="str">
        <f>VLOOKUP(E10, '[1]POS Categories'!$A$1:$B$999, 2, FALSE)</f>
        <v>Food</v>
      </c>
    </row>
    <row r="11" spans="1:6" x14ac:dyDescent="0.25">
      <c r="A11" t="s">
        <v>523</v>
      </c>
      <c r="B11">
        <v>-11.09</v>
      </c>
      <c r="C11" t="s">
        <v>385</v>
      </c>
      <c r="D11" t="s">
        <v>388</v>
      </c>
      <c r="E11" t="s">
        <v>8</v>
      </c>
      <c r="F11" t="str">
        <f>VLOOKUP(E11, '[1]POS Categories'!$A$1:$B$999, 2, FALSE)</f>
        <v>Food</v>
      </c>
    </row>
    <row r="12" spans="1:6" x14ac:dyDescent="0.25">
      <c r="A12" t="s">
        <v>524</v>
      </c>
      <c r="B12">
        <v>-13.35</v>
      </c>
      <c r="C12" t="s">
        <v>385</v>
      </c>
      <c r="D12" t="s">
        <v>388</v>
      </c>
      <c r="E12" t="s">
        <v>408</v>
      </c>
      <c r="F12" t="str">
        <f>VLOOKUP(E12, '[1]POS Categories'!$A$1:$B$999, 2, FALSE)</f>
        <v>Food</v>
      </c>
    </row>
    <row r="13" spans="1:6" x14ac:dyDescent="0.25">
      <c r="A13" t="s">
        <v>524</v>
      </c>
      <c r="B13">
        <v>-2.65</v>
      </c>
      <c r="C13" t="s">
        <v>385</v>
      </c>
      <c r="D13" t="s">
        <v>388</v>
      </c>
      <c r="E13" t="s">
        <v>317</v>
      </c>
      <c r="F13" t="str">
        <f>VLOOKUP(E13, '[1]POS Categories'!$A$1:$B$999, 2, FALSE)</f>
        <v>Food</v>
      </c>
    </row>
    <row r="14" spans="1:6" x14ac:dyDescent="0.25">
      <c r="A14" t="s">
        <v>524</v>
      </c>
      <c r="B14">
        <v>-15.3</v>
      </c>
      <c r="C14" t="s">
        <v>385</v>
      </c>
      <c r="D14" t="s">
        <v>388</v>
      </c>
      <c r="E14" t="s">
        <v>239</v>
      </c>
      <c r="F14" t="str">
        <f>VLOOKUP(E14, '[1]POS Categories'!$A$1:$B$999, 2, FALSE)</f>
        <v>Entertainment</v>
      </c>
    </row>
    <row r="15" spans="1:6" x14ac:dyDescent="0.25">
      <c r="A15" t="s">
        <v>525</v>
      </c>
      <c r="B15">
        <v>-10.75</v>
      </c>
      <c r="C15" t="s">
        <v>385</v>
      </c>
      <c r="D15" t="s">
        <v>388</v>
      </c>
      <c r="E15" t="s">
        <v>171</v>
      </c>
      <c r="F15" t="str">
        <f>VLOOKUP(E15, '[1]POS Categories'!$A$1:$B$999, 2, FALSE)</f>
        <v>Food</v>
      </c>
    </row>
    <row r="16" spans="1:6" x14ac:dyDescent="0.25">
      <c r="A16" t="s">
        <v>525</v>
      </c>
      <c r="B16">
        <v>-11.09</v>
      </c>
      <c r="C16" t="s">
        <v>385</v>
      </c>
      <c r="D16" t="s">
        <v>388</v>
      </c>
      <c r="E16" t="s">
        <v>8</v>
      </c>
      <c r="F16" t="str">
        <f>VLOOKUP(E16, '[1]POS Categories'!$A$1:$B$999, 2, FALSE)</f>
        <v>Food</v>
      </c>
    </row>
    <row r="17" spans="1:6" x14ac:dyDescent="0.25">
      <c r="A17" t="s">
        <v>526</v>
      </c>
      <c r="B17">
        <v>-6.27</v>
      </c>
      <c r="C17" t="s">
        <v>385</v>
      </c>
      <c r="D17" t="s">
        <v>388</v>
      </c>
      <c r="E17" t="s">
        <v>34</v>
      </c>
      <c r="F17" t="str">
        <f>VLOOKUP(E17, '[1]POS Categories'!$A$1:$B$999, 2, FALSE)</f>
        <v>Food</v>
      </c>
    </row>
    <row r="18" spans="1:6" x14ac:dyDescent="0.25">
      <c r="A18" t="s">
        <v>526</v>
      </c>
      <c r="B18">
        <v>-10.65</v>
      </c>
      <c r="C18" t="s">
        <v>385</v>
      </c>
      <c r="D18" t="s">
        <v>388</v>
      </c>
      <c r="E18" t="s">
        <v>240</v>
      </c>
      <c r="F18" t="str">
        <f>VLOOKUP(E18, '[1]POS Categories'!$A$1:$B$999, 2, FALSE)</f>
        <v>Food</v>
      </c>
    </row>
    <row r="19" spans="1:6" x14ac:dyDescent="0.25">
      <c r="A19" t="s">
        <v>526</v>
      </c>
      <c r="B19">
        <v>-36.119999999999997</v>
      </c>
      <c r="C19" t="s">
        <v>385</v>
      </c>
      <c r="D19" t="s">
        <v>388</v>
      </c>
      <c r="E19" t="s">
        <v>163</v>
      </c>
      <c r="F19" t="str">
        <f>VLOOKUP(E19, '[1]POS Categories'!$A$1:$B$999, 2, FALSE)</f>
        <v>Vehicle</v>
      </c>
    </row>
    <row r="20" spans="1:6" x14ac:dyDescent="0.25">
      <c r="A20" t="s">
        <v>527</v>
      </c>
      <c r="B20">
        <v>-10.41</v>
      </c>
      <c r="C20" t="s">
        <v>385</v>
      </c>
      <c r="D20" t="s">
        <v>388</v>
      </c>
      <c r="E20" t="s">
        <v>408</v>
      </c>
      <c r="F20" t="str">
        <f>VLOOKUP(E20, '[1]POS Categories'!$A$1:$B$999, 2, FALSE)</f>
        <v>Food</v>
      </c>
    </row>
    <row r="21" spans="1:6" x14ac:dyDescent="0.25">
      <c r="A21" t="s">
        <v>527</v>
      </c>
      <c r="B21">
        <v>-4.38</v>
      </c>
      <c r="C21" t="s">
        <v>385</v>
      </c>
      <c r="D21" t="s">
        <v>388</v>
      </c>
      <c r="E21" t="s">
        <v>395</v>
      </c>
      <c r="F21" t="str">
        <f>VLOOKUP(E21, '[1]POS Categories'!$A$1:$B$999, 2, FALSE)</f>
        <v>Vehicle</v>
      </c>
    </row>
    <row r="22" spans="1:6" x14ac:dyDescent="0.25">
      <c r="A22" t="s">
        <v>527</v>
      </c>
      <c r="B22">
        <v>-28</v>
      </c>
      <c r="C22" t="s">
        <v>385</v>
      </c>
      <c r="D22" t="s">
        <v>388</v>
      </c>
      <c r="E22" t="s">
        <v>395</v>
      </c>
      <c r="F22" t="str">
        <f>VLOOKUP(E22, '[1]POS Categories'!$A$1:$B$999, 2, FALSE)</f>
        <v>Vehicle</v>
      </c>
    </row>
    <row r="23" spans="1:6" x14ac:dyDescent="0.25">
      <c r="A23" t="s">
        <v>527</v>
      </c>
      <c r="B23">
        <v>-35.47</v>
      </c>
      <c r="C23" t="s">
        <v>385</v>
      </c>
      <c r="D23" t="s">
        <v>388</v>
      </c>
      <c r="E23" t="s">
        <v>157</v>
      </c>
      <c r="F23" t="str">
        <f>VLOOKUP(E23, '[1]POS Categories'!$A$1:$B$999, 2, FALSE)</f>
        <v>Personal</v>
      </c>
    </row>
    <row r="24" spans="1:6" x14ac:dyDescent="0.25">
      <c r="A24" t="s">
        <v>528</v>
      </c>
      <c r="B24">
        <v>-29.7</v>
      </c>
      <c r="C24" t="s">
        <v>385</v>
      </c>
      <c r="D24" t="s">
        <v>388</v>
      </c>
      <c r="E24" t="s">
        <v>32</v>
      </c>
      <c r="F24" t="str">
        <f>VLOOKUP(E24, '[1]POS Categories'!$A$1:$B$999, 2, FALSE)</f>
        <v>Food</v>
      </c>
    </row>
    <row r="25" spans="1:6" x14ac:dyDescent="0.25">
      <c r="A25" t="s">
        <v>528</v>
      </c>
      <c r="B25">
        <v>-15.53</v>
      </c>
      <c r="C25" t="s">
        <v>385</v>
      </c>
      <c r="D25" t="s">
        <v>388</v>
      </c>
      <c r="E25" t="s">
        <v>8</v>
      </c>
      <c r="F25" t="str">
        <f>VLOOKUP(E25, '[1]POS Categories'!$A$1:$B$999, 2, FALSE)</f>
        <v>Food</v>
      </c>
    </row>
    <row r="26" spans="1:6" x14ac:dyDescent="0.25">
      <c r="A26" t="s">
        <v>529</v>
      </c>
      <c r="B26">
        <v>-21.9</v>
      </c>
      <c r="C26" t="s">
        <v>385</v>
      </c>
      <c r="D26" t="s">
        <v>388</v>
      </c>
      <c r="E26" t="s">
        <v>322</v>
      </c>
      <c r="F26" t="str">
        <f>VLOOKUP(E26, '[1]POS Categories'!$A$1:$B$999, 2, FALSE)</f>
        <v>Food</v>
      </c>
    </row>
    <row r="27" spans="1:6" x14ac:dyDescent="0.25">
      <c r="A27" t="s">
        <v>529</v>
      </c>
      <c r="B27">
        <v>-11.64</v>
      </c>
      <c r="C27" t="s">
        <v>385</v>
      </c>
      <c r="D27" t="s">
        <v>388</v>
      </c>
      <c r="E27" t="s">
        <v>185</v>
      </c>
      <c r="F27" t="str">
        <f>VLOOKUP(E27, '[1]POS Categories'!$A$1:$B$999, 2, FALSE)</f>
        <v>Food</v>
      </c>
    </row>
    <row r="28" spans="1:6" x14ac:dyDescent="0.25">
      <c r="A28" t="s">
        <v>530</v>
      </c>
      <c r="B28">
        <v>-19.88</v>
      </c>
      <c r="C28" t="s">
        <v>385</v>
      </c>
      <c r="D28" t="s">
        <v>388</v>
      </c>
      <c r="E28" t="s">
        <v>142</v>
      </c>
      <c r="F28" t="str">
        <f>VLOOKUP(E28, '[1]POS Categories'!$A$1:$B$999, 2, FALSE)</f>
        <v>Food</v>
      </c>
    </row>
    <row r="29" spans="1:6" x14ac:dyDescent="0.25">
      <c r="A29" t="s">
        <v>531</v>
      </c>
      <c r="B29">
        <v>-10.5</v>
      </c>
      <c r="C29" t="s">
        <v>385</v>
      </c>
      <c r="D29" t="s">
        <v>388</v>
      </c>
      <c r="E29" t="s">
        <v>157</v>
      </c>
      <c r="F29" t="str">
        <f>VLOOKUP(E29, '[1]POS Categories'!$A$1:$B$999, 2, FALSE)</f>
        <v>Personal</v>
      </c>
    </row>
    <row r="30" spans="1:6" x14ac:dyDescent="0.25">
      <c r="A30" t="s">
        <v>531</v>
      </c>
      <c r="B30">
        <v>-14.19</v>
      </c>
      <c r="C30" t="s">
        <v>385</v>
      </c>
      <c r="D30" t="s">
        <v>388</v>
      </c>
      <c r="E30" t="s">
        <v>174</v>
      </c>
      <c r="F30" t="str">
        <f>VLOOKUP(E30, '[1]POS Categories'!$A$1:$B$999, 2, FALSE)</f>
        <v>Food</v>
      </c>
    </row>
    <row r="31" spans="1:6" x14ac:dyDescent="0.25">
      <c r="A31" t="s">
        <v>532</v>
      </c>
      <c r="B31">
        <v>-11.09</v>
      </c>
      <c r="C31" t="s">
        <v>385</v>
      </c>
      <c r="D31" t="s">
        <v>388</v>
      </c>
      <c r="E31" t="s">
        <v>8</v>
      </c>
      <c r="F31" t="str">
        <f>VLOOKUP(E31, '[1]POS Categories'!$A$1:$B$999, 2, FALSE)</f>
        <v>Food</v>
      </c>
    </row>
    <row r="32" spans="1:6" x14ac:dyDescent="0.25">
      <c r="A32" t="s">
        <v>532</v>
      </c>
      <c r="B32">
        <v>-13.5</v>
      </c>
      <c r="C32" t="s">
        <v>385</v>
      </c>
      <c r="D32" t="s">
        <v>388</v>
      </c>
      <c r="E32" t="s">
        <v>323</v>
      </c>
      <c r="F32" t="str">
        <f>VLOOKUP(E32, '[1]POS Categories'!$A$1:$B$999, 2, FALSE)</f>
        <v>Food</v>
      </c>
    </row>
    <row r="33" spans="1:6" x14ac:dyDescent="0.25">
      <c r="A33" t="s">
        <v>532</v>
      </c>
      <c r="B33">
        <v>-8.1199999999999992</v>
      </c>
      <c r="C33" t="s">
        <v>385</v>
      </c>
      <c r="D33" t="s">
        <v>388</v>
      </c>
      <c r="E33" t="s">
        <v>408</v>
      </c>
      <c r="F33" t="str">
        <f>VLOOKUP(E33, '[1]POS Categories'!$A$1:$B$999, 2, FALSE)</f>
        <v>Food</v>
      </c>
    </row>
    <row r="34" spans="1:6" x14ac:dyDescent="0.25">
      <c r="A34" t="s">
        <v>532</v>
      </c>
      <c r="B34">
        <v>-61</v>
      </c>
      <c r="C34" t="s">
        <v>385</v>
      </c>
      <c r="D34" t="s">
        <v>388</v>
      </c>
      <c r="E34" t="s">
        <v>175</v>
      </c>
      <c r="F34" t="str">
        <f>VLOOKUP(E34, '[1]POS Categories'!$A$1:$B$999, 2, FALSE)</f>
        <v>Sasktel</v>
      </c>
    </row>
    <row r="35" spans="1:6" x14ac:dyDescent="0.25">
      <c r="A35" t="s">
        <v>533</v>
      </c>
      <c r="B35">
        <v>-36.19</v>
      </c>
      <c r="C35" t="s">
        <v>385</v>
      </c>
      <c r="D35" t="s">
        <v>388</v>
      </c>
      <c r="E35" t="s">
        <v>32</v>
      </c>
      <c r="F35" t="str">
        <f>VLOOKUP(E35, '[1]POS Categories'!$A$1:$B$999, 2, FALSE)</f>
        <v>Food</v>
      </c>
    </row>
    <row r="36" spans="1:6" x14ac:dyDescent="0.25">
      <c r="A36" t="s">
        <v>533</v>
      </c>
      <c r="B36">
        <v>-43.01</v>
      </c>
      <c r="C36" t="s">
        <v>385</v>
      </c>
      <c r="D36" t="s">
        <v>388</v>
      </c>
      <c r="E36" t="s">
        <v>318</v>
      </c>
      <c r="F36" t="str">
        <f>VLOOKUP(E36, '[1]POS Categories'!$A$1:$B$999, 2, FALSE)</f>
        <v>Food</v>
      </c>
    </row>
    <row r="37" spans="1:6" x14ac:dyDescent="0.25">
      <c r="A37" t="s">
        <v>533</v>
      </c>
      <c r="B37">
        <v>2236.4499999999998</v>
      </c>
      <c r="C37" t="s">
        <v>385</v>
      </c>
      <c r="D37" t="s">
        <v>386</v>
      </c>
      <c r="E37" t="s">
        <v>387</v>
      </c>
      <c r="F37" t="str">
        <f>VLOOKUP(E37, '[1]POS Categories'!$A$1:$B$999, 2, FALSE)</f>
        <v>Job</v>
      </c>
    </row>
    <row r="38" spans="1:6" x14ac:dyDescent="0.25">
      <c r="A38" t="s">
        <v>534</v>
      </c>
      <c r="B38">
        <v>-11.09</v>
      </c>
      <c r="C38" t="s">
        <v>385</v>
      </c>
      <c r="D38" t="s">
        <v>388</v>
      </c>
      <c r="E38" t="s">
        <v>8</v>
      </c>
      <c r="F38" t="str">
        <f>VLOOKUP(E38, '[1]POS Categories'!$A$1:$B$999, 2, FALSE)</f>
        <v>Food</v>
      </c>
    </row>
    <row r="39" spans="1:6" x14ac:dyDescent="0.25">
      <c r="A39" t="s">
        <v>535</v>
      </c>
      <c r="B39">
        <v>280.11</v>
      </c>
      <c r="C39" t="s">
        <v>385</v>
      </c>
      <c r="D39" t="s">
        <v>467</v>
      </c>
      <c r="E39" t="s">
        <v>200</v>
      </c>
      <c r="F39" t="str">
        <f>VLOOKUP(E39, '[1]POS Categories'!$A$1:$B$999, 2, FALSE)</f>
        <v>Bills</v>
      </c>
    </row>
    <row r="40" spans="1:6" x14ac:dyDescent="0.25">
      <c r="A40" t="s">
        <v>536</v>
      </c>
      <c r="B40">
        <v>-37.81</v>
      </c>
      <c r="C40" t="s">
        <v>385</v>
      </c>
      <c r="D40" t="s">
        <v>388</v>
      </c>
      <c r="E40" t="s">
        <v>324</v>
      </c>
      <c r="F40" t="str">
        <f>VLOOKUP(E40, '[1]POS Categories'!$A$1:$B$999, 2, FALSE)</f>
        <v>Food</v>
      </c>
    </row>
    <row r="41" spans="1:6" x14ac:dyDescent="0.25">
      <c r="A41" t="s">
        <v>537</v>
      </c>
      <c r="B41">
        <v>-11.09</v>
      </c>
      <c r="C41" t="s">
        <v>385</v>
      </c>
      <c r="D41" t="s">
        <v>388</v>
      </c>
      <c r="E41" t="s">
        <v>8</v>
      </c>
      <c r="F41" t="str">
        <f>VLOOKUP(E41, '[1]POS Categories'!$A$1:$B$999, 2, FALSE)</f>
        <v>Food</v>
      </c>
    </row>
    <row r="42" spans="1:6" x14ac:dyDescent="0.25">
      <c r="A42" t="s">
        <v>537</v>
      </c>
      <c r="B42">
        <v>-35.049999999999997</v>
      </c>
      <c r="C42" t="s">
        <v>385</v>
      </c>
      <c r="D42" t="s">
        <v>388</v>
      </c>
      <c r="E42" t="s">
        <v>35</v>
      </c>
      <c r="F42" t="str">
        <f>VLOOKUP(E42, '[1]POS Categories'!$A$1:$B$999, 2, FALSE)</f>
        <v>Personal</v>
      </c>
    </row>
    <row r="43" spans="1:6" x14ac:dyDescent="0.25">
      <c r="A43" t="s">
        <v>538</v>
      </c>
      <c r="B43">
        <v>-22.55</v>
      </c>
      <c r="C43" t="s">
        <v>385</v>
      </c>
      <c r="D43" t="s">
        <v>388</v>
      </c>
      <c r="E43" t="s">
        <v>33</v>
      </c>
      <c r="F43" t="str">
        <f>VLOOKUP(E43, '[1]POS Categories'!$A$1:$B$999, 2, FALSE)</f>
        <v>Food</v>
      </c>
    </row>
    <row r="44" spans="1:6" x14ac:dyDescent="0.25">
      <c r="A44" t="s">
        <v>539</v>
      </c>
      <c r="B44">
        <v>-100</v>
      </c>
      <c r="C44" t="s">
        <v>385</v>
      </c>
      <c r="D44" t="s">
        <v>388</v>
      </c>
      <c r="E44" t="s">
        <v>325</v>
      </c>
      <c r="F44" t="str">
        <f>VLOOKUP(E44, '[1]POS Categories'!$A$1:$B$999, 2, FALSE)</f>
        <v>Entertainment</v>
      </c>
    </row>
    <row r="45" spans="1:6" x14ac:dyDescent="0.25">
      <c r="A45" t="s">
        <v>539</v>
      </c>
      <c r="B45">
        <v>-10.41</v>
      </c>
      <c r="C45" t="s">
        <v>385</v>
      </c>
      <c r="D45" t="s">
        <v>388</v>
      </c>
      <c r="E45" t="s">
        <v>171</v>
      </c>
      <c r="F45" t="str">
        <f>VLOOKUP(E45, '[1]POS Categories'!$A$1:$B$999, 2, FALSE)</f>
        <v>Food</v>
      </c>
    </row>
    <row r="46" spans="1:6" x14ac:dyDescent="0.25">
      <c r="A46" t="s">
        <v>539</v>
      </c>
      <c r="B46">
        <v>-57.81</v>
      </c>
      <c r="C46" t="s">
        <v>385</v>
      </c>
      <c r="D46" t="s">
        <v>388</v>
      </c>
      <c r="E46" t="s">
        <v>411</v>
      </c>
      <c r="F46" t="str">
        <f>VLOOKUP(E46, '[1]POS Categories'!$A$1:$B$999, 2, FALSE)</f>
        <v>Sasktel</v>
      </c>
    </row>
    <row r="47" spans="1:6" x14ac:dyDescent="0.25">
      <c r="A47" t="s">
        <v>540</v>
      </c>
      <c r="B47">
        <v>-11</v>
      </c>
      <c r="C47" t="s">
        <v>385</v>
      </c>
      <c r="D47" t="s">
        <v>388</v>
      </c>
      <c r="E47" t="s">
        <v>408</v>
      </c>
      <c r="F47" t="str">
        <f>VLOOKUP(E47, '[1]POS Categories'!$A$1:$B$999, 2, FALSE)</f>
        <v>Food</v>
      </c>
    </row>
    <row r="48" spans="1:6" x14ac:dyDescent="0.25">
      <c r="A48" t="s">
        <v>541</v>
      </c>
      <c r="B48">
        <v>-32.619999999999997</v>
      </c>
      <c r="C48" t="s">
        <v>385</v>
      </c>
      <c r="D48" t="s">
        <v>388</v>
      </c>
      <c r="E48" t="s">
        <v>174</v>
      </c>
      <c r="F48" t="str">
        <f>VLOOKUP(E48, '[1]POS Categories'!$A$1:$B$999, 2, FALSE)</f>
        <v>Food</v>
      </c>
    </row>
    <row r="49" spans="1:6" x14ac:dyDescent="0.25">
      <c r="A49" t="s">
        <v>542</v>
      </c>
      <c r="B49">
        <v>-39.75</v>
      </c>
      <c r="C49" t="s">
        <v>385</v>
      </c>
      <c r="D49" t="s">
        <v>388</v>
      </c>
      <c r="E49" t="s">
        <v>142</v>
      </c>
      <c r="F49" t="str">
        <f>VLOOKUP(E49, '[1]POS Categories'!$A$1:$B$999, 2, FALSE)</f>
        <v>Food</v>
      </c>
    </row>
    <row r="50" spans="1:6" x14ac:dyDescent="0.25">
      <c r="A50" t="s">
        <v>542</v>
      </c>
      <c r="B50">
        <v>-6.05</v>
      </c>
      <c r="C50" t="s">
        <v>385</v>
      </c>
      <c r="D50" t="s">
        <v>388</v>
      </c>
      <c r="E50" t="s">
        <v>34</v>
      </c>
      <c r="F50" t="str">
        <f>VLOOKUP(E50, '[1]POS Categories'!$A$1:$B$999, 2, FALSE)</f>
        <v>Food</v>
      </c>
    </row>
    <row r="51" spans="1:6" x14ac:dyDescent="0.25">
      <c r="A51" t="s">
        <v>542</v>
      </c>
      <c r="B51">
        <v>-10.65</v>
      </c>
      <c r="C51" t="s">
        <v>385</v>
      </c>
      <c r="D51" t="s">
        <v>388</v>
      </c>
      <c r="E51" t="s">
        <v>240</v>
      </c>
      <c r="F51" t="str">
        <f>VLOOKUP(E51, '[1]POS Categories'!$A$1:$B$999, 2, FALSE)</f>
        <v>Food</v>
      </c>
    </row>
    <row r="52" spans="1:6" x14ac:dyDescent="0.25">
      <c r="A52" t="s">
        <v>542</v>
      </c>
      <c r="B52">
        <v>-13.92</v>
      </c>
      <c r="C52" t="s">
        <v>385</v>
      </c>
      <c r="D52" t="s">
        <v>388</v>
      </c>
      <c r="E52" t="s">
        <v>251</v>
      </c>
      <c r="F52" t="str">
        <f>VLOOKUP(E52, '[1]POS Categories'!$A$1:$B$999, 2, FALSE)</f>
        <v>Bills</v>
      </c>
    </row>
    <row r="53" spans="1:6" x14ac:dyDescent="0.25">
      <c r="A53" t="s">
        <v>543</v>
      </c>
      <c r="B53">
        <v>-1200</v>
      </c>
      <c r="C53" t="s">
        <v>385</v>
      </c>
      <c r="D53" t="s">
        <v>414</v>
      </c>
      <c r="E53" t="s">
        <v>206</v>
      </c>
      <c r="F53" t="str">
        <f>VLOOKUP(E53, '[1]POS Categories'!$A$1:$B$999, 2, FALSE)</f>
        <v>Rent</v>
      </c>
    </row>
    <row r="54" spans="1:6" x14ac:dyDescent="0.25">
      <c r="A54" t="s">
        <v>543</v>
      </c>
      <c r="B54">
        <v>-11.09</v>
      </c>
      <c r="C54" t="s">
        <v>385</v>
      </c>
      <c r="D54" t="s">
        <v>388</v>
      </c>
      <c r="E54" t="s">
        <v>8</v>
      </c>
      <c r="F54" t="str">
        <f>VLOOKUP(E54, '[1]POS Categories'!$A$1:$B$999, 2, FALSE)</f>
        <v>Food</v>
      </c>
    </row>
    <row r="55" spans="1:6" x14ac:dyDescent="0.25">
      <c r="A55" t="s">
        <v>543</v>
      </c>
      <c r="B55">
        <v>-80.77</v>
      </c>
      <c r="C55" t="s">
        <v>385</v>
      </c>
      <c r="D55" t="s">
        <v>388</v>
      </c>
      <c r="E55" t="s">
        <v>33</v>
      </c>
      <c r="F55" t="str">
        <f>VLOOKUP(E55, '[1]POS Categories'!$A$1:$B$999, 2, FALSE)</f>
        <v>Food</v>
      </c>
    </row>
    <row r="56" spans="1:6" x14ac:dyDescent="0.25">
      <c r="A56" t="s">
        <v>543</v>
      </c>
      <c r="B56">
        <v>-19.41</v>
      </c>
      <c r="C56" t="s">
        <v>385</v>
      </c>
      <c r="D56" t="s">
        <v>388</v>
      </c>
      <c r="E56" t="s">
        <v>22</v>
      </c>
      <c r="F56" t="str">
        <f>VLOOKUP(E56, '[1]POS Categories'!$A$1:$B$999, 2, FALSE)</f>
        <v>Entertainment</v>
      </c>
    </row>
    <row r="57" spans="1:6" x14ac:dyDescent="0.25">
      <c r="A57" t="s">
        <v>543</v>
      </c>
      <c r="B57">
        <v>-10.75</v>
      </c>
      <c r="C57" t="s">
        <v>385</v>
      </c>
      <c r="D57" t="s">
        <v>388</v>
      </c>
      <c r="E57" t="s">
        <v>326</v>
      </c>
      <c r="F57" t="str">
        <f>VLOOKUP(E57, '[1]POS Categories'!$A$1:$B$999, 2, FALSE)</f>
        <v>Food</v>
      </c>
    </row>
    <row r="58" spans="1:6" x14ac:dyDescent="0.25">
      <c r="A58" t="s">
        <v>543</v>
      </c>
      <c r="B58">
        <v>-19.420000000000002</v>
      </c>
      <c r="C58" t="s">
        <v>385</v>
      </c>
      <c r="D58" t="s">
        <v>388</v>
      </c>
      <c r="E58" t="s">
        <v>162</v>
      </c>
      <c r="F58" t="str">
        <f>VLOOKUP(E58, '[1]POS Categories'!$A$1:$B$999, 2, FALSE)</f>
        <v>Food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9"/>
  <sheetViews>
    <sheetView topLeftCell="A61" workbookViewId="0">
      <selection activeCell="D82" sqref="D82"/>
    </sheetView>
  </sheetViews>
  <sheetFormatPr defaultRowHeight="15" x14ac:dyDescent="0.25"/>
  <cols>
    <col min="4" max="4" width="23.28515625" bestFit="1" customWidth="1"/>
    <col min="5" max="5" width="36.140625" bestFit="1" customWidth="1"/>
  </cols>
  <sheetData>
    <row r="1" spans="1:6" x14ac:dyDescent="0.25">
      <c r="A1" t="s">
        <v>544</v>
      </c>
      <c r="B1">
        <v>-5.0999999999999996</v>
      </c>
      <c r="C1" t="s">
        <v>385</v>
      </c>
      <c r="D1" t="s">
        <v>388</v>
      </c>
      <c r="E1" t="s">
        <v>289</v>
      </c>
      <c r="F1" t="str">
        <f>VLOOKUP(E1, '[1]POS Categories'!$A$1:$B$999, 2, FALSE)</f>
        <v>Vacation</v>
      </c>
    </row>
    <row r="2" spans="1:6" x14ac:dyDescent="0.25">
      <c r="A2" t="s">
        <v>544</v>
      </c>
      <c r="B2">
        <v>-6.19</v>
      </c>
      <c r="C2" t="s">
        <v>385</v>
      </c>
      <c r="D2" t="s">
        <v>388</v>
      </c>
      <c r="E2" t="s">
        <v>291</v>
      </c>
      <c r="F2" t="str">
        <f>VLOOKUP(E2, '[1]POS Categories'!$A$1:$B$999, 2, FALSE)</f>
        <v>Vacation</v>
      </c>
    </row>
    <row r="3" spans="1:6" x14ac:dyDescent="0.25">
      <c r="A3" t="s">
        <v>544</v>
      </c>
      <c r="B3">
        <v>-265.26</v>
      </c>
      <c r="C3" t="s">
        <v>385</v>
      </c>
      <c r="D3" t="s">
        <v>400</v>
      </c>
      <c r="E3" t="s">
        <v>401</v>
      </c>
      <c r="F3" t="str">
        <f>VLOOKUP(E3, '[1]POS Categories'!$A$1:$B$999, 2, FALSE)</f>
        <v>Misc</v>
      </c>
    </row>
    <row r="4" spans="1:6" x14ac:dyDescent="0.25">
      <c r="A4" t="s">
        <v>544</v>
      </c>
      <c r="B4">
        <v>-195.35</v>
      </c>
      <c r="C4" t="s">
        <v>385</v>
      </c>
      <c r="D4" t="s">
        <v>400</v>
      </c>
      <c r="E4" t="s">
        <v>401</v>
      </c>
      <c r="F4" t="str">
        <f>VLOOKUP(E4, '[1]POS Categories'!$A$1:$B$999, 2, FALSE)</f>
        <v>Misc</v>
      </c>
    </row>
    <row r="5" spans="1:6" x14ac:dyDescent="0.25">
      <c r="A5" t="s">
        <v>545</v>
      </c>
      <c r="B5">
        <v>-12.68</v>
      </c>
      <c r="C5" t="s">
        <v>385</v>
      </c>
      <c r="D5" t="s">
        <v>388</v>
      </c>
      <c r="E5" t="s">
        <v>292</v>
      </c>
      <c r="F5" t="s">
        <v>290</v>
      </c>
    </row>
    <row r="6" spans="1:6" x14ac:dyDescent="0.25">
      <c r="A6" t="s">
        <v>545</v>
      </c>
      <c r="B6">
        <v>-31.5</v>
      </c>
      <c r="C6" t="s">
        <v>385</v>
      </c>
      <c r="D6" t="s">
        <v>388</v>
      </c>
      <c r="E6" t="s">
        <v>293</v>
      </c>
      <c r="F6" t="str">
        <f>VLOOKUP(E6, '[1]POS Categories'!$A$1:$B$999, 2, FALSE)</f>
        <v>Vacation</v>
      </c>
    </row>
    <row r="7" spans="1:6" x14ac:dyDescent="0.25">
      <c r="A7" t="s">
        <v>545</v>
      </c>
      <c r="B7">
        <v>-76.98</v>
      </c>
      <c r="C7" t="s">
        <v>385</v>
      </c>
      <c r="D7" t="s">
        <v>388</v>
      </c>
      <c r="E7" t="s">
        <v>294</v>
      </c>
      <c r="F7" t="s">
        <v>290</v>
      </c>
    </row>
    <row r="8" spans="1:6" x14ac:dyDescent="0.25">
      <c r="A8" t="s">
        <v>545</v>
      </c>
      <c r="B8">
        <v>-21</v>
      </c>
      <c r="C8" t="s">
        <v>385</v>
      </c>
      <c r="D8" t="s">
        <v>388</v>
      </c>
      <c r="E8" t="s">
        <v>295</v>
      </c>
      <c r="F8" t="str">
        <f>VLOOKUP(E8, '[1]POS Categories'!$A$1:$B$999, 2, FALSE)</f>
        <v>Vacation</v>
      </c>
    </row>
    <row r="9" spans="1:6" x14ac:dyDescent="0.25">
      <c r="A9" t="s">
        <v>545</v>
      </c>
      <c r="B9">
        <v>2129.84</v>
      </c>
      <c r="C9" t="s">
        <v>385</v>
      </c>
      <c r="D9" t="s">
        <v>386</v>
      </c>
      <c r="E9" t="s">
        <v>387</v>
      </c>
      <c r="F9" t="str">
        <f>VLOOKUP(E9, '[1]POS Categories'!$A$1:$B$999, 2, FALSE)</f>
        <v>Job</v>
      </c>
    </row>
    <row r="10" spans="1:6" x14ac:dyDescent="0.25">
      <c r="A10" t="s">
        <v>546</v>
      </c>
      <c r="B10">
        <v>-21.77</v>
      </c>
      <c r="C10" t="s">
        <v>385</v>
      </c>
      <c r="D10" t="s">
        <v>388</v>
      </c>
      <c r="E10" t="s">
        <v>296</v>
      </c>
      <c r="F10" t="s">
        <v>290</v>
      </c>
    </row>
    <row r="11" spans="1:6" x14ac:dyDescent="0.25">
      <c r="A11" t="s">
        <v>546</v>
      </c>
      <c r="B11">
        <v>-7.54</v>
      </c>
      <c r="C11" t="s">
        <v>385</v>
      </c>
      <c r="D11" t="s">
        <v>388</v>
      </c>
      <c r="E11" t="s">
        <v>297</v>
      </c>
      <c r="F11" t="str">
        <f>VLOOKUP(E11, '[1]POS Categories'!$A$1:$B$999, 2, FALSE)</f>
        <v>Vacation</v>
      </c>
    </row>
    <row r="12" spans="1:6" x14ac:dyDescent="0.25">
      <c r="A12" t="s">
        <v>546</v>
      </c>
      <c r="B12">
        <v>-762.63</v>
      </c>
      <c r="C12" t="s">
        <v>385</v>
      </c>
      <c r="D12" t="s">
        <v>400</v>
      </c>
      <c r="E12" t="s">
        <v>401</v>
      </c>
      <c r="F12" t="s">
        <v>290</v>
      </c>
    </row>
    <row r="13" spans="1:6" x14ac:dyDescent="0.25">
      <c r="A13" t="s">
        <v>546</v>
      </c>
      <c r="B13">
        <v>-239.47</v>
      </c>
      <c r="C13" t="s">
        <v>385</v>
      </c>
      <c r="D13" t="s">
        <v>400</v>
      </c>
      <c r="E13" t="s">
        <v>401</v>
      </c>
      <c r="F13" t="s">
        <v>290</v>
      </c>
    </row>
    <row r="14" spans="1:6" x14ac:dyDescent="0.25">
      <c r="A14" t="s">
        <v>547</v>
      </c>
      <c r="B14">
        <v>-51.45</v>
      </c>
      <c r="C14" t="s">
        <v>385</v>
      </c>
      <c r="D14" t="s">
        <v>388</v>
      </c>
      <c r="E14" t="s">
        <v>298</v>
      </c>
      <c r="F14" t="str">
        <f>VLOOKUP(E14, '[1]POS Categories'!$A$1:$B$999, 2, FALSE)</f>
        <v>Vacation</v>
      </c>
    </row>
    <row r="15" spans="1:6" x14ac:dyDescent="0.25">
      <c r="A15" t="s">
        <v>547</v>
      </c>
      <c r="B15">
        <v>-52.61</v>
      </c>
      <c r="C15" t="s">
        <v>385</v>
      </c>
      <c r="D15" t="s">
        <v>388</v>
      </c>
      <c r="E15" t="s">
        <v>299</v>
      </c>
      <c r="F15" t="s">
        <v>290</v>
      </c>
    </row>
    <row r="16" spans="1:6" x14ac:dyDescent="0.25">
      <c r="A16" t="s">
        <v>547</v>
      </c>
      <c r="B16">
        <v>-14.79</v>
      </c>
      <c r="C16" t="s">
        <v>385</v>
      </c>
      <c r="D16" t="s">
        <v>388</v>
      </c>
      <c r="E16" t="s">
        <v>300</v>
      </c>
      <c r="F16" t="s">
        <v>290</v>
      </c>
    </row>
    <row r="17" spans="1:6" x14ac:dyDescent="0.25">
      <c r="A17" t="s">
        <v>547</v>
      </c>
      <c r="B17">
        <v>-15.74</v>
      </c>
      <c r="C17" t="s">
        <v>385</v>
      </c>
      <c r="D17" t="s">
        <v>388</v>
      </c>
      <c r="E17" t="s">
        <v>301</v>
      </c>
      <c r="F17" t="s">
        <v>290</v>
      </c>
    </row>
    <row r="18" spans="1:6" x14ac:dyDescent="0.25">
      <c r="A18" t="s">
        <v>547</v>
      </c>
      <c r="B18">
        <v>-39.85</v>
      </c>
      <c r="C18" t="s">
        <v>385</v>
      </c>
      <c r="D18" t="s">
        <v>388</v>
      </c>
      <c r="E18" t="s">
        <v>302</v>
      </c>
      <c r="F18" t="s">
        <v>290</v>
      </c>
    </row>
    <row r="19" spans="1:6" x14ac:dyDescent="0.25">
      <c r="A19" t="s">
        <v>547</v>
      </c>
      <c r="B19">
        <v>-27</v>
      </c>
      <c r="C19" t="s">
        <v>385</v>
      </c>
      <c r="D19" t="s">
        <v>388</v>
      </c>
      <c r="E19" t="s">
        <v>303</v>
      </c>
      <c r="F19" t="str">
        <f>VLOOKUP(E19, '[1]POS Categories'!$A$1:$B$999, 2, FALSE)</f>
        <v>Vacation</v>
      </c>
    </row>
    <row r="20" spans="1:6" x14ac:dyDescent="0.25">
      <c r="A20" t="s">
        <v>548</v>
      </c>
      <c r="B20">
        <v>-52.42</v>
      </c>
      <c r="C20" t="s">
        <v>385</v>
      </c>
      <c r="D20" t="s">
        <v>388</v>
      </c>
      <c r="E20" t="s">
        <v>304</v>
      </c>
      <c r="F20" t="s">
        <v>290</v>
      </c>
    </row>
    <row r="21" spans="1:6" x14ac:dyDescent="0.25">
      <c r="A21" t="s">
        <v>548</v>
      </c>
      <c r="B21">
        <v>-8.6999999999999993</v>
      </c>
      <c r="C21" t="s">
        <v>385</v>
      </c>
      <c r="D21" t="s">
        <v>388</v>
      </c>
      <c r="E21" t="s">
        <v>305</v>
      </c>
      <c r="F21" t="s">
        <v>290</v>
      </c>
    </row>
    <row r="22" spans="1:6" x14ac:dyDescent="0.25">
      <c r="A22" t="s">
        <v>548</v>
      </c>
      <c r="B22">
        <v>-10.92</v>
      </c>
      <c r="C22" t="s">
        <v>385</v>
      </c>
      <c r="D22" t="s">
        <v>388</v>
      </c>
      <c r="E22" t="s">
        <v>306</v>
      </c>
      <c r="F22" t="s">
        <v>290</v>
      </c>
    </row>
    <row r="23" spans="1:6" x14ac:dyDescent="0.25">
      <c r="A23" t="s">
        <v>549</v>
      </c>
      <c r="B23">
        <v>-42.88</v>
      </c>
      <c r="C23" t="s">
        <v>385</v>
      </c>
      <c r="D23" t="s">
        <v>388</v>
      </c>
      <c r="E23" t="s">
        <v>307</v>
      </c>
      <c r="F23" t="s">
        <v>290</v>
      </c>
    </row>
    <row r="24" spans="1:6" x14ac:dyDescent="0.25">
      <c r="A24" t="s">
        <v>549</v>
      </c>
      <c r="B24">
        <v>-15.75</v>
      </c>
      <c r="C24" t="s">
        <v>385</v>
      </c>
      <c r="D24" t="s">
        <v>388</v>
      </c>
      <c r="E24" t="s">
        <v>308</v>
      </c>
      <c r="F24" t="s">
        <v>290</v>
      </c>
    </row>
    <row r="25" spans="1:6" x14ac:dyDescent="0.25">
      <c r="A25" t="s">
        <v>549</v>
      </c>
      <c r="B25">
        <v>-7.34</v>
      </c>
      <c r="C25" t="s">
        <v>385</v>
      </c>
      <c r="D25" t="s">
        <v>388</v>
      </c>
      <c r="E25" t="s">
        <v>309</v>
      </c>
      <c r="F25" t="s">
        <v>290</v>
      </c>
    </row>
    <row r="26" spans="1:6" x14ac:dyDescent="0.25">
      <c r="A26" t="s">
        <v>549</v>
      </c>
      <c r="B26">
        <v>-5.81</v>
      </c>
      <c r="C26" t="s">
        <v>385</v>
      </c>
      <c r="D26" t="s">
        <v>388</v>
      </c>
      <c r="E26" t="s">
        <v>310</v>
      </c>
      <c r="F26" t="str">
        <f>VLOOKUP(E26, '[1]POS Categories'!$A$1:$B$999, 2, FALSE)</f>
        <v>Vacation</v>
      </c>
    </row>
    <row r="27" spans="1:6" x14ac:dyDescent="0.25">
      <c r="A27" t="s">
        <v>549</v>
      </c>
      <c r="B27">
        <v>-17.52</v>
      </c>
      <c r="C27" t="s">
        <v>385</v>
      </c>
      <c r="D27" t="s">
        <v>388</v>
      </c>
      <c r="E27" t="s">
        <v>8</v>
      </c>
      <c r="F27" t="s">
        <v>290</v>
      </c>
    </row>
    <row r="28" spans="1:6" x14ac:dyDescent="0.25">
      <c r="A28" t="s">
        <v>549</v>
      </c>
      <c r="B28">
        <v>-141.97</v>
      </c>
      <c r="C28" t="s">
        <v>385</v>
      </c>
      <c r="D28" t="s">
        <v>388</v>
      </c>
      <c r="E28" t="s">
        <v>262</v>
      </c>
      <c r="F28" t="str">
        <f>VLOOKUP(E28, '[1]POS Categories'!$A$1:$B$999, 2, FALSE)</f>
        <v>Entertainment</v>
      </c>
    </row>
    <row r="29" spans="1:6" x14ac:dyDescent="0.25">
      <c r="A29" t="s">
        <v>549</v>
      </c>
      <c r="B29">
        <v>-54.05</v>
      </c>
      <c r="C29" t="s">
        <v>385</v>
      </c>
      <c r="D29" t="s">
        <v>388</v>
      </c>
      <c r="E29" t="s">
        <v>157</v>
      </c>
      <c r="F29" t="str">
        <f>VLOOKUP(E29, '[1]POS Categories'!$A$1:$B$999, 2, FALSE)</f>
        <v>Personal</v>
      </c>
    </row>
    <row r="30" spans="1:6" x14ac:dyDescent="0.25">
      <c r="A30" t="s">
        <v>549</v>
      </c>
      <c r="B30">
        <v>-59.71</v>
      </c>
      <c r="C30" t="s">
        <v>385</v>
      </c>
      <c r="D30" t="s">
        <v>388</v>
      </c>
      <c r="E30" t="s">
        <v>395</v>
      </c>
      <c r="F30" t="str">
        <f>VLOOKUP(E30, '[1]POS Categories'!$A$1:$B$999, 2, FALSE)</f>
        <v>Vehicle</v>
      </c>
    </row>
    <row r="31" spans="1:6" x14ac:dyDescent="0.25">
      <c r="A31" t="s">
        <v>550</v>
      </c>
      <c r="B31">
        <v>-36.479999999999997</v>
      </c>
      <c r="C31" t="s">
        <v>385</v>
      </c>
      <c r="D31" t="s">
        <v>388</v>
      </c>
      <c r="E31" t="s">
        <v>288</v>
      </c>
      <c r="F31" t="str">
        <f>VLOOKUP(E31, '[1]POS Categories'!$A$1:$B$999, 2, FALSE)</f>
        <v>Food</v>
      </c>
    </row>
    <row r="32" spans="1:6" x14ac:dyDescent="0.25">
      <c r="A32" t="s">
        <v>550</v>
      </c>
      <c r="B32">
        <v>-10.59</v>
      </c>
      <c r="C32" t="s">
        <v>385</v>
      </c>
      <c r="D32" t="s">
        <v>388</v>
      </c>
      <c r="E32" t="s">
        <v>183</v>
      </c>
      <c r="F32" t="str">
        <f>VLOOKUP(E32, '[1]POS Categories'!$A$1:$B$999, 2, FALSE)</f>
        <v>Food</v>
      </c>
    </row>
    <row r="33" spans="1:6" x14ac:dyDescent="0.25">
      <c r="A33" t="s">
        <v>550</v>
      </c>
      <c r="B33">
        <v>-11.64</v>
      </c>
      <c r="C33" t="s">
        <v>385</v>
      </c>
      <c r="D33" t="s">
        <v>388</v>
      </c>
      <c r="E33" t="s">
        <v>171</v>
      </c>
      <c r="F33" t="str">
        <f>VLOOKUP(E33, '[1]POS Categories'!$A$1:$B$999, 2, FALSE)</f>
        <v>Food</v>
      </c>
    </row>
    <row r="34" spans="1:6" x14ac:dyDescent="0.25">
      <c r="A34" t="s">
        <v>551</v>
      </c>
      <c r="B34">
        <v>-35.94</v>
      </c>
      <c r="C34" t="s">
        <v>385</v>
      </c>
      <c r="D34" t="s">
        <v>388</v>
      </c>
      <c r="E34" t="s">
        <v>311</v>
      </c>
      <c r="F34" t="str">
        <f>VLOOKUP(E34, '[1]POS Categories'!$A$1:$B$999, 2, FALSE)</f>
        <v>Food</v>
      </c>
    </row>
    <row r="35" spans="1:6" x14ac:dyDescent="0.25">
      <c r="A35" t="s">
        <v>552</v>
      </c>
      <c r="B35">
        <v>-14.42</v>
      </c>
      <c r="C35" t="s">
        <v>385</v>
      </c>
      <c r="D35" t="s">
        <v>388</v>
      </c>
      <c r="E35" t="s">
        <v>142</v>
      </c>
      <c r="F35" t="str">
        <f>VLOOKUP(E35, '[1]POS Categories'!$A$1:$B$999, 2, FALSE)</f>
        <v>Food</v>
      </c>
    </row>
    <row r="36" spans="1:6" x14ac:dyDescent="0.25">
      <c r="A36" t="s">
        <v>553</v>
      </c>
      <c r="B36">
        <v>-148.38999999999999</v>
      </c>
      <c r="C36" t="s">
        <v>385</v>
      </c>
      <c r="D36" t="s">
        <v>388</v>
      </c>
      <c r="E36" t="s">
        <v>312</v>
      </c>
      <c r="F36" t="str">
        <f>VLOOKUP(E36, '[1]POS Categories'!$A$1:$B$999, 2, FALSE)</f>
        <v>Entertainment</v>
      </c>
    </row>
    <row r="37" spans="1:6" x14ac:dyDescent="0.25">
      <c r="A37" t="s">
        <v>553</v>
      </c>
      <c r="B37">
        <v>-25.3</v>
      </c>
      <c r="C37" t="s">
        <v>385</v>
      </c>
      <c r="D37" t="s">
        <v>388</v>
      </c>
      <c r="E37" t="s">
        <v>22</v>
      </c>
      <c r="F37" t="str">
        <f>VLOOKUP(E37, '[1]POS Categories'!$A$1:$B$999, 2, FALSE)</f>
        <v>Entertainment</v>
      </c>
    </row>
    <row r="38" spans="1:6" x14ac:dyDescent="0.25">
      <c r="A38" t="s">
        <v>554</v>
      </c>
      <c r="B38">
        <v>-14.19</v>
      </c>
      <c r="C38" t="s">
        <v>385</v>
      </c>
      <c r="D38" t="s">
        <v>388</v>
      </c>
      <c r="E38" t="s">
        <v>174</v>
      </c>
      <c r="F38" t="str">
        <f>VLOOKUP(E38, '[1]POS Categories'!$A$1:$B$999, 2, FALSE)</f>
        <v>Food</v>
      </c>
    </row>
    <row r="39" spans="1:6" x14ac:dyDescent="0.25">
      <c r="A39" t="s">
        <v>554</v>
      </c>
      <c r="B39">
        <v>-82.95</v>
      </c>
      <c r="C39" t="s">
        <v>385</v>
      </c>
      <c r="D39" t="s">
        <v>388</v>
      </c>
      <c r="E39" t="s">
        <v>33</v>
      </c>
      <c r="F39" t="str">
        <f>VLOOKUP(E39, '[1]POS Categories'!$A$1:$B$999, 2, FALSE)</f>
        <v>Food</v>
      </c>
    </row>
    <row r="40" spans="1:6" x14ac:dyDescent="0.25">
      <c r="A40" t="s">
        <v>555</v>
      </c>
      <c r="B40">
        <v>-0.65</v>
      </c>
      <c r="C40" t="s">
        <v>385</v>
      </c>
      <c r="D40" t="s">
        <v>388</v>
      </c>
      <c r="E40" t="s">
        <v>22</v>
      </c>
      <c r="F40" t="str">
        <f>VLOOKUP(E40, '[1]POS Categories'!$A$1:$B$999, 2, FALSE)</f>
        <v>Entertainment</v>
      </c>
    </row>
    <row r="41" spans="1:6" x14ac:dyDescent="0.25">
      <c r="A41" t="s">
        <v>555</v>
      </c>
      <c r="B41">
        <v>-17.52</v>
      </c>
      <c r="C41" t="s">
        <v>385</v>
      </c>
      <c r="D41" t="s">
        <v>388</v>
      </c>
      <c r="E41" t="s">
        <v>8</v>
      </c>
      <c r="F41" t="str">
        <f>VLOOKUP(E41, '[1]POS Categories'!$A$1:$B$999, 2, FALSE)</f>
        <v>Food</v>
      </c>
    </row>
    <row r="42" spans="1:6" x14ac:dyDescent="0.25">
      <c r="A42" t="s">
        <v>555</v>
      </c>
      <c r="B42">
        <v>-31.42</v>
      </c>
      <c r="C42" t="s">
        <v>385</v>
      </c>
      <c r="D42" t="s">
        <v>388</v>
      </c>
      <c r="E42" t="s">
        <v>313</v>
      </c>
      <c r="F42" t="str">
        <f>VLOOKUP(E42, '[1]POS Categories'!$A$1:$B$999, 2, FALSE)</f>
        <v>Food</v>
      </c>
    </row>
    <row r="43" spans="1:6" x14ac:dyDescent="0.25">
      <c r="A43" t="s">
        <v>556</v>
      </c>
      <c r="B43">
        <v>-6.65</v>
      </c>
      <c r="C43" t="s">
        <v>385</v>
      </c>
      <c r="D43" t="s">
        <v>388</v>
      </c>
      <c r="E43" t="s">
        <v>314</v>
      </c>
      <c r="F43" t="str">
        <f>VLOOKUP(E43, '[1]POS Categories'!$A$1:$B$999, 2, FALSE)</f>
        <v>Personal</v>
      </c>
    </row>
    <row r="44" spans="1:6" x14ac:dyDescent="0.25">
      <c r="A44" t="s">
        <v>556</v>
      </c>
      <c r="B44">
        <v>-21.2</v>
      </c>
      <c r="C44" t="s">
        <v>385</v>
      </c>
      <c r="D44" t="s">
        <v>400</v>
      </c>
      <c r="E44" t="s">
        <v>401</v>
      </c>
      <c r="F44" t="str">
        <f>VLOOKUP(E44, '[1]POS Categories'!$A$1:$B$999, 2, FALSE)</f>
        <v>Misc</v>
      </c>
    </row>
    <row r="45" spans="1:6" x14ac:dyDescent="0.25">
      <c r="A45" t="s">
        <v>556</v>
      </c>
      <c r="B45">
        <v>-42.13</v>
      </c>
      <c r="C45" t="s">
        <v>385</v>
      </c>
      <c r="D45" t="s">
        <v>388</v>
      </c>
      <c r="E45" t="s">
        <v>423</v>
      </c>
      <c r="F45" t="str">
        <f>VLOOKUP(E45, '[1]POS Categories'!$A$1:$B$999, 2, FALSE)</f>
        <v>Food</v>
      </c>
    </row>
    <row r="46" spans="1:6" x14ac:dyDescent="0.25">
      <c r="A46" t="s">
        <v>557</v>
      </c>
      <c r="B46">
        <v>-15.62</v>
      </c>
      <c r="C46" t="s">
        <v>385</v>
      </c>
      <c r="D46" t="s">
        <v>388</v>
      </c>
      <c r="E46" t="s">
        <v>284</v>
      </c>
      <c r="F46" t="str">
        <f>VLOOKUP(E46, '[1]POS Categories'!$A$1:$B$999, 2, FALSE)</f>
        <v>Food</v>
      </c>
    </row>
    <row r="47" spans="1:6" x14ac:dyDescent="0.25">
      <c r="A47" t="s">
        <v>557</v>
      </c>
      <c r="B47">
        <v>-49.43</v>
      </c>
      <c r="C47" t="s">
        <v>385</v>
      </c>
      <c r="D47" t="s">
        <v>388</v>
      </c>
      <c r="E47" t="s">
        <v>199</v>
      </c>
      <c r="F47" t="str">
        <f>VLOOKUP(E47, '[1]POS Categories'!$A$1:$B$999, 2, FALSE)</f>
        <v>Personal</v>
      </c>
    </row>
    <row r="48" spans="1:6" x14ac:dyDescent="0.25">
      <c r="A48" t="s">
        <v>558</v>
      </c>
      <c r="B48">
        <v>-16.170000000000002</v>
      </c>
      <c r="C48" t="s">
        <v>385</v>
      </c>
      <c r="D48" t="s">
        <v>388</v>
      </c>
      <c r="E48" t="s">
        <v>315</v>
      </c>
      <c r="F48" t="str">
        <f>VLOOKUP(E48, '[1]POS Categories'!$A$1:$B$999, 2, FALSE)</f>
        <v>Food</v>
      </c>
    </row>
    <row r="49" spans="1:6" x14ac:dyDescent="0.25">
      <c r="A49" t="s">
        <v>558</v>
      </c>
      <c r="B49">
        <v>-5.55</v>
      </c>
      <c r="C49" t="s">
        <v>385</v>
      </c>
      <c r="D49" t="s">
        <v>388</v>
      </c>
      <c r="E49" t="s">
        <v>171</v>
      </c>
      <c r="F49" t="str">
        <f>VLOOKUP(E49, '[1]POS Categories'!$A$1:$B$999, 2, FALSE)</f>
        <v>Food</v>
      </c>
    </row>
    <row r="50" spans="1:6" x14ac:dyDescent="0.25">
      <c r="A50" t="s">
        <v>558</v>
      </c>
      <c r="B50">
        <v>-13.4</v>
      </c>
      <c r="C50" t="s">
        <v>385</v>
      </c>
      <c r="D50" t="s">
        <v>388</v>
      </c>
      <c r="E50" t="s">
        <v>174</v>
      </c>
      <c r="F50" t="str">
        <f>VLOOKUP(E50, '[1]POS Categories'!$A$1:$B$999, 2, FALSE)</f>
        <v>Food</v>
      </c>
    </row>
    <row r="51" spans="1:6" x14ac:dyDescent="0.25">
      <c r="A51" t="s">
        <v>558</v>
      </c>
      <c r="B51">
        <v>-61</v>
      </c>
      <c r="C51" t="s">
        <v>385</v>
      </c>
      <c r="D51" t="s">
        <v>388</v>
      </c>
      <c r="E51" t="s">
        <v>175</v>
      </c>
      <c r="F51" t="str">
        <f>VLOOKUP(E51, '[1]POS Categories'!$A$1:$B$999, 2, FALSE)</f>
        <v>Sasktel</v>
      </c>
    </row>
    <row r="52" spans="1:6" x14ac:dyDescent="0.25">
      <c r="A52" t="s">
        <v>558</v>
      </c>
      <c r="B52">
        <v>2236.4499999999998</v>
      </c>
      <c r="C52" t="s">
        <v>385</v>
      </c>
      <c r="D52" t="s">
        <v>386</v>
      </c>
      <c r="E52" t="s">
        <v>387</v>
      </c>
      <c r="F52" t="str">
        <f>VLOOKUP(E52, '[1]POS Categories'!$A$1:$B$999, 2, FALSE)</f>
        <v>Job</v>
      </c>
    </row>
    <row r="53" spans="1:6" x14ac:dyDescent="0.25">
      <c r="A53" t="s">
        <v>559</v>
      </c>
      <c r="B53">
        <v>-17.52</v>
      </c>
      <c r="C53" t="s">
        <v>385</v>
      </c>
      <c r="D53" t="s">
        <v>388</v>
      </c>
      <c r="E53" t="s">
        <v>240</v>
      </c>
      <c r="F53" t="str">
        <f>VLOOKUP(E53, '[1]POS Categories'!$A$1:$B$999, 2, FALSE)</f>
        <v>Food</v>
      </c>
    </row>
    <row r="54" spans="1:6" x14ac:dyDescent="0.25">
      <c r="A54" t="s">
        <v>560</v>
      </c>
      <c r="B54">
        <v>-10.31</v>
      </c>
      <c r="C54" t="s">
        <v>385</v>
      </c>
      <c r="D54" t="s">
        <v>388</v>
      </c>
      <c r="E54" t="s">
        <v>316</v>
      </c>
      <c r="F54" t="str">
        <f>VLOOKUP(E54, '[1]POS Categories'!$A$1:$B$999, 2, FALSE)</f>
        <v>Food</v>
      </c>
    </row>
    <row r="55" spans="1:6" x14ac:dyDescent="0.25">
      <c r="A55" t="s">
        <v>560</v>
      </c>
      <c r="B55">
        <v>-15.18</v>
      </c>
      <c r="C55" t="s">
        <v>385</v>
      </c>
      <c r="D55" t="s">
        <v>388</v>
      </c>
      <c r="E55" t="s">
        <v>149</v>
      </c>
      <c r="F55" t="str">
        <f>VLOOKUP(E55, '[1]POS Categories'!$A$1:$B$999, 2, FALSE)</f>
        <v>Food</v>
      </c>
    </row>
    <row r="56" spans="1:6" x14ac:dyDescent="0.25">
      <c r="A56" t="s">
        <v>561</v>
      </c>
      <c r="B56">
        <v>-18.84</v>
      </c>
      <c r="C56" t="s">
        <v>385</v>
      </c>
      <c r="D56" t="s">
        <v>388</v>
      </c>
      <c r="E56" t="s">
        <v>8</v>
      </c>
      <c r="F56" t="str">
        <f>VLOOKUP(E56, '[1]POS Categories'!$A$1:$B$999, 2, FALSE)</f>
        <v>Food</v>
      </c>
    </row>
    <row r="57" spans="1:6" x14ac:dyDescent="0.25">
      <c r="A57" t="s">
        <v>561</v>
      </c>
      <c r="B57">
        <v>-10.84</v>
      </c>
      <c r="C57" t="s">
        <v>385</v>
      </c>
      <c r="D57" t="s">
        <v>388</v>
      </c>
      <c r="E57" t="s">
        <v>317</v>
      </c>
      <c r="F57" t="str">
        <f>VLOOKUP(E57, '[1]POS Categories'!$A$1:$B$999, 2, FALSE)</f>
        <v>Food</v>
      </c>
    </row>
    <row r="58" spans="1:6" x14ac:dyDescent="0.25">
      <c r="A58" t="s">
        <v>561</v>
      </c>
      <c r="B58">
        <v>-3.32</v>
      </c>
      <c r="C58" t="s">
        <v>385</v>
      </c>
      <c r="D58" t="s">
        <v>388</v>
      </c>
      <c r="E58" t="s">
        <v>408</v>
      </c>
      <c r="F58" t="str">
        <f>VLOOKUP(E58, '[1]POS Categories'!$A$1:$B$999, 2, FALSE)</f>
        <v>Food</v>
      </c>
    </row>
    <row r="59" spans="1:6" x14ac:dyDescent="0.25">
      <c r="A59" t="s">
        <v>561</v>
      </c>
      <c r="B59">
        <v>-19.41</v>
      </c>
      <c r="C59" t="s">
        <v>385</v>
      </c>
      <c r="D59" t="s">
        <v>388</v>
      </c>
      <c r="E59" t="s">
        <v>213</v>
      </c>
      <c r="F59" t="str">
        <f>VLOOKUP(E59, '[1]POS Categories'!$A$1:$B$999, 2, FALSE)</f>
        <v>Entertainment</v>
      </c>
    </row>
    <row r="60" spans="1:6" x14ac:dyDescent="0.25">
      <c r="A60" t="s">
        <v>562</v>
      </c>
      <c r="B60">
        <v>-14.19</v>
      </c>
      <c r="C60" t="s">
        <v>385</v>
      </c>
      <c r="D60" t="s">
        <v>388</v>
      </c>
      <c r="E60" t="s">
        <v>174</v>
      </c>
      <c r="F60" t="str">
        <f>VLOOKUP(E60, '[1]POS Categories'!$A$1:$B$999, 2, FALSE)</f>
        <v>Food</v>
      </c>
    </row>
    <row r="61" spans="1:6" x14ac:dyDescent="0.25">
      <c r="A61" t="s">
        <v>563</v>
      </c>
      <c r="B61">
        <v>-38.68</v>
      </c>
      <c r="C61" t="s">
        <v>385</v>
      </c>
      <c r="D61" t="s">
        <v>388</v>
      </c>
      <c r="E61" t="s">
        <v>315</v>
      </c>
      <c r="F61" t="str">
        <f>VLOOKUP(E61, '[1]POS Categories'!$A$1:$B$999, 2, FALSE)</f>
        <v>Food</v>
      </c>
    </row>
    <row r="62" spans="1:6" x14ac:dyDescent="0.25">
      <c r="A62" t="s">
        <v>563</v>
      </c>
      <c r="B62">
        <v>-11</v>
      </c>
      <c r="C62" t="s">
        <v>385</v>
      </c>
      <c r="D62" t="s">
        <v>388</v>
      </c>
      <c r="E62" t="s">
        <v>8</v>
      </c>
      <c r="F62" t="str">
        <f>VLOOKUP(E62, '[1]POS Categories'!$A$1:$B$999, 2, FALSE)</f>
        <v>Food</v>
      </c>
    </row>
    <row r="63" spans="1:6" x14ac:dyDescent="0.25">
      <c r="A63" t="s">
        <v>564</v>
      </c>
      <c r="B63">
        <v>-13.26</v>
      </c>
      <c r="C63" t="s">
        <v>385</v>
      </c>
      <c r="D63" t="s">
        <v>388</v>
      </c>
      <c r="E63" t="s">
        <v>287</v>
      </c>
      <c r="F63" t="str">
        <f>VLOOKUP(E63, '[1]POS Categories'!$A$1:$B$999, 2, FALSE)</f>
        <v>Food</v>
      </c>
    </row>
    <row r="64" spans="1:6" x14ac:dyDescent="0.25">
      <c r="A64" t="s">
        <v>564</v>
      </c>
      <c r="B64">
        <v>-57.81</v>
      </c>
      <c r="C64" t="s">
        <v>385</v>
      </c>
      <c r="D64" t="s">
        <v>388</v>
      </c>
      <c r="E64" t="s">
        <v>411</v>
      </c>
      <c r="F64" t="str">
        <f>VLOOKUP(E64, '[1]POS Categories'!$A$1:$B$999, 2, FALSE)</f>
        <v>Sasktel</v>
      </c>
    </row>
    <row r="65" spans="1:6" x14ac:dyDescent="0.25">
      <c r="A65" t="s">
        <v>565</v>
      </c>
      <c r="B65">
        <v>-10.75</v>
      </c>
      <c r="C65" t="s">
        <v>385</v>
      </c>
      <c r="D65" t="s">
        <v>388</v>
      </c>
      <c r="E65" t="s">
        <v>171</v>
      </c>
      <c r="F65" t="str">
        <f>VLOOKUP(E65, '[1]POS Categories'!$A$1:$B$999, 2, FALSE)</f>
        <v>Food</v>
      </c>
    </row>
    <row r="66" spans="1:6" x14ac:dyDescent="0.25">
      <c r="A66" t="s">
        <v>565</v>
      </c>
      <c r="B66">
        <v>-14.42</v>
      </c>
      <c r="C66" t="s">
        <v>385</v>
      </c>
      <c r="D66" t="s">
        <v>388</v>
      </c>
      <c r="E66" t="s">
        <v>142</v>
      </c>
      <c r="F66" t="str">
        <f>VLOOKUP(E66, '[1]POS Categories'!$A$1:$B$999, 2, FALSE)</f>
        <v>Food</v>
      </c>
    </row>
    <row r="67" spans="1:6" x14ac:dyDescent="0.25">
      <c r="A67" t="s">
        <v>565</v>
      </c>
      <c r="B67">
        <v>2017.69</v>
      </c>
      <c r="C67" t="s">
        <v>385</v>
      </c>
      <c r="D67" t="s">
        <v>467</v>
      </c>
      <c r="F67" t="s">
        <v>45</v>
      </c>
    </row>
    <row r="68" spans="1:6" x14ac:dyDescent="0.25">
      <c r="A68" t="s">
        <v>566</v>
      </c>
      <c r="B68">
        <v>130</v>
      </c>
      <c r="C68" t="s">
        <v>385</v>
      </c>
      <c r="D68" t="s">
        <v>467</v>
      </c>
      <c r="E68" t="s">
        <v>200</v>
      </c>
      <c r="F68" t="str">
        <f>VLOOKUP(E68, '[1]POS Categories'!$A$1:$B$999, 2, FALSE)</f>
        <v>Bills</v>
      </c>
    </row>
    <row r="69" spans="1:6" x14ac:dyDescent="0.25">
      <c r="A69" t="s">
        <v>566</v>
      </c>
      <c r="B69">
        <v>-47.33</v>
      </c>
      <c r="C69" t="s">
        <v>385</v>
      </c>
      <c r="D69" t="s">
        <v>388</v>
      </c>
      <c r="E69" t="s">
        <v>33</v>
      </c>
      <c r="F69" t="str">
        <f>VLOOKUP(E69, '[1]POS Categories'!$A$1:$B$999, 2, FALSE)</f>
        <v>Food</v>
      </c>
    </row>
    <row r="70" spans="1:6" x14ac:dyDescent="0.25">
      <c r="A70" t="s">
        <v>566</v>
      </c>
      <c r="B70">
        <v>-148.80000000000001</v>
      </c>
      <c r="C70" t="s">
        <v>385</v>
      </c>
      <c r="D70" t="s">
        <v>388</v>
      </c>
      <c r="E70" t="s">
        <v>320</v>
      </c>
      <c r="F70" t="str">
        <f>VLOOKUP(E70, '[1]POS Categories'!$A$1:$B$999, 2, FALSE)</f>
        <v>Sports</v>
      </c>
    </row>
    <row r="71" spans="1:6" x14ac:dyDescent="0.25">
      <c r="A71" t="s">
        <v>567</v>
      </c>
      <c r="B71">
        <v>-59.23</v>
      </c>
      <c r="C71" t="s">
        <v>385</v>
      </c>
      <c r="D71" t="s">
        <v>388</v>
      </c>
      <c r="E71" t="s">
        <v>189</v>
      </c>
      <c r="F71" t="str">
        <f>VLOOKUP(E71, '[1]POS Categories'!$A$1:$B$999, 2, FALSE)</f>
        <v>Food</v>
      </c>
    </row>
    <row r="72" spans="1:6" x14ac:dyDescent="0.25">
      <c r="A72" t="s">
        <v>567</v>
      </c>
      <c r="B72">
        <v>-54.76</v>
      </c>
      <c r="C72" t="s">
        <v>385</v>
      </c>
      <c r="D72" t="s">
        <v>388</v>
      </c>
      <c r="E72" t="s">
        <v>318</v>
      </c>
      <c r="F72" t="str">
        <f>VLOOKUP(E72, '[1]POS Categories'!$A$1:$B$999, 2, FALSE)</f>
        <v>Food</v>
      </c>
    </row>
    <row r="73" spans="1:6" x14ac:dyDescent="0.25">
      <c r="A73" t="s">
        <v>567</v>
      </c>
      <c r="B73">
        <v>-12.7</v>
      </c>
      <c r="C73" t="s">
        <v>385</v>
      </c>
      <c r="D73" t="s">
        <v>388</v>
      </c>
      <c r="E73" t="s">
        <v>192</v>
      </c>
      <c r="F73" t="str">
        <f>VLOOKUP(E73, '[1]POS Categories'!$A$1:$B$999, 2, FALSE)</f>
        <v>Bills</v>
      </c>
    </row>
    <row r="74" spans="1:6" x14ac:dyDescent="0.25">
      <c r="A74" t="s">
        <v>568</v>
      </c>
      <c r="B74">
        <v>-1200</v>
      </c>
      <c r="C74" t="s">
        <v>385</v>
      </c>
      <c r="D74" t="s">
        <v>414</v>
      </c>
      <c r="E74" t="s">
        <v>206</v>
      </c>
      <c r="F74" t="str">
        <f>VLOOKUP(E74, '[1]POS Categories'!$A$1:$B$999, 2, FALSE)</f>
        <v>Rent</v>
      </c>
    </row>
    <row r="75" spans="1:6" x14ac:dyDescent="0.25">
      <c r="A75" t="s">
        <v>568</v>
      </c>
      <c r="B75">
        <v>-13.78</v>
      </c>
      <c r="C75" t="s">
        <v>385</v>
      </c>
      <c r="D75" t="s">
        <v>388</v>
      </c>
      <c r="E75" t="s">
        <v>183</v>
      </c>
      <c r="F75" t="str">
        <f>VLOOKUP(E75, '[1]POS Categories'!$A$1:$B$999, 2, FALSE)</f>
        <v>Food</v>
      </c>
    </row>
    <row r="76" spans="1:6" x14ac:dyDescent="0.25">
      <c r="A76" t="s">
        <v>568</v>
      </c>
      <c r="B76">
        <v>-16.3</v>
      </c>
      <c r="C76" t="s">
        <v>385</v>
      </c>
      <c r="D76" t="s">
        <v>388</v>
      </c>
      <c r="E76" t="s">
        <v>171</v>
      </c>
      <c r="F76" t="str">
        <f>VLOOKUP(E76, '[1]POS Categories'!$A$1:$B$999, 2, FALSE)</f>
        <v>Food</v>
      </c>
    </row>
    <row r="77" spans="1:6" x14ac:dyDescent="0.25">
      <c r="A77" t="s">
        <v>568</v>
      </c>
      <c r="B77">
        <v>-18.91</v>
      </c>
      <c r="C77" t="s">
        <v>385</v>
      </c>
      <c r="D77" t="s">
        <v>388</v>
      </c>
      <c r="E77" t="s">
        <v>319</v>
      </c>
      <c r="F77" t="str">
        <f>VLOOKUP(E77, '[1]POS Categories'!$A$1:$B$999, 2, FALSE)</f>
        <v>Food</v>
      </c>
    </row>
    <row r="78" spans="1:6" x14ac:dyDescent="0.25">
      <c r="A78" t="s">
        <v>568</v>
      </c>
      <c r="B78">
        <v>-7.76</v>
      </c>
      <c r="C78" t="s">
        <v>385</v>
      </c>
      <c r="D78" t="s">
        <v>388</v>
      </c>
      <c r="E78" t="s">
        <v>8</v>
      </c>
      <c r="F78" t="str">
        <f>VLOOKUP(E78, '[1]POS Categories'!$A$1:$B$999, 2, FALSE)</f>
        <v>Food</v>
      </c>
    </row>
    <row r="79" spans="1:6" x14ac:dyDescent="0.25">
      <c r="A79" t="s">
        <v>568</v>
      </c>
      <c r="B79">
        <v>-77.650000000000006</v>
      </c>
      <c r="C79" t="s">
        <v>385</v>
      </c>
      <c r="D79" t="s">
        <v>388</v>
      </c>
      <c r="E79" t="s">
        <v>157</v>
      </c>
      <c r="F79" t="str">
        <f>VLOOKUP(E79, '[1]POS Categories'!$A$1:$B$999, 2, FALSE)</f>
        <v>Personal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1"/>
  <sheetViews>
    <sheetView topLeftCell="A33" workbookViewId="0">
      <selection activeCell="F2" sqref="F2"/>
    </sheetView>
  </sheetViews>
  <sheetFormatPr defaultRowHeight="15" x14ac:dyDescent="0.25"/>
  <cols>
    <col min="3" max="3" width="1.7109375" bestFit="1" customWidth="1"/>
    <col min="4" max="4" width="23.28515625" bestFit="1" customWidth="1"/>
    <col min="5" max="5" width="36.140625" bestFit="1" customWidth="1"/>
  </cols>
  <sheetData>
    <row r="1" spans="1:6" x14ac:dyDescent="0.25">
      <c r="A1" t="s">
        <v>569</v>
      </c>
      <c r="B1">
        <v>-28</v>
      </c>
      <c r="C1" t="s">
        <v>385</v>
      </c>
      <c r="D1" t="s">
        <v>388</v>
      </c>
      <c r="E1" t="s">
        <v>32</v>
      </c>
      <c r="F1" t="str">
        <f>VLOOKUP(E1, '[1]POS Categories'!$A$1:$B$999, 2, FALSE)</f>
        <v>Food</v>
      </c>
    </row>
    <row r="2" spans="1:6" x14ac:dyDescent="0.25">
      <c r="A2" t="s">
        <v>569</v>
      </c>
      <c r="B2">
        <v>-6.05</v>
      </c>
      <c r="C2" t="s">
        <v>385</v>
      </c>
      <c r="D2" t="s">
        <v>388</v>
      </c>
      <c r="E2" t="s">
        <v>34</v>
      </c>
      <c r="F2" t="str">
        <f>VLOOKUP(E2, '[1]POS Categories'!$A$1:$B$999, 2, FALSE)</f>
        <v>Food</v>
      </c>
    </row>
    <row r="3" spans="1:6" x14ac:dyDescent="0.25">
      <c r="A3" t="s">
        <v>569</v>
      </c>
      <c r="B3">
        <v>-10.65</v>
      </c>
      <c r="C3" t="s">
        <v>385</v>
      </c>
      <c r="D3" t="s">
        <v>388</v>
      </c>
      <c r="E3" t="s">
        <v>240</v>
      </c>
      <c r="F3" t="str">
        <f>VLOOKUP(E3, '[1]POS Categories'!$A$1:$B$999, 2, FALSE)</f>
        <v>Food</v>
      </c>
    </row>
    <row r="4" spans="1:6" x14ac:dyDescent="0.25">
      <c r="A4" t="s">
        <v>569</v>
      </c>
      <c r="B4">
        <v>2044.36</v>
      </c>
      <c r="C4" t="s">
        <v>385</v>
      </c>
      <c r="D4" t="s">
        <v>386</v>
      </c>
      <c r="E4" t="s">
        <v>387</v>
      </c>
      <c r="F4" t="str">
        <f>VLOOKUP(E4, '[1]POS Categories'!$A$1:$B$999, 2, FALSE)</f>
        <v>Job</v>
      </c>
    </row>
    <row r="5" spans="1:6" x14ac:dyDescent="0.25">
      <c r="A5" t="s">
        <v>570</v>
      </c>
      <c r="B5">
        <v>-25.97</v>
      </c>
      <c r="C5" t="s">
        <v>385</v>
      </c>
      <c r="D5" t="s">
        <v>388</v>
      </c>
      <c r="E5" t="s">
        <v>284</v>
      </c>
      <c r="F5" t="str">
        <f>VLOOKUP(E5, '[1]POS Categories'!$A$1:$B$999, 2, FALSE)</f>
        <v>Food</v>
      </c>
    </row>
    <row r="6" spans="1:6" x14ac:dyDescent="0.25">
      <c r="A6" t="s">
        <v>570</v>
      </c>
      <c r="B6">
        <v>10</v>
      </c>
      <c r="C6" t="s">
        <v>385</v>
      </c>
      <c r="D6" t="s">
        <v>467</v>
      </c>
      <c r="E6" t="s">
        <v>200</v>
      </c>
      <c r="F6" t="str">
        <f>VLOOKUP(E6, '[1]POS Categories'!$A$1:$B$999, 2, FALSE)</f>
        <v>Bills</v>
      </c>
    </row>
    <row r="7" spans="1:6" x14ac:dyDescent="0.25">
      <c r="A7" t="s">
        <v>570</v>
      </c>
      <c r="B7">
        <v>-29.35</v>
      </c>
      <c r="C7" t="s">
        <v>385</v>
      </c>
      <c r="D7" t="s">
        <v>388</v>
      </c>
      <c r="E7" t="s">
        <v>395</v>
      </c>
      <c r="F7" t="str">
        <f>VLOOKUP(E7, '[1]POS Categories'!$A$1:$B$999, 2, FALSE)</f>
        <v>Vehicle</v>
      </c>
    </row>
    <row r="8" spans="1:6" x14ac:dyDescent="0.25">
      <c r="A8" t="s">
        <v>570</v>
      </c>
      <c r="B8">
        <v>-40.270000000000003</v>
      </c>
      <c r="C8" t="s">
        <v>385</v>
      </c>
      <c r="D8" t="s">
        <v>388</v>
      </c>
      <c r="E8" t="s">
        <v>285</v>
      </c>
      <c r="F8" t="str">
        <f>VLOOKUP(E8, '[1]POS Categories'!$A$1:$B$999, 2, FALSE)</f>
        <v>Vehicle</v>
      </c>
    </row>
    <row r="9" spans="1:6" x14ac:dyDescent="0.25">
      <c r="A9" t="s">
        <v>571</v>
      </c>
      <c r="B9">
        <v>-4.4800000000000004</v>
      </c>
      <c r="C9" t="s">
        <v>385</v>
      </c>
      <c r="D9" t="s">
        <v>388</v>
      </c>
      <c r="E9" t="s">
        <v>395</v>
      </c>
      <c r="F9" t="str">
        <f>VLOOKUP(E9, '[1]POS Categories'!$A$1:$B$999, 2, FALSE)</f>
        <v>Vehicle</v>
      </c>
    </row>
    <row r="10" spans="1:6" x14ac:dyDescent="0.25">
      <c r="A10" t="s">
        <v>571</v>
      </c>
      <c r="B10">
        <v>-32.299999999999997</v>
      </c>
      <c r="C10" t="s">
        <v>385</v>
      </c>
      <c r="D10" t="s">
        <v>388</v>
      </c>
      <c r="E10" t="s">
        <v>395</v>
      </c>
      <c r="F10" t="str">
        <f>VLOOKUP(E10, '[1]POS Categories'!$A$1:$B$999, 2, FALSE)</f>
        <v>Vehicle</v>
      </c>
    </row>
    <row r="11" spans="1:6" x14ac:dyDescent="0.25">
      <c r="A11" t="s">
        <v>571</v>
      </c>
      <c r="B11">
        <v>-60</v>
      </c>
      <c r="C11" t="s">
        <v>385</v>
      </c>
      <c r="D11" t="s">
        <v>466</v>
      </c>
      <c r="E11" t="s">
        <v>200</v>
      </c>
      <c r="F11" t="str">
        <f>VLOOKUP(E11, '[1]POS Categories'!$A$1:$B$999, 2, FALSE)</f>
        <v>Bills</v>
      </c>
    </row>
    <row r="12" spans="1:6" x14ac:dyDescent="0.25">
      <c r="A12" t="s">
        <v>572</v>
      </c>
      <c r="B12">
        <v>-20.38</v>
      </c>
      <c r="C12" t="s">
        <v>385</v>
      </c>
      <c r="D12" t="s">
        <v>388</v>
      </c>
      <c r="E12" t="s">
        <v>286</v>
      </c>
      <c r="F12" t="str">
        <f>VLOOKUP(E12, '[1]POS Categories'!$A$1:$B$999, 2, FALSE)</f>
        <v>Food</v>
      </c>
    </row>
    <row r="13" spans="1:6" x14ac:dyDescent="0.25">
      <c r="A13" t="s">
        <v>572</v>
      </c>
      <c r="B13">
        <v>-41.95</v>
      </c>
      <c r="C13" t="s">
        <v>385</v>
      </c>
      <c r="D13" t="s">
        <v>388</v>
      </c>
      <c r="E13" t="s">
        <v>22</v>
      </c>
      <c r="F13" t="str">
        <f>VLOOKUP(E13, '[1]POS Categories'!$A$1:$B$999, 2, FALSE)</f>
        <v>Entertainment</v>
      </c>
    </row>
    <row r="14" spans="1:6" x14ac:dyDescent="0.25">
      <c r="A14" t="s">
        <v>573</v>
      </c>
      <c r="B14">
        <v>-250</v>
      </c>
      <c r="C14" t="s">
        <v>385</v>
      </c>
      <c r="D14" t="s">
        <v>507</v>
      </c>
      <c r="E14" t="s">
        <v>195</v>
      </c>
      <c r="F14" t="str">
        <f>VLOOKUP(E14, '[1]POS Categories'!$A$1:$B$999, 2, FALSE)</f>
        <v>Investment</v>
      </c>
    </row>
    <row r="15" spans="1:6" x14ac:dyDescent="0.25">
      <c r="A15" t="s">
        <v>573</v>
      </c>
      <c r="B15">
        <v>-19.88</v>
      </c>
      <c r="C15" t="s">
        <v>385</v>
      </c>
      <c r="D15" t="s">
        <v>388</v>
      </c>
      <c r="E15" t="s">
        <v>142</v>
      </c>
      <c r="F15" t="str">
        <f>VLOOKUP(E15, '[1]POS Categories'!$A$1:$B$999, 2, FALSE)</f>
        <v>Food</v>
      </c>
    </row>
    <row r="16" spans="1:6" x14ac:dyDescent="0.25">
      <c r="A16" t="s">
        <v>573</v>
      </c>
      <c r="B16">
        <v>-9.86</v>
      </c>
      <c r="C16" t="s">
        <v>385</v>
      </c>
      <c r="D16" t="s">
        <v>388</v>
      </c>
      <c r="E16" t="s">
        <v>8</v>
      </c>
      <c r="F16" t="str">
        <f>VLOOKUP(E16, '[1]POS Categories'!$A$1:$B$999, 2, FALSE)</f>
        <v>Food</v>
      </c>
    </row>
    <row r="17" spans="1:6" x14ac:dyDescent="0.25">
      <c r="A17" t="s">
        <v>574</v>
      </c>
      <c r="B17">
        <v>-14.07</v>
      </c>
      <c r="C17" t="s">
        <v>385</v>
      </c>
      <c r="D17" t="s">
        <v>388</v>
      </c>
      <c r="E17" t="s">
        <v>8</v>
      </c>
      <c r="F17" t="str">
        <f>VLOOKUP(E17, '[1]POS Categories'!$A$1:$B$999, 2, FALSE)</f>
        <v>Food</v>
      </c>
    </row>
    <row r="18" spans="1:6" x14ac:dyDescent="0.25">
      <c r="A18" t="s">
        <v>575</v>
      </c>
      <c r="B18">
        <v>-14.19</v>
      </c>
      <c r="C18" t="s">
        <v>385</v>
      </c>
      <c r="D18" t="s">
        <v>388</v>
      </c>
      <c r="E18" t="s">
        <v>174</v>
      </c>
      <c r="F18" t="str">
        <f>VLOOKUP(E18, '[1]POS Categories'!$A$1:$B$999, 2, FALSE)</f>
        <v>Food</v>
      </c>
    </row>
    <row r="19" spans="1:6" x14ac:dyDescent="0.25">
      <c r="A19" t="s">
        <v>575</v>
      </c>
      <c r="B19">
        <v>-28.59</v>
      </c>
      <c r="C19" t="s">
        <v>385</v>
      </c>
      <c r="D19" t="s">
        <v>388</v>
      </c>
      <c r="E19" t="s">
        <v>32</v>
      </c>
      <c r="F19" t="str">
        <f>VLOOKUP(E19, '[1]POS Categories'!$A$1:$B$999, 2, FALSE)</f>
        <v>Food</v>
      </c>
    </row>
    <row r="20" spans="1:6" x14ac:dyDescent="0.25">
      <c r="A20" t="s">
        <v>576</v>
      </c>
      <c r="B20">
        <v>-12.1</v>
      </c>
      <c r="C20" t="s">
        <v>385</v>
      </c>
      <c r="D20" t="s">
        <v>388</v>
      </c>
      <c r="E20" t="s">
        <v>34</v>
      </c>
      <c r="F20" t="str">
        <f>VLOOKUP(E20, '[1]POS Categories'!$A$1:$B$999, 2, FALSE)</f>
        <v>Food</v>
      </c>
    </row>
    <row r="21" spans="1:6" x14ac:dyDescent="0.25">
      <c r="A21" t="s">
        <v>576</v>
      </c>
      <c r="B21">
        <v>-30</v>
      </c>
      <c r="C21" t="s">
        <v>385</v>
      </c>
      <c r="D21" t="s">
        <v>466</v>
      </c>
      <c r="E21" t="s">
        <v>200</v>
      </c>
      <c r="F21" t="str">
        <f>VLOOKUP(E21, '[1]POS Categories'!$A$1:$B$999, 2, FALSE)</f>
        <v>Bills</v>
      </c>
    </row>
    <row r="22" spans="1:6" x14ac:dyDescent="0.25">
      <c r="A22" t="s">
        <v>576</v>
      </c>
      <c r="B22">
        <v>60</v>
      </c>
      <c r="C22" t="s">
        <v>385</v>
      </c>
      <c r="D22" t="s">
        <v>467</v>
      </c>
      <c r="E22" t="s">
        <v>200</v>
      </c>
      <c r="F22" t="str">
        <f>VLOOKUP(E22, '[1]POS Categories'!$A$1:$B$999, 2, FALSE)</f>
        <v>Bills</v>
      </c>
    </row>
    <row r="23" spans="1:6" x14ac:dyDescent="0.25">
      <c r="A23" t="s">
        <v>576</v>
      </c>
      <c r="B23">
        <v>-137.88999999999999</v>
      </c>
      <c r="C23" t="s">
        <v>385</v>
      </c>
      <c r="D23" t="s">
        <v>435</v>
      </c>
      <c r="E23" t="s">
        <v>177</v>
      </c>
      <c r="F23" t="str">
        <f>VLOOKUP(E23, '[1]POS Categories'!$A$1:$B$999, 2, FALSE)</f>
        <v>Power</v>
      </c>
    </row>
    <row r="24" spans="1:6" x14ac:dyDescent="0.25">
      <c r="A24" t="s">
        <v>576</v>
      </c>
      <c r="B24">
        <v>-75</v>
      </c>
      <c r="C24" t="s">
        <v>385</v>
      </c>
      <c r="D24" t="s">
        <v>466</v>
      </c>
      <c r="E24" t="s">
        <v>200</v>
      </c>
      <c r="F24" t="str">
        <f>VLOOKUP(E24, '[1]POS Categories'!$A$1:$B$999, 2, FALSE)</f>
        <v>Bills</v>
      </c>
    </row>
    <row r="25" spans="1:6" x14ac:dyDescent="0.25">
      <c r="A25" t="s">
        <v>577</v>
      </c>
      <c r="B25">
        <v>-99.19</v>
      </c>
      <c r="C25" t="s">
        <v>385</v>
      </c>
      <c r="D25" t="s">
        <v>388</v>
      </c>
      <c r="E25" t="s">
        <v>33</v>
      </c>
      <c r="F25" t="str">
        <f>VLOOKUP(E25, '[1]POS Categories'!$A$1:$B$999, 2, FALSE)</f>
        <v>Food</v>
      </c>
    </row>
    <row r="26" spans="1:6" x14ac:dyDescent="0.25">
      <c r="A26" t="s">
        <v>577</v>
      </c>
      <c r="B26">
        <v>-11.1</v>
      </c>
      <c r="C26" t="s">
        <v>385</v>
      </c>
      <c r="D26" t="s">
        <v>388</v>
      </c>
      <c r="E26" t="s">
        <v>185</v>
      </c>
      <c r="F26" t="str">
        <f>VLOOKUP(E26, '[1]POS Categories'!$A$1:$B$999, 2, FALSE)</f>
        <v>Food</v>
      </c>
    </row>
    <row r="27" spans="1:6" x14ac:dyDescent="0.25">
      <c r="A27" t="s">
        <v>578</v>
      </c>
      <c r="B27">
        <v>-10.99</v>
      </c>
      <c r="C27" t="s">
        <v>385</v>
      </c>
      <c r="D27" t="s">
        <v>388</v>
      </c>
      <c r="E27" t="s">
        <v>160</v>
      </c>
      <c r="F27" t="str">
        <f>VLOOKUP(E27, '[1]POS Categories'!$A$1:$B$999, 2, FALSE)</f>
        <v>Personal</v>
      </c>
    </row>
    <row r="28" spans="1:6" x14ac:dyDescent="0.25">
      <c r="A28" t="s">
        <v>578</v>
      </c>
      <c r="B28">
        <v>-17.52</v>
      </c>
      <c r="C28" t="s">
        <v>385</v>
      </c>
      <c r="D28" t="s">
        <v>388</v>
      </c>
      <c r="E28" t="s">
        <v>8</v>
      </c>
      <c r="F28" t="str">
        <f>VLOOKUP(E28, '[1]POS Categories'!$A$1:$B$999, 2, FALSE)</f>
        <v>Food</v>
      </c>
    </row>
    <row r="29" spans="1:6" x14ac:dyDescent="0.25">
      <c r="A29" t="s">
        <v>579</v>
      </c>
      <c r="B29">
        <v>-17.07</v>
      </c>
      <c r="C29" t="s">
        <v>385</v>
      </c>
      <c r="D29" t="s">
        <v>388</v>
      </c>
      <c r="E29" t="s">
        <v>171</v>
      </c>
      <c r="F29" t="str">
        <f>VLOOKUP(E29, '[1]POS Categories'!$A$1:$B$999, 2, FALSE)</f>
        <v>Food</v>
      </c>
    </row>
    <row r="30" spans="1:6" x14ac:dyDescent="0.25">
      <c r="A30" t="s">
        <v>579</v>
      </c>
      <c r="B30">
        <v>-13.42</v>
      </c>
      <c r="C30" t="s">
        <v>385</v>
      </c>
      <c r="D30" t="s">
        <v>388</v>
      </c>
      <c r="E30" t="s">
        <v>174</v>
      </c>
      <c r="F30" t="str">
        <f>VLOOKUP(E30, '[1]POS Categories'!$A$1:$B$999, 2, FALSE)</f>
        <v>Food</v>
      </c>
    </row>
    <row r="31" spans="1:6" x14ac:dyDescent="0.25">
      <c r="A31" t="s">
        <v>580</v>
      </c>
      <c r="B31">
        <v>-61</v>
      </c>
      <c r="C31" t="s">
        <v>385</v>
      </c>
      <c r="D31" t="s">
        <v>388</v>
      </c>
      <c r="E31" t="s">
        <v>175</v>
      </c>
      <c r="F31" t="str">
        <f>VLOOKUP(E31, '[1]POS Categories'!$A$1:$B$999, 2, FALSE)</f>
        <v>Sasktel</v>
      </c>
    </row>
    <row r="32" spans="1:6" x14ac:dyDescent="0.25">
      <c r="A32" t="s">
        <v>580</v>
      </c>
      <c r="B32">
        <v>2216.96</v>
      </c>
      <c r="C32" t="s">
        <v>385</v>
      </c>
      <c r="D32" t="s">
        <v>386</v>
      </c>
      <c r="E32" t="s">
        <v>387</v>
      </c>
      <c r="F32" t="str">
        <f>VLOOKUP(E32, '[1]POS Categories'!$A$1:$B$999, 2, FALSE)</f>
        <v>Job</v>
      </c>
    </row>
    <row r="33" spans="1:6" x14ac:dyDescent="0.25">
      <c r="A33" t="s">
        <v>581</v>
      </c>
      <c r="B33">
        <v>-17.52</v>
      </c>
      <c r="C33" t="s">
        <v>385</v>
      </c>
      <c r="D33" t="s">
        <v>388</v>
      </c>
      <c r="E33" t="s">
        <v>8</v>
      </c>
      <c r="F33" t="str">
        <f>VLOOKUP(E33, '[1]POS Categories'!$A$1:$B$999, 2, FALSE)</f>
        <v>Food</v>
      </c>
    </row>
    <row r="34" spans="1:6" x14ac:dyDescent="0.25">
      <c r="A34" t="s">
        <v>581</v>
      </c>
      <c r="B34">
        <v>-6.4</v>
      </c>
      <c r="C34" t="s">
        <v>385</v>
      </c>
      <c r="D34" t="s">
        <v>388</v>
      </c>
      <c r="E34" t="s">
        <v>183</v>
      </c>
      <c r="F34" t="str">
        <f>VLOOKUP(E34, '[1]POS Categories'!$A$1:$B$999, 2, FALSE)</f>
        <v>Food</v>
      </c>
    </row>
    <row r="35" spans="1:6" x14ac:dyDescent="0.25">
      <c r="A35" t="s">
        <v>581</v>
      </c>
      <c r="B35">
        <v>-14.85</v>
      </c>
      <c r="C35" t="s">
        <v>385</v>
      </c>
      <c r="D35" t="s">
        <v>388</v>
      </c>
      <c r="E35" t="s">
        <v>287</v>
      </c>
      <c r="F35" t="str">
        <f>VLOOKUP(E35, '[1]POS Categories'!$A$1:$B$999, 2, FALSE)</f>
        <v>Food</v>
      </c>
    </row>
    <row r="36" spans="1:6" x14ac:dyDescent="0.25">
      <c r="A36" t="s">
        <v>582</v>
      </c>
      <c r="B36">
        <v>-11.23</v>
      </c>
      <c r="C36" t="s">
        <v>385</v>
      </c>
      <c r="D36" t="s">
        <v>388</v>
      </c>
      <c r="E36" t="s">
        <v>408</v>
      </c>
      <c r="F36" t="str">
        <f>VLOOKUP(E36, '[1]POS Categories'!$A$1:$B$999, 2, FALSE)</f>
        <v>Food</v>
      </c>
    </row>
    <row r="37" spans="1:6" x14ac:dyDescent="0.25">
      <c r="A37" t="s">
        <v>583</v>
      </c>
      <c r="B37">
        <v>-6.31</v>
      </c>
      <c r="C37" t="s">
        <v>385</v>
      </c>
      <c r="D37" t="s">
        <v>388</v>
      </c>
      <c r="E37" t="s">
        <v>171</v>
      </c>
      <c r="F37" t="str">
        <f>VLOOKUP(E37, '[1]POS Categories'!$A$1:$B$999, 2, FALSE)</f>
        <v>Food</v>
      </c>
    </row>
    <row r="38" spans="1:6" x14ac:dyDescent="0.25">
      <c r="A38" t="s">
        <v>583</v>
      </c>
      <c r="B38">
        <v>-14.42</v>
      </c>
      <c r="C38" t="s">
        <v>385</v>
      </c>
      <c r="D38" t="s">
        <v>388</v>
      </c>
      <c r="E38" t="s">
        <v>142</v>
      </c>
      <c r="F38" t="str">
        <f>VLOOKUP(E38, '[1]POS Categories'!$A$1:$B$999, 2, FALSE)</f>
        <v>Food</v>
      </c>
    </row>
    <row r="39" spans="1:6" x14ac:dyDescent="0.25">
      <c r="A39" t="s">
        <v>583</v>
      </c>
      <c r="B39">
        <v>-97.52</v>
      </c>
      <c r="C39" t="s">
        <v>385</v>
      </c>
      <c r="D39" t="s">
        <v>388</v>
      </c>
      <c r="E39" t="s">
        <v>158</v>
      </c>
      <c r="F39" t="str">
        <f>VLOOKUP(E39, '[1]POS Categories'!$A$1:$B$999, 2, FALSE)</f>
        <v>Personal</v>
      </c>
    </row>
    <row r="40" spans="1:6" x14ac:dyDescent="0.25">
      <c r="A40" t="s">
        <v>583</v>
      </c>
      <c r="B40">
        <v>-12.53</v>
      </c>
      <c r="C40" t="s">
        <v>385</v>
      </c>
      <c r="D40" t="s">
        <v>388</v>
      </c>
      <c r="E40" t="s">
        <v>174</v>
      </c>
      <c r="F40" t="str">
        <f>VLOOKUP(E40, '[1]POS Categories'!$A$1:$B$999, 2, FALSE)</f>
        <v>Food</v>
      </c>
    </row>
    <row r="41" spans="1:6" x14ac:dyDescent="0.25">
      <c r="A41" t="s">
        <v>583</v>
      </c>
      <c r="B41">
        <v>-18.07</v>
      </c>
      <c r="C41" t="s">
        <v>385</v>
      </c>
      <c r="D41" t="s">
        <v>388</v>
      </c>
      <c r="E41" t="s">
        <v>213</v>
      </c>
      <c r="F41" t="str">
        <f>VLOOKUP(E41, '[1]POS Categories'!$A$1:$B$999, 2, FALSE)</f>
        <v>Entertainment</v>
      </c>
    </row>
    <row r="42" spans="1:6" x14ac:dyDescent="0.25">
      <c r="A42" t="s">
        <v>584</v>
      </c>
      <c r="B42">
        <v>-17.52</v>
      </c>
      <c r="C42" t="s">
        <v>385</v>
      </c>
      <c r="D42" t="s">
        <v>388</v>
      </c>
      <c r="E42" t="s">
        <v>8</v>
      </c>
      <c r="F42" t="str">
        <f>VLOOKUP(E42, '[1]POS Categories'!$A$1:$B$999, 2, FALSE)</f>
        <v>Food</v>
      </c>
    </row>
    <row r="43" spans="1:6" x14ac:dyDescent="0.25">
      <c r="A43" t="s">
        <v>585</v>
      </c>
      <c r="B43">
        <v>-40.450000000000003</v>
      </c>
      <c r="C43" t="s">
        <v>385</v>
      </c>
      <c r="D43" t="s">
        <v>388</v>
      </c>
      <c r="E43" t="s">
        <v>33</v>
      </c>
      <c r="F43" t="str">
        <f>VLOOKUP(E43, '[1]POS Categories'!$A$1:$B$999, 2, FALSE)</f>
        <v>Food</v>
      </c>
    </row>
    <row r="44" spans="1:6" x14ac:dyDescent="0.25">
      <c r="A44" t="s">
        <v>585</v>
      </c>
      <c r="B44">
        <v>-100</v>
      </c>
      <c r="C44" t="s">
        <v>385</v>
      </c>
      <c r="D44" t="s">
        <v>466</v>
      </c>
      <c r="E44" t="s">
        <v>200</v>
      </c>
      <c r="F44" t="str">
        <f>VLOOKUP(E44, '[1]POS Categories'!$A$1:$B$999, 2, FALSE)</f>
        <v>Bills</v>
      </c>
    </row>
    <row r="45" spans="1:6" x14ac:dyDescent="0.25">
      <c r="A45" t="s">
        <v>585</v>
      </c>
      <c r="B45">
        <v>-23.95</v>
      </c>
      <c r="C45" t="s">
        <v>385</v>
      </c>
      <c r="D45" t="s">
        <v>388</v>
      </c>
      <c r="E45" t="s">
        <v>174</v>
      </c>
      <c r="F45" t="str">
        <f>VLOOKUP(E45, '[1]POS Categories'!$A$1:$B$999, 2, FALSE)</f>
        <v>Food</v>
      </c>
    </row>
    <row r="46" spans="1:6" x14ac:dyDescent="0.25">
      <c r="A46" t="s">
        <v>585</v>
      </c>
      <c r="B46">
        <v>-16.28</v>
      </c>
      <c r="C46" t="s">
        <v>385</v>
      </c>
      <c r="D46" t="s">
        <v>388</v>
      </c>
      <c r="E46" t="s">
        <v>149</v>
      </c>
      <c r="F46" t="str">
        <f>VLOOKUP(E46, '[1]POS Categories'!$A$1:$B$999, 2, FALSE)</f>
        <v>Food</v>
      </c>
    </row>
    <row r="47" spans="1:6" x14ac:dyDescent="0.25">
      <c r="A47" t="s">
        <v>585</v>
      </c>
      <c r="B47">
        <v>-7.02</v>
      </c>
      <c r="C47" t="s">
        <v>385</v>
      </c>
      <c r="D47" t="s">
        <v>388</v>
      </c>
      <c r="E47" t="s">
        <v>395</v>
      </c>
      <c r="F47" t="str">
        <f>VLOOKUP(E47, '[1]POS Categories'!$A$1:$B$999, 2, FALSE)</f>
        <v>Vehicle</v>
      </c>
    </row>
    <row r="48" spans="1:6" x14ac:dyDescent="0.25">
      <c r="A48" t="s">
        <v>585</v>
      </c>
      <c r="B48">
        <v>-60.91</v>
      </c>
      <c r="C48" t="s">
        <v>385</v>
      </c>
      <c r="D48" t="s">
        <v>388</v>
      </c>
      <c r="E48" t="s">
        <v>586</v>
      </c>
      <c r="F48" t="str">
        <f>VLOOKUP(E48, '[1]POS Categories'!$A$1:$B$999, 2, FALSE)</f>
        <v>Food</v>
      </c>
    </row>
    <row r="49" spans="1:6" x14ac:dyDescent="0.25">
      <c r="A49" t="s">
        <v>585</v>
      </c>
      <c r="B49">
        <v>-57.81</v>
      </c>
      <c r="C49" t="s">
        <v>385</v>
      </c>
      <c r="D49" t="s">
        <v>388</v>
      </c>
      <c r="E49" t="s">
        <v>411</v>
      </c>
      <c r="F49" t="str">
        <f>VLOOKUP(E49, '[1]POS Categories'!$A$1:$B$999, 2, FALSE)</f>
        <v>Sasktel</v>
      </c>
    </row>
    <row r="50" spans="1:6" x14ac:dyDescent="0.25">
      <c r="A50" t="s">
        <v>585</v>
      </c>
      <c r="B50">
        <v>-56.18</v>
      </c>
      <c r="C50" t="s">
        <v>385</v>
      </c>
      <c r="D50" t="s">
        <v>388</v>
      </c>
      <c r="E50" t="s">
        <v>463</v>
      </c>
      <c r="F50" t="str">
        <f>VLOOKUP(E50, '[1]POS Categories'!$A$1:$B$999, 2, FALSE)</f>
        <v>Vehicle</v>
      </c>
    </row>
    <row r="51" spans="1:6" x14ac:dyDescent="0.25">
      <c r="A51" t="s">
        <v>587</v>
      </c>
      <c r="B51">
        <v>-31.59</v>
      </c>
      <c r="C51" t="s">
        <v>385</v>
      </c>
      <c r="D51" t="s">
        <v>388</v>
      </c>
      <c r="E51" t="s">
        <v>8</v>
      </c>
      <c r="F51" t="str">
        <f>VLOOKUP(E51, '[1]POS Categories'!$A$1:$B$999, 2, FALSE)</f>
        <v>Food</v>
      </c>
    </row>
    <row r="52" spans="1:6" x14ac:dyDescent="0.25">
      <c r="A52" t="s">
        <v>587</v>
      </c>
      <c r="B52">
        <v>-10</v>
      </c>
      <c r="C52" t="s">
        <v>385</v>
      </c>
      <c r="D52" t="s">
        <v>388</v>
      </c>
      <c r="E52" t="s">
        <v>22</v>
      </c>
      <c r="F52" t="str">
        <f>VLOOKUP(E52, '[1]POS Categories'!$A$1:$B$999, 2, FALSE)</f>
        <v>Entertainment</v>
      </c>
    </row>
    <row r="53" spans="1:6" x14ac:dyDescent="0.25">
      <c r="A53" t="s">
        <v>588</v>
      </c>
      <c r="B53">
        <v>-30.19</v>
      </c>
      <c r="C53" t="s">
        <v>385</v>
      </c>
      <c r="D53" t="s">
        <v>388</v>
      </c>
      <c r="E53" t="s">
        <v>32</v>
      </c>
      <c r="F53" t="str">
        <f>VLOOKUP(E53, '[1]POS Categories'!$A$1:$B$999, 2, FALSE)</f>
        <v>Food</v>
      </c>
    </row>
    <row r="54" spans="1:6" x14ac:dyDescent="0.25">
      <c r="A54" t="s">
        <v>588</v>
      </c>
      <c r="B54">
        <v>-11.1</v>
      </c>
      <c r="C54" t="s">
        <v>385</v>
      </c>
      <c r="D54" t="s">
        <v>388</v>
      </c>
      <c r="E54" t="s">
        <v>185</v>
      </c>
      <c r="F54" t="str">
        <f>VLOOKUP(E54, '[1]POS Categories'!$A$1:$B$999, 2, FALSE)</f>
        <v>Food</v>
      </c>
    </row>
    <row r="55" spans="1:6" x14ac:dyDescent="0.25">
      <c r="A55" t="s">
        <v>589</v>
      </c>
      <c r="B55">
        <v>-27.46</v>
      </c>
      <c r="C55" t="s">
        <v>385</v>
      </c>
      <c r="D55" t="s">
        <v>388</v>
      </c>
      <c r="E55" t="s">
        <v>32</v>
      </c>
      <c r="F55" t="str">
        <f>VLOOKUP(E55, '[1]POS Categories'!$A$1:$B$999, 2, FALSE)</f>
        <v>Food</v>
      </c>
    </row>
    <row r="56" spans="1:6" x14ac:dyDescent="0.25">
      <c r="A56" t="s">
        <v>589</v>
      </c>
      <c r="B56">
        <v>-6.05</v>
      </c>
      <c r="C56" t="s">
        <v>385</v>
      </c>
      <c r="D56" t="s">
        <v>388</v>
      </c>
      <c r="E56" t="s">
        <v>34</v>
      </c>
      <c r="F56" t="str">
        <f>VLOOKUP(E56, '[1]POS Categories'!$A$1:$B$999, 2, FALSE)</f>
        <v>Food</v>
      </c>
    </row>
    <row r="57" spans="1:6" x14ac:dyDescent="0.25">
      <c r="A57" t="s">
        <v>589</v>
      </c>
      <c r="B57">
        <v>-12.64</v>
      </c>
      <c r="C57" t="s">
        <v>385</v>
      </c>
      <c r="D57" t="s">
        <v>388</v>
      </c>
      <c r="E57" t="s">
        <v>174</v>
      </c>
      <c r="F57" t="str">
        <f>VLOOKUP(E57, '[1]POS Categories'!$A$1:$B$999, 2, FALSE)</f>
        <v>Food</v>
      </c>
    </row>
    <row r="58" spans="1:6" x14ac:dyDescent="0.25">
      <c r="A58" t="s">
        <v>589</v>
      </c>
      <c r="B58">
        <v>-12.68</v>
      </c>
      <c r="C58" t="s">
        <v>385</v>
      </c>
      <c r="D58" t="s">
        <v>388</v>
      </c>
      <c r="E58" t="s">
        <v>180</v>
      </c>
      <c r="F58" t="str">
        <f>VLOOKUP(E58, '[1]POS Categories'!$A$1:$B$999, 2, FALSE)</f>
        <v>Entertainment</v>
      </c>
    </row>
    <row r="59" spans="1:6" x14ac:dyDescent="0.25">
      <c r="A59" t="s">
        <v>590</v>
      </c>
      <c r="B59">
        <v>-1200</v>
      </c>
      <c r="C59" t="s">
        <v>385</v>
      </c>
      <c r="D59" t="s">
        <v>414</v>
      </c>
      <c r="E59" t="s">
        <v>206</v>
      </c>
      <c r="F59" t="str">
        <f>VLOOKUP(E59, '[1]POS Categories'!$A$1:$B$999, 2, FALSE)</f>
        <v>Rent</v>
      </c>
    </row>
    <row r="60" spans="1:6" x14ac:dyDescent="0.25">
      <c r="A60" t="s">
        <v>590</v>
      </c>
      <c r="B60">
        <v>-106.34</v>
      </c>
      <c r="C60" t="s">
        <v>385</v>
      </c>
      <c r="D60" t="s">
        <v>388</v>
      </c>
      <c r="E60" t="s">
        <v>288</v>
      </c>
      <c r="F60" t="str">
        <f>VLOOKUP(E60, '[1]POS Categories'!$A$1:$B$999, 2, FALSE)</f>
        <v>Food</v>
      </c>
    </row>
    <row r="61" spans="1:6" x14ac:dyDescent="0.25">
      <c r="A61" t="s">
        <v>590</v>
      </c>
      <c r="B61">
        <v>-17.52</v>
      </c>
      <c r="C61" t="s">
        <v>385</v>
      </c>
      <c r="D61" t="s">
        <v>388</v>
      </c>
      <c r="E61" t="s">
        <v>8</v>
      </c>
      <c r="F61" t="str">
        <f>VLOOKUP(E61, '[1]POS Categories'!$A$1:$B$999, 2, FALSE)</f>
        <v>Food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9"/>
  <sheetViews>
    <sheetView topLeftCell="A29" workbookViewId="0">
      <selection activeCell="F2" sqref="F2"/>
    </sheetView>
  </sheetViews>
  <sheetFormatPr defaultRowHeight="15" x14ac:dyDescent="0.25"/>
  <cols>
    <col min="4" max="4" width="23.28515625" bestFit="1" customWidth="1"/>
    <col min="5" max="5" width="36.140625" bestFit="1" customWidth="1"/>
    <col min="6" max="6" width="8.7109375" bestFit="1" customWidth="1"/>
  </cols>
  <sheetData>
    <row r="1" spans="1:6" x14ac:dyDescent="0.25">
      <c r="A1" t="s">
        <v>591</v>
      </c>
      <c r="B1">
        <v>-9.64</v>
      </c>
      <c r="C1" t="s">
        <v>385</v>
      </c>
      <c r="D1" t="s">
        <v>388</v>
      </c>
      <c r="E1" t="s">
        <v>272</v>
      </c>
      <c r="F1" t="str">
        <f>VLOOKUP(E1, '[1]POS Categories'!$A$1:$B$999, 2, FALSE)</f>
        <v>Food</v>
      </c>
    </row>
    <row r="2" spans="1:6" x14ac:dyDescent="0.25">
      <c r="A2" t="s">
        <v>591</v>
      </c>
      <c r="B2">
        <v>2044.36</v>
      </c>
      <c r="C2" t="s">
        <v>385</v>
      </c>
      <c r="D2" t="s">
        <v>386</v>
      </c>
      <c r="E2" t="s">
        <v>387</v>
      </c>
      <c r="F2" t="str">
        <f>VLOOKUP(E2, '[1]POS Categories'!$A$1:$B$999, 2, FALSE)</f>
        <v>Job</v>
      </c>
    </row>
    <row r="3" spans="1:6" x14ac:dyDescent="0.25">
      <c r="A3" t="s">
        <v>591</v>
      </c>
      <c r="B3">
        <v>-7.65</v>
      </c>
      <c r="C3" t="s">
        <v>385</v>
      </c>
      <c r="D3" t="s">
        <v>388</v>
      </c>
      <c r="E3" t="s">
        <v>273</v>
      </c>
      <c r="F3" t="str">
        <f>VLOOKUP(E3, '[1]POS Categories'!$A$1:$B$999, 2, FALSE)</f>
        <v>Food</v>
      </c>
    </row>
    <row r="4" spans="1:6" x14ac:dyDescent="0.25">
      <c r="A4" t="s">
        <v>591</v>
      </c>
      <c r="B4">
        <v>-20.94</v>
      </c>
      <c r="C4" t="s">
        <v>385</v>
      </c>
      <c r="D4" t="s">
        <v>388</v>
      </c>
      <c r="E4" t="s">
        <v>184</v>
      </c>
      <c r="F4" t="str">
        <f>VLOOKUP(E4, '[1]POS Categories'!$A$1:$B$999, 2, FALSE)</f>
        <v>Food</v>
      </c>
    </row>
    <row r="5" spans="1:6" x14ac:dyDescent="0.25">
      <c r="A5" t="s">
        <v>592</v>
      </c>
      <c r="B5">
        <v>-23.19</v>
      </c>
      <c r="C5" t="s">
        <v>385</v>
      </c>
      <c r="D5" t="s">
        <v>388</v>
      </c>
      <c r="E5" t="s">
        <v>274</v>
      </c>
      <c r="F5" t="str">
        <f>VLOOKUP(E5, '[1]POS Categories'!$A$1:$B$999, 2, FALSE)</f>
        <v>Food</v>
      </c>
    </row>
    <row r="6" spans="1:6" x14ac:dyDescent="0.25">
      <c r="A6" t="s">
        <v>592</v>
      </c>
      <c r="B6">
        <v>-30.64</v>
      </c>
      <c r="C6" t="s">
        <v>385</v>
      </c>
      <c r="D6" t="s">
        <v>388</v>
      </c>
      <c r="E6" t="s">
        <v>275</v>
      </c>
      <c r="F6" t="str">
        <f>VLOOKUP(E6, '[1]POS Categories'!$A$1:$B$999, 2, FALSE)</f>
        <v>Food</v>
      </c>
    </row>
    <row r="7" spans="1:6" x14ac:dyDescent="0.25">
      <c r="A7" t="s">
        <v>592</v>
      </c>
      <c r="B7">
        <v>-39.799999999999997</v>
      </c>
      <c r="C7" t="s">
        <v>385</v>
      </c>
      <c r="D7" t="s">
        <v>388</v>
      </c>
      <c r="E7" t="s">
        <v>276</v>
      </c>
      <c r="F7" t="str">
        <f>VLOOKUP(E7, '[1]POS Categories'!$A$1:$B$999, 2, FALSE)</f>
        <v>Vehicle</v>
      </c>
    </row>
    <row r="8" spans="1:6" x14ac:dyDescent="0.25">
      <c r="A8" t="s">
        <v>593</v>
      </c>
      <c r="B8">
        <v>-14.42</v>
      </c>
      <c r="C8" t="s">
        <v>385</v>
      </c>
      <c r="D8" t="s">
        <v>388</v>
      </c>
      <c r="E8" t="s">
        <v>142</v>
      </c>
      <c r="F8" t="str">
        <f>VLOOKUP(E8, '[1]POS Categories'!$A$1:$B$999, 2, FALSE)</f>
        <v>Food</v>
      </c>
    </row>
    <row r="9" spans="1:6" x14ac:dyDescent="0.25">
      <c r="A9" t="s">
        <v>593</v>
      </c>
      <c r="B9">
        <v>-10.53</v>
      </c>
      <c r="C9" t="s">
        <v>385</v>
      </c>
      <c r="D9" t="s">
        <v>388</v>
      </c>
      <c r="E9" t="s">
        <v>174</v>
      </c>
      <c r="F9" t="str">
        <f>VLOOKUP(E9, '[1]POS Categories'!$A$1:$B$999, 2, FALSE)</f>
        <v>Food</v>
      </c>
    </row>
    <row r="10" spans="1:6" x14ac:dyDescent="0.25">
      <c r="A10" t="s">
        <v>594</v>
      </c>
      <c r="B10">
        <v>-28.84</v>
      </c>
      <c r="C10" t="s">
        <v>385</v>
      </c>
      <c r="D10" t="s">
        <v>388</v>
      </c>
      <c r="E10" t="s">
        <v>142</v>
      </c>
      <c r="F10" t="str">
        <f>VLOOKUP(E10, '[1]POS Categories'!$A$1:$B$999, 2, FALSE)</f>
        <v>Food</v>
      </c>
    </row>
    <row r="11" spans="1:6" x14ac:dyDescent="0.25">
      <c r="A11" t="s">
        <v>595</v>
      </c>
      <c r="B11">
        <v>-15.85</v>
      </c>
      <c r="C11" t="s">
        <v>385</v>
      </c>
      <c r="D11" t="s">
        <v>388</v>
      </c>
      <c r="E11" t="s">
        <v>8</v>
      </c>
      <c r="F11" t="str">
        <f>VLOOKUP(E11, '[1]POS Categories'!$A$1:$B$999, 2, FALSE)</f>
        <v>Food</v>
      </c>
    </row>
    <row r="12" spans="1:6" x14ac:dyDescent="0.25">
      <c r="A12" t="s">
        <v>596</v>
      </c>
      <c r="B12">
        <v>-7.16</v>
      </c>
      <c r="C12" t="s">
        <v>385</v>
      </c>
      <c r="D12" t="s">
        <v>388</v>
      </c>
      <c r="E12" t="s">
        <v>277</v>
      </c>
      <c r="F12" t="str">
        <f>VLOOKUP(E12, '[1]POS Categories'!$A$1:$B$999, 2, FALSE)</f>
        <v>Vehicle</v>
      </c>
    </row>
    <row r="13" spans="1:6" x14ac:dyDescent="0.25">
      <c r="A13" t="s">
        <v>596</v>
      </c>
      <c r="B13">
        <v>-7.18</v>
      </c>
      <c r="C13" t="s">
        <v>385</v>
      </c>
      <c r="D13" t="s">
        <v>388</v>
      </c>
      <c r="E13" t="s">
        <v>278</v>
      </c>
      <c r="F13" t="str">
        <f>VLOOKUP(E13, '[1]POS Categories'!$A$1:$B$999, 2, FALSE)</f>
        <v>Food</v>
      </c>
    </row>
    <row r="14" spans="1:6" x14ac:dyDescent="0.25">
      <c r="A14" t="s">
        <v>596</v>
      </c>
      <c r="B14">
        <v>-51.61</v>
      </c>
      <c r="C14" t="s">
        <v>385</v>
      </c>
      <c r="D14" t="s">
        <v>388</v>
      </c>
      <c r="E14" t="s">
        <v>395</v>
      </c>
      <c r="F14" t="str">
        <f>VLOOKUP(E14, '[1]POS Categories'!$A$1:$B$999, 2, FALSE)</f>
        <v>Vehicle</v>
      </c>
    </row>
    <row r="15" spans="1:6" x14ac:dyDescent="0.25">
      <c r="A15" t="s">
        <v>596</v>
      </c>
      <c r="B15">
        <v>-25.36</v>
      </c>
      <c r="C15" t="s">
        <v>385</v>
      </c>
      <c r="D15" t="s">
        <v>388</v>
      </c>
      <c r="E15" t="s">
        <v>32</v>
      </c>
      <c r="F15" t="str">
        <f>VLOOKUP(E15, '[1]POS Categories'!$A$1:$B$999, 2, FALSE)</f>
        <v>Food</v>
      </c>
    </row>
    <row r="16" spans="1:6" x14ac:dyDescent="0.25">
      <c r="A16" t="s">
        <v>596</v>
      </c>
      <c r="B16">
        <v>-12.52</v>
      </c>
      <c r="C16" t="s">
        <v>385</v>
      </c>
      <c r="D16" t="s">
        <v>388</v>
      </c>
      <c r="E16" t="s">
        <v>597</v>
      </c>
      <c r="F16" t="str">
        <f>VLOOKUP(E16, '[1]POS Categories'!$A$1:$B$999, 2, FALSE)</f>
        <v>Food</v>
      </c>
    </row>
    <row r="17" spans="1:6" x14ac:dyDescent="0.25">
      <c r="A17" t="s">
        <v>596</v>
      </c>
      <c r="B17">
        <v>-7.53</v>
      </c>
      <c r="C17" t="s">
        <v>385</v>
      </c>
      <c r="D17" t="s">
        <v>388</v>
      </c>
      <c r="E17" t="s">
        <v>408</v>
      </c>
      <c r="F17" t="str">
        <f>VLOOKUP(E17, '[1]POS Categories'!$A$1:$B$999, 2, FALSE)</f>
        <v>Food</v>
      </c>
    </row>
    <row r="18" spans="1:6" x14ac:dyDescent="0.25">
      <c r="A18" t="s">
        <v>598</v>
      </c>
      <c r="B18">
        <v>-17.399999999999999</v>
      </c>
      <c r="C18" t="s">
        <v>385</v>
      </c>
      <c r="D18" t="s">
        <v>388</v>
      </c>
      <c r="E18" t="s">
        <v>8</v>
      </c>
      <c r="F18" t="str">
        <f>VLOOKUP(E18, '[1]POS Categories'!$A$1:$B$999, 2, FALSE)</f>
        <v>Food</v>
      </c>
    </row>
    <row r="19" spans="1:6" x14ac:dyDescent="0.25">
      <c r="A19" t="s">
        <v>599</v>
      </c>
      <c r="B19">
        <v>-53.26</v>
      </c>
      <c r="C19" t="s">
        <v>385</v>
      </c>
      <c r="D19" t="s">
        <v>388</v>
      </c>
      <c r="E19" t="s">
        <v>33</v>
      </c>
      <c r="F19" t="str">
        <f>VLOOKUP(E19, '[1]POS Categories'!$A$1:$B$999, 2, FALSE)</f>
        <v>Food</v>
      </c>
    </row>
    <row r="20" spans="1:6" x14ac:dyDescent="0.25">
      <c r="A20" t="s">
        <v>600</v>
      </c>
      <c r="B20">
        <v>-10.53</v>
      </c>
      <c r="C20" t="s">
        <v>385</v>
      </c>
      <c r="D20" t="s">
        <v>388</v>
      </c>
      <c r="E20" t="s">
        <v>174</v>
      </c>
      <c r="F20" t="str">
        <f>VLOOKUP(E20, '[1]POS Categories'!$A$1:$B$999, 2, FALSE)</f>
        <v>Food</v>
      </c>
    </row>
    <row r="21" spans="1:6" x14ac:dyDescent="0.25">
      <c r="A21" t="s">
        <v>600</v>
      </c>
      <c r="B21">
        <v>-22.84</v>
      </c>
      <c r="C21" t="s">
        <v>385</v>
      </c>
      <c r="D21" t="s">
        <v>388</v>
      </c>
      <c r="E21" t="s">
        <v>32</v>
      </c>
      <c r="F21" t="str">
        <f>VLOOKUP(E21, '[1]POS Categories'!$A$1:$B$999, 2, FALSE)</f>
        <v>Food</v>
      </c>
    </row>
    <row r="22" spans="1:6" x14ac:dyDescent="0.25">
      <c r="A22" t="s">
        <v>600</v>
      </c>
      <c r="B22">
        <v>-280.67</v>
      </c>
      <c r="C22" t="s">
        <v>385</v>
      </c>
      <c r="D22" t="s">
        <v>388</v>
      </c>
      <c r="E22" t="s">
        <v>36</v>
      </c>
      <c r="F22" t="str">
        <f>VLOOKUP(E22, '[1]POS Categories'!$A$1:$B$999, 2, FALSE)</f>
        <v>Food</v>
      </c>
    </row>
    <row r="23" spans="1:6" x14ac:dyDescent="0.25">
      <c r="A23" t="s">
        <v>600</v>
      </c>
      <c r="B23">
        <v>-91.54</v>
      </c>
      <c r="C23" t="s">
        <v>385</v>
      </c>
      <c r="D23" t="s">
        <v>388</v>
      </c>
      <c r="E23" t="s">
        <v>43</v>
      </c>
      <c r="F23" t="str">
        <f>VLOOKUP(E23, '[1]POS Categories'!$A$1:$B$999, 2, FALSE)</f>
        <v>Personal</v>
      </c>
    </row>
    <row r="24" spans="1:6" x14ac:dyDescent="0.25">
      <c r="A24" t="s">
        <v>601</v>
      </c>
      <c r="B24">
        <v>-21.5</v>
      </c>
      <c r="C24" t="s">
        <v>385</v>
      </c>
      <c r="D24" t="s">
        <v>388</v>
      </c>
      <c r="E24" t="s">
        <v>171</v>
      </c>
      <c r="F24" t="str">
        <f>VLOOKUP(E24, '[1]POS Categories'!$A$1:$B$999, 2, FALSE)</f>
        <v>Food</v>
      </c>
    </row>
    <row r="25" spans="1:6" x14ac:dyDescent="0.25">
      <c r="A25" t="s">
        <v>601</v>
      </c>
      <c r="B25">
        <v>-61</v>
      </c>
      <c r="C25" t="s">
        <v>385</v>
      </c>
      <c r="D25" t="s">
        <v>388</v>
      </c>
      <c r="E25" t="s">
        <v>175</v>
      </c>
      <c r="F25" t="str">
        <f>VLOOKUP(E25, '[1]POS Categories'!$A$1:$B$999, 2, FALSE)</f>
        <v>Sasktel</v>
      </c>
    </row>
    <row r="26" spans="1:6" x14ac:dyDescent="0.25">
      <c r="A26" t="s">
        <v>602</v>
      </c>
      <c r="B26">
        <v>65</v>
      </c>
      <c r="C26" t="s">
        <v>385</v>
      </c>
      <c r="D26" t="s">
        <v>467</v>
      </c>
      <c r="E26" t="s">
        <v>200</v>
      </c>
      <c r="F26" t="str">
        <f>VLOOKUP(E26, '[1]POS Categories'!$A$1:$B$999, 2, FALSE)</f>
        <v>Bills</v>
      </c>
    </row>
    <row r="27" spans="1:6" x14ac:dyDescent="0.25">
      <c r="A27" t="s">
        <v>602</v>
      </c>
      <c r="B27">
        <v>-15.55</v>
      </c>
      <c r="C27" t="s">
        <v>385</v>
      </c>
      <c r="D27" t="s">
        <v>388</v>
      </c>
      <c r="E27" t="s">
        <v>185</v>
      </c>
      <c r="F27" t="str">
        <f>VLOOKUP(E27, '[1]POS Categories'!$A$1:$B$999, 2, FALSE)</f>
        <v>Food</v>
      </c>
    </row>
    <row r="28" spans="1:6" x14ac:dyDescent="0.25">
      <c r="A28" t="s">
        <v>602</v>
      </c>
      <c r="B28">
        <v>-88.58</v>
      </c>
      <c r="C28" t="s">
        <v>385</v>
      </c>
      <c r="D28" t="s">
        <v>388</v>
      </c>
      <c r="E28" t="s">
        <v>157</v>
      </c>
      <c r="F28" t="str">
        <f>VLOOKUP(E28, '[1]POS Categories'!$A$1:$B$999, 2, FALSE)</f>
        <v>Personal</v>
      </c>
    </row>
    <row r="29" spans="1:6" x14ac:dyDescent="0.25">
      <c r="A29" t="s">
        <v>602</v>
      </c>
      <c r="B29">
        <v>-4.68</v>
      </c>
      <c r="C29" t="s">
        <v>385</v>
      </c>
      <c r="D29" t="s">
        <v>388</v>
      </c>
      <c r="E29" t="s">
        <v>279</v>
      </c>
      <c r="F29" t="str">
        <f>VLOOKUP(E29, '[1]POS Categories'!$A$1:$B$999, 2, FALSE)</f>
        <v>Personal</v>
      </c>
    </row>
    <row r="30" spans="1:6" x14ac:dyDescent="0.25">
      <c r="A30" t="s">
        <v>602</v>
      </c>
      <c r="B30">
        <v>-62.91</v>
      </c>
      <c r="C30" t="s">
        <v>385</v>
      </c>
      <c r="D30" t="s">
        <v>388</v>
      </c>
      <c r="E30" t="s">
        <v>33</v>
      </c>
      <c r="F30" t="str">
        <f>VLOOKUP(E30, '[1]POS Categories'!$A$1:$B$999, 2, FALSE)</f>
        <v>Food</v>
      </c>
    </row>
    <row r="31" spans="1:6" x14ac:dyDescent="0.25">
      <c r="A31" t="s">
        <v>602</v>
      </c>
      <c r="B31">
        <v>-17.399999999999999</v>
      </c>
      <c r="C31" t="s">
        <v>385</v>
      </c>
      <c r="D31" t="s">
        <v>388</v>
      </c>
      <c r="E31" t="s">
        <v>8</v>
      </c>
      <c r="F31" t="str">
        <f>VLOOKUP(E31, '[1]POS Categories'!$A$1:$B$999, 2, FALSE)</f>
        <v>Food</v>
      </c>
    </row>
    <row r="32" spans="1:6" x14ac:dyDescent="0.25">
      <c r="A32" t="s">
        <v>602</v>
      </c>
      <c r="B32">
        <v>2147.41</v>
      </c>
      <c r="C32" t="s">
        <v>385</v>
      </c>
      <c r="D32" t="s">
        <v>386</v>
      </c>
      <c r="E32" t="s">
        <v>387</v>
      </c>
      <c r="F32" t="str">
        <f>VLOOKUP(E32, '[1]POS Categories'!$A$1:$B$999, 2, FALSE)</f>
        <v>Job</v>
      </c>
    </row>
    <row r="33" spans="1:6" x14ac:dyDescent="0.25">
      <c r="A33" t="s">
        <v>603</v>
      </c>
      <c r="B33">
        <v>-14.42</v>
      </c>
      <c r="C33" t="s">
        <v>385</v>
      </c>
      <c r="D33" t="s">
        <v>388</v>
      </c>
      <c r="E33" t="s">
        <v>142</v>
      </c>
      <c r="F33" t="str">
        <f>VLOOKUP(E33, '[1]POS Categories'!$A$1:$B$999, 2, FALSE)</f>
        <v>Food</v>
      </c>
    </row>
    <row r="34" spans="1:6" x14ac:dyDescent="0.25">
      <c r="A34" t="s">
        <v>603</v>
      </c>
      <c r="B34">
        <v>3738.29</v>
      </c>
      <c r="C34" t="s">
        <v>385</v>
      </c>
      <c r="D34" t="s">
        <v>604</v>
      </c>
      <c r="E34" t="s">
        <v>280</v>
      </c>
      <c r="F34" t="str">
        <f>VLOOKUP(E34, '[1]POS Categories'!$A$1:$B$999, 2, FALSE)</f>
        <v>Bills</v>
      </c>
    </row>
    <row r="35" spans="1:6" x14ac:dyDescent="0.25">
      <c r="A35" t="s">
        <v>605</v>
      </c>
      <c r="B35">
        <v>-27.85</v>
      </c>
      <c r="C35" t="s">
        <v>385</v>
      </c>
      <c r="D35" t="s">
        <v>388</v>
      </c>
      <c r="E35" t="s">
        <v>32</v>
      </c>
      <c r="F35" t="str">
        <f>VLOOKUP(E35, '[1]POS Categories'!$A$1:$B$999, 2, FALSE)</f>
        <v>Food</v>
      </c>
    </row>
    <row r="36" spans="1:6" x14ac:dyDescent="0.25">
      <c r="A36" t="s">
        <v>606</v>
      </c>
      <c r="B36">
        <v>-11.09</v>
      </c>
      <c r="C36" t="s">
        <v>385</v>
      </c>
      <c r="D36" t="s">
        <v>388</v>
      </c>
      <c r="E36" t="s">
        <v>8</v>
      </c>
      <c r="F36" t="str">
        <f>VLOOKUP(E36, '[1]POS Categories'!$A$1:$B$999, 2, FALSE)</f>
        <v>Food</v>
      </c>
    </row>
    <row r="37" spans="1:6" x14ac:dyDescent="0.25">
      <c r="A37" t="s">
        <v>607</v>
      </c>
      <c r="B37">
        <v>-48.22</v>
      </c>
      <c r="C37" t="s">
        <v>385</v>
      </c>
      <c r="D37" t="s">
        <v>388</v>
      </c>
      <c r="E37" t="s">
        <v>33</v>
      </c>
      <c r="F37" t="str">
        <f>VLOOKUP(E37, '[1]POS Categories'!$A$1:$B$999, 2, FALSE)</f>
        <v>Food</v>
      </c>
    </row>
    <row r="38" spans="1:6" x14ac:dyDescent="0.25">
      <c r="A38" t="s">
        <v>607</v>
      </c>
      <c r="B38">
        <v>-73.94</v>
      </c>
      <c r="C38" t="s">
        <v>385</v>
      </c>
      <c r="D38" t="s">
        <v>388</v>
      </c>
      <c r="E38" t="s">
        <v>33</v>
      </c>
      <c r="F38" t="str">
        <f>VLOOKUP(E38, '[1]POS Categories'!$A$1:$B$999, 2, FALSE)</f>
        <v>Food</v>
      </c>
    </row>
    <row r="39" spans="1:6" x14ac:dyDescent="0.25">
      <c r="A39" t="s">
        <v>607</v>
      </c>
      <c r="B39">
        <v>-23.1</v>
      </c>
      <c r="C39" t="s">
        <v>385</v>
      </c>
      <c r="D39" t="s">
        <v>388</v>
      </c>
      <c r="E39" t="s">
        <v>35</v>
      </c>
      <c r="F39" t="str">
        <f>VLOOKUP(E39, '[1]POS Categories'!$A$1:$B$999, 2, FALSE)</f>
        <v>Personal</v>
      </c>
    </row>
    <row r="40" spans="1:6" x14ac:dyDescent="0.25">
      <c r="A40" t="s">
        <v>607</v>
      </c>
      <c r="B40">
        <v>-40</v>
      </c>
      <c r="C40" t="s">
        <v>385</v>
      </c>
      <c r="D40" t="s">
        <v>466</v>
      </c>
      <c r="E40" t="s">
        <v>200</v>
      </c>
      <c r="F40" t="str">
        <f>VLOOKUP(E40, '[1]POS Categories'!$A$1:$B$999, 2, FALSE)</f>
        <v>Bills</v>
      </c>
    </row>
    <row r="41" spans="1:6" x14ac:dyDescent="0.25">
      <c r="A41" t="s">
        <v>608</v>
      </c>
      <c r="B41">
        <v>-5.62</v>
      </c>
      <c r="C41" t="s">
        <v>385</v>
      </c>
      <c r="D41" t="s">
        <v>388</v>
      </c>
      <c r="E41" t="s">
        <v>281</v>
      </c>
      <c r="F41" t="str">
        <f>VLOOKUP(E41, '[1]POS Categories'!$A$1:$B$999, 2, FALSE)</f>
        <v>Vehicle</v>
      </c>
    </row>
    <row r="42" spans="1:6" x14ac:dyDescent="0.25">
      <c r="A42" t="s">
        <v>608</v>
      </c>
      <c r="B42">
        <v>-7.7</v>
      </c>
      <c r="C42" t="s">
        <v>385</v>
      </c>
      <c r="D42" t="s">
        <v>388</v>
      </c>
      <c r="E42" t="s">
        <v>282</v>
      </c>
      <c r="F42" t="str">
        <f>VLOOKUP(E42, '[1]POS Categories'!$A$1:$B$999, 2, FALSE)</f>
        <v>Vehicle</v>
      </c>
    </row>
    <row r="43" spans="1:6" x14ac:dyDescent="0.25">
      <c r="A43" t="s">
        <v>608</v>
      </c>
      <c r="B43">
        <v>-13.42</v>
      </c>
      <c r="C43" t="s">
        <v>385</v>
      </c>
      <c r="D43" t="s">
        <v>388</v>
      </c>
      <c r="E43" t="s">
        <v>408</v>
      </c>
      <c r="F43" t="str">
        <f>VLOOKUP(E43, '[1]POS Categories'!$A$1:$B$999, 2, FALSE)</f>
        <v>Food</v>
      </c>
    </row>
    <row r="44" spans="1:6" x14ac:dyDescent="0.25">
      <c r="A44" t="s">
        <v>608</v>
      </c>
      <c r="B44">
        <v>-90</v>
      </c>
      <c r="C44" t="s">
        <v>385</v>
      </c>
      <c r="D44" t="s">
        <v>466</v>
      </c>
      <c r="E44" t="s">
        <v>200</v>
      </c>
      <c r="F44" t="str">
        <f>VLOOKUP(E44, '[1]POS Categories'!$A$1:$B$999, 2, FALSE)</f>
        <v>Bills</v>
      </c>
    </row>
    <row r="45" spans="1:6" x14ac:dyDescent="0.25">
      <c r="A45" t="s">
        <v>609</v>
      </c>
      <c r="B45">
        <v>-33.869999999999997</v>
      </c>
      <c r="C45" t="s">
        <v>385</v>
      </c>
      <c r="D45" t="s">
        <v>388</v>
      </c>
      <c r="E45" t="s">
        <v>32</v>
      </c>
      <c r="F45" t="str">
        <f>VLOOKUP(E45, '[1]POS Categories'!$A$1:$B$999, 2, FALSE)</f>
        <v>Food</v>
      </c>
    </row>
    <row r="46" spans="1:6" x14ac:dyDescent="0.25">
      <c r="A46" t="s">
        <v>609</v>
      </c>
      <c r="B46">
        <v>-56.78</v>
      </c>
      <c r="C46" t="s">
        <v>385</v>
      </c>
      <c r="D46" t="s">
        <v>388</v>
      </c>
      <c r="E46" t="s">
        <v>411</v>
      </c>
      <c r="F46" t="str">
        <f>VLOOKUP(E46, '[1]POS Categories'!$A$1:$B$999, 2, FALSE)</f>
        <v>Sasktel</v>
      </c>
    </row>
    <row r="47" spans="1:6" x14ac:dyDescent="0.25">
      <c r="A47" t="s">
        <v>609</v>
      </c>
      <c r="B47">
        <v>-10.75</v>
      </c>
      <c r="C47" t="s">
        <v>385</v>
      </c>
      <c r="D47" t="s">
        <v>388</v>
      </c>
      <c r="E47" t="s">
        <v>171</v>
      </c>
      <c r="F47" t="str">
        <f>VLOOKUP(E47, '[1]POS Categories'!$A$1:$B$999, 2, FALSE)</f>
        <v>Food</v>
      </c>
    </row>
    <row r="48" spans="1:6" x14ac:dyDescent="0.25">
      <c r="A48" t="s">
        <v>609</v>
      </c>
      <c r="B48">
        <v>-8.1199999999999992</v>
      </c>
      <c r="C48" t="s">
        <v>385</v>
      </c>
      <c r="D48" t="s">
        <v>388</v>
      </c>
      <c r="E48" t="s">
        <v>408</v>
      </c>
      <c r="F48" t="str">
        <f>VLOOKUP(E48, '[1]POS Categories'!$A$1:$B$999, 2, FALSE)</f>
        <v>Food</v>
      </c>
    </row>
    <row r="49" spans="1:6" x14ac:dyDescent="0.25">
      <c r="A49" t="s">
        <v>610</v>
      </c>
      <c r="B49">
        <v>-14.07</v>
      </c>
      <c r="C49" t="s">
        <v>385</v>
      </c>
      <c r="D49" t="s">
        <v>388</v>
      </c>
      <c r="E49" t="s">
        <v>8</v>
      </c>
      <c r="F49" t="str">
        <f>VLOOKUP(E49, '[1]POS Categories'!$A$1:$B$999, 2, FALSE)</f>
        <v>Food</v>
      </c>
    </row>
    <row r="50" spans="1:6" x14ac:dyDescent="0.25">
      <c r="A50" t="s">
        <v>611</v>
      </c>
      <c r="B50">
        <v>-13.96</v>
      </c>
      <c r="C50" t="s">
        <v>385</v>
      </c>
      <c r="D50" t="s">
        <v>388</v>
      </c>
      <c r="E50" t="s">
        <v>174</v>
      </c>
      <c r="F50" t="str">
        <f>VLOOKUP(E50, '[1]POS Categories'!$A$1:$B$999, 2, FALSE)</f>
        <v>Food</v>
      </c>
    </row>
    <row r="51" spans="1:6" x14ac:dyDescent="0.25">
      <c r="A51" t="s">
        <v>611</v>
      </c>
      <c r="B51">
        <v>-14.3</v>
      </c>
      <c r="C51" t="s">
        <v>385</v>
      </c>
      <c r="D51" t="s">
        <v>388</v>
      </c>
      <c r="E51" t="s">
        <v>22</v>
      </c>
      <c r="F51" t="str">
        <f>VLOOKUP(E51, '[1]POS Categories'!$A$1:$B$999, 2, FALSE)</f>
        <v>Entertainment</v>
      </c>
    </row>
    <row r="52" spans="1:6" x14ac:dyDescent="0.25">
      <c r="A52" t="s">
        <v>612</v>
      </c>
      <c r="B52">
        <v>-11.54</v>
      </c>
      <c r="C52" t="s">
        <v>385</v>
      </c>
      <c r="D52" t="s">
        <v>388</v>
      </c>
      <c r="E52" t="s">
        <v>142</v>
      </c>
      <c r="F52" t="str">
        <f>VLOOKUP(E52, '[1]POS Categories'!$A$1:$B$999, 2, FALSE)</f>
        <v>Food</v>
      </c>
    </row>
    <row r="53" spans="1:6" x14ac:dyDescent="0.25">
      <c r="A53" t="s">
        <v>613</v>
      </c>
      <c r="B53">
        <v>-1200</v>
      </c>
      <c r="C53" t="s">
        <v>385</v>
      </c>
      <c r="D53" t="s">
        <v>414</v>
      </c>
      <c r="E53" t="s">
        <v>206</v>
      </c>
      <c r="F53" t="str">
        <f>VLOOKUP(E53, '[1]POS Categories'!$A$1:$B$999, 2, FALSE)</f>
        <v>Rent</v>
      </c>
    </row>
    <row r="54" spans="1:6" x14ac:dyDescent="0.25">
      <c r="A54" t="s">
        <v>613</v>
      </c>
      <c r="B54">
        <v>-13.4</v>
      </c>
      <c r="C54" t="s">
        <v>385</v>
      </c>
      <c r="D54" t="s">
        <v>388</v>
      </c>
      <c r="E54" t="s">
        <v>174</v>
      </c>
      <c r="F54" t="str">
        <f>VLOOKUP(E54, '[1]POS Categories'!$A$1:$B$999, 2, FALSE)</f>
        <v>Food</v>
      </c>
    </row>
    <row r="55" spans="1:6" x14ac:dyDescent="0.25">
      <c r="A55" t="s">
        <v>613</v>
      </c>
      <c r="B55">
        <v>-12.57</v>
      </c>
      <c r="C55" t="s">
        <v>385</v>
      </c>
      <c r="D55" t="s">
        <v>388</v>
      </c>
      <c r="E55" t="s">
        <v>192</v>
      </c>
      <c r="F55" t="str">
        <f>VLOOKUP(E55, '[1]POS Categories'!$A$1:$B$999, 2, FALSE)</f>
        <v>Bills</v>
      </c>
    </row>
    <row r="56" spans="1:6" x14ac:dyDescent="0.25">
      <c r="A56" t="s">
        <v>613</v>
      </c>
      <c r="B56">
        <v>-12.63</v>
      </c>
      <c r="C56" t="s">
        <v>385</v>
      </c>
      <c r="D56" t="s">
        <v>388</v>
      </c>
      <c r="E56" t="s">
        <v>171</v>
      </c>
      <c r="F56" t="str">
        <f>VLOOKUP(E56, '[1]POS Categories'!$A$1:$B$999, 2, FALSE)</f>
        <v>Food</v>
      </c>
    </row>
    <row r="57" spans="1:6" x14ac:dyDescent="0.25">
      <c r="A57" t="s">
        <v>614</v>
      </c>
      <c r="B57">
        <v>-30.48</v>
      </c>
      <c r="C57" t="s">
        <v>385</v>
      </c>
      <c r="D57" t="s">
        <v>388</v>
      </c>
      <c r="E57" t="s">
        <v>32</v>
      </c>
      <c r="F57" t="str">
        <f>VLOOKUP(E57, '[1]POS Categories'!$A$1:$B$999, 2, FALSE)</f>
        <v>Food</v>
      </c>
    </row>
    <row r="58" spans="1:6" x14ac:dyDescent="0.25">
      <c r="A58" t="s">
        <v>614</v>
      </c>
      <c r="B58">
        <v>-30.73</v>
      </c>
      <c r="C58" t="s">
        <v>385</v>
      </c>
      <c r="D58" t="s">
        <v>388</v>
      </c>
      <c r="E58" t="s">
        <v>22</v>
      </c>
      <c r="F58" t="str">
        <f>VLOOKUP(E58, '[1]POS Categories'!$A$1:$B$999, 2, FALSE)</f>
        <v>Entertainment</v>
      </c>
    </row>
    <row r="59" spans="1:6" x14ac:dyDescent="0.25">
      <c r="A59" t="s">
        <v>614</v>
      </c>
      <c r="B59">
        <v>-88.79</v>
      </c>
      <c r="C59" t="s">
        <v>385</v>
      </c>
      <c r="D59" t="s">
        <v>388</v>
      </c>
      <c r="E59" t="s">
        <v>283</v>
      </c>
      <c r="F59" t="str">
        <f>VLOOKUP(E59, '[1]POS Categories'!$A$1:$B$999, 2, FALSE)</f>
        <v>Personal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13" workbookViewId="0">
      <selection activeCell="F2" sqref="F2"/>
    </sheetView>
  </sheetViews>
  <sheetFormatPr defaultRowHeight="15" x14ac:dyDescent="0.25"/>
  <cols>
    <col min="4" max="4" width="23.28515625" bestFit="1" customWidth="1"/>
    <col min="5" max="5" width="36.140625" bestFit="1" customWidth="1"/>
  </cols>
  <sheetData>
    <row r="1" spans="1:6" x14ac:dyDescent="0.25">
      <c r="A1" t="s">
        <v>615</v>
      </c>
      <c r="B1">
        <v>-70.59</v>
      </c>
      <c r="C1" t="s">
        <v>385</v>
      </c>
      <c r="D1" t="s">
        <v>388</v>
      </c>
      <c r="E1" t="s">
        <v>452</v>
      </c>
      <c r="F1" t="str">
        <f>VLOOKUP(E1, '[1]POS Categories'!$A$1:$B$999, 2, FALSE)</f>
        <v>Food</v>
      </c>
    </row>
    <row r="2" spans="1:6" x14ac:dyDescent="0.25">
      <c r="A2" t="s">
        <v>615</v>
      </c>
      <c r="B2">
        <v>-17.399999999999999</v>
      </c>
      <c r="C2" t="s">
        <v>385</v>
      </c>
      <c r="D2" t="s">
        <v>388</v>
      </c>
      <c r="E2" t="s">
        <v>597</v>
      </c>
      <c r="F2" t="str">
        <f>VLOOKUP(E2, '[1]POS Categories'!$A$1:$B$999, 2, FALSE)</f>
        <v>Food</v>
      </c>
    </row>
    <row r="3" spans="1:6" x14ac:dyDescent="0.25">
      <c r="A3" t="s">
        <v>615</v>
      </c>
      <c r="B3">
        <v>-469.51</v>
      </c>
      <c r="C3" t="s">
        <v>385</v>
      </c>
      <c r="D3" t="s">
        <v>388</v>
      </c>
      <c r="E3" t="s">
        <v>265</v>
      </c>
      <c r="F3" t="str">
        <f>VLOOKUP(E3, '[1]POS Categories'!$A$1:$B$999, 2, FALSE)</f>
        <v>Home</v>
      </c>
    </row>
    <row r="4" spans="1:6" x14ac:dyDescent="0.25">
      <c r="A4" t="s">
        <v>615</v>
      </c>
      <c r="B4">
        <v>2560.6</v>
      </c>
      <c r="C4" t="s">
        <v>385</v>
      </c>
      <c r="D4" t="s">
        <v>386</v>
      </c>
      <c r="E4" t="s">
        <v>387</v>
      </c>
      <c r="F4" t="str">
        <f>VLOOKUP(E4, '[1]POS Categories'!$A$1:$B$999, 2, FALSE)</f>
        <v>Job</v>
      </c>
    </row>
    <row r="5" spans="1:6" x14ac:dyDescent="0.25">
      <c r="A5" t="s">
        <v>616</v>
      </c>
      <c r="B5">
        <v>-7.53</v>
      </c>
      <c r="C5" t="s">
        <v>385</v>
      </c>
      <c r="D5" t="s">
        <v>388</v>
      </c>
      <c r="E5" t="s">
        <v>408</v>
      </c>
      <c r="F5" t="str">
        <f>VLOOKUP(E5, '[1]POS Categories'!$A$1:$B$999, 2, FALSE)</f>
        <v>Food</v>
      </c>
    </row>
    <row r="6" spans="1:6" x14ac:dyDescent="0.25">
      <c r="A6" t="s">
        <v>617</v>
      </c>
      <c r="B6">
        <v>-19.79</v>
      </c>
      <c r="C6" t="s">
        <v>385</v>
      </c>
      <c r="D6" t="s">
        <v>388</v>
      </c>
      <c r="E6" t="s">
        <v>266</v>
      </c>
      <c r="F6" t="str">
        <f>VLOOKUP(E6, '[1]POS Categories'!$A$1:$B$999, 2, FALSE)</f>
        <v>Food</v>
      </c>
    </row>
    <row r="7" spans="1:6" x14ac:dyDescent="0.25">
      <c r="A7" t="s">
        <v>618</v>
      </c>
      <c r="B7">
        <v>-24.93</v>
      </c>
      <c r="C7" t="s">
        <v>385</v>
      </c>
      <c r="D7" t="s">
        <v>388</v>
      </c>
      <c r="E7" t="s">
        <v>149</v>
      </c>
      <c r="F7" t="str">
        <f>VLOOKUP(E7, '[1]POS Categories'!$A$1:$B$999, 2, FALSE)</f>
        <v>Food</v>
      </c>
    </row>
    <row r="8" spans="1:6" x14ac:dyDescent="0.25">
      <c r="A8" t="s">
        <v>618</v>
      </c>
      <c r="B8">
        <v>24.93</v>
      </c>
      <c r="C8" t="s">
        <v>385</v>
      </c>
      <c r="D8" t="s">
        <v>430</v>
      </c>
      <c r="E8" t="s">
        <v>149</v>
      </c>
      <c r="F8" t="str">
        <f>VLOOKUP(E8, '[1]POS Categories'!$A$1:$B$999, 2, FALSE)</f>
        <v>Food</v>
      </c>
    </row>
    <row r="9" spans="1:6" x14ac:dyDescent="0.25">
      <c r="A9" t="s">
        <v>618</v>
      </c>
      <c r="B9">
        <v>-24.93</v>
      </c>
      <c r="C9" t="s">
        <v>385</v>
      </c>
      <c r="D9" t="s">
        <v>388</v>
      </c>
      <c r="E9" t="s">
        <v>149</v>
      </c>
      <c r="F9" t="str">
        <f>VLOOKUP(E9, '[1]POS Categories'!$A$1:$B$999, 2, FALSE)</f>
        <v>Food</v>
      </c>
    </row>
    <row r="10" spans="1:6" x14ac:dyDescent="0.25">
      <c r="A10" t="s">
        <v>618</v>
      </c>
      <c r="B10">
        <v>-12.18</v>
      </c>
      <c r="C10" t="s">
        <v>385</v>
      </c>
      <c r="D10" t="s">
        <v>388</v>
      </c>
      <c r="E10" t="s">
        <v>22</v>
      </c>
      <c r="F10" t="str">
        <f>VLOOKUP(E10, '[1]POS Categories'!$A$1:$B$999, 2, FALSE)</f>
        <v>Entertainment</v>
      </c>
    </row>
    <row r="11" spans="1:6" x14ac:dyDescent="0.25">
      <c r="A11" t="s">
        <v>618</v>
      </c>
      <c r="B11">
        <v>-10.19</v>
      </c>
      <c r="C11" t="s">
        <v>385</v>
      </c>
      <c r="D11" t="s">
        <v>388</v>
      </c>
      <c r="E11" t="s">
        <v>408</v>
      </c>
      <c r="F11" t="str">
        <f>VLOOKUP(E11, '[1]POS Categories'!$A$1:$B$999, 2, FALSE)</f>
        <v>Food</v>
      </c>
    </row>
    <row r="12" spans="1:6" x14ac:dyDescent="0.25">
      <c r="A12" t="s">
        <v>618</v>
      </c>
      <c r="B12">
        <v>-54.03</v>
      </c>
      <c r="C12" t="s">
        <v>385</v>
      </c>
      <c r="D12" t="s">
        <v>388</v>
      </c>
      <c r="E12" t="s">
        <v>395</v>
      </c>
      <c r="F12" t="str">
        <f>VLOOKUP(E12, '[1]POS Categories'!$A$1:$B$999, 2, FALSE)</f>
        <v>Vehicle</v>
      </c>
    </row>
    <row r="13" spans="1:6" x14ac:dyDescent="0.25">
      <c r="A13" t="s">
        <v>619</v>
      </c>
      <c r="B13">
        <v>-118.86</v>
      </c>
      <c r="C13" t="s">
        <v>385</v>
      </c>
      <c r="D13" t="s">
        <v>388</v>
      </c>
      <c r="E13" t="s">
        <v>181</v>
      </c>
      <c r="F13" t="str">
        <f>VLOOKUP(E13, '[1]POS Categories'!$A$1:$B$999, 2, FALSE)</f>
        <v>Food</v>
      </c>
    </row>
    <row r="14" spans="1:6" x14ac:dyDescent="0.25">
      <c r="A14" t="s">
        <v>620</v>
      </c>
      <c r="B14">
        <v>-21.38</v>
      </c>
      <c r="C14" t="s">
        <v>385</v>
      </c>
      <c r="D14" t="s">
        <v>388</v>
      </c>
      <c r="E14" t="s">
        <v>32</v>
      </c>
      <c r="F14" t="str">
        <f>VLOOKUP(E14, '[1]POS Categories'!$A$1:$B$999, 2, FALSE)</f>
        <v>Food</v>
      </c>
    </row>
    <row r="15" spans="1:6" x14ac:dyDescent="0.25">
      <c r="A15" t="s">
        <v>621</v>
      </c>
      <c r="B15">
        <v>-20.28</v>
      </c>
      <c r="C15" t="s">
        <v>385</v>
      </c>
      <c r="D15" t="s">
        <v>388</v>
      </c>
      <c r="E15" t="s">
        <v>8</v>
      </c>
      <c r="F15" t="str">
        <f>VLOOKUP(E15, '[1]POS Categories'!$A$1:$B$999, 2, FALSE)</f>
        <v>Food</v>
      </c>
    </row>
    <row r="16" spans="1:6" x14ac:dyDescent="0.25">
      <c r="A16" t="s">
        <v>621</v>
      </c>
      <c r="B16">
        <v>-87.92</v>
      </c>
      <c r="C16" t="s">
        <v>385</v>
      </c>
      <c r="D16" t="s">
        <v>388</v>
      </c>
      <c r="E16" t="s">
        <v>267</v>
      </c>
      <c r="F16" t="str">
        <f>VLOOKUP(E16, '[1]POS Categories'!$A$1:$B$999, 2, FALSE)</f>
        <v>Entertainment</v>
      </c>
    </row>
    <row r="17" spans="1:6" x14ac:dyDescent="0.25">
      <c r="A17" t="s">
        <v>621</v>
      </c>
      <c r="B17">
        <v>-38.909999999999997</v>
      </c>
      <c r="C17" t="s">
        <v>385</v>
      </c>
      <c r="D17" t="s">
        <v>388</v>
      </c>
      <c r="E17" t="s">
        <v>268</v>
      </c>
      <c r="F17" t="str">
        <f>VLOOKUP(E17, '[1]POS Categories'!$A$1:$B$999, 2, FALSE)</f>
        <v>Entertainment</v>
      </c>
    </row>
    <row r="18" spans="1:6" x14ac:dyDescent="0.25">
      <c r="A18" t="s">
        <v>622</v>
      </c>
      <c r="B18">
        <v>-2.95</v>
      </c>
      <c r="C18" t="s">
        <v>385</v>
      </c>
      <c r="D18" t="s">
        <v>388</v>
      </c>
      <c r="E18" t="s">
        <v>395</v>
      </c>
      <c r="F18" t="str">
        <f>VLOOKUP(E18, '[1]POS Categories'!$A$1:$B$999, 2, FALSE)</f>
        <v>Vehicle</v>
      </c>
    </row>
    <row r="19" spans="1:6" x14ac:dyDescent="0.25">
      <c r="A19" t="s">
        <v>622</v>
      </c>
      <c r="B19">
        <v>-24.16</v>
      </c>
      <c r="C19" t="s">
        <v>385</v>
      </c>
      <c r="D19" t="s">
        <v>388</v>
      </c>
      <c r="E19" t="s">
        <v>213</v>
      </c>
      <c r="F19" t="str">
        <f>VLOOKUP(E19, '[1]POS Categories'!$A$1:$B$999, 2, FALSE)</f>
        <v>Entertainment</v>
      </c>
    </row>
    <row r="20" spans="1:6" x14ac:dyDescent="0.25">
      <c r="A20" t="s">
        <v>623</v>
      </c>
      <c r="B20">
        <v>-8.1199999999999992</v>
      </c>
      <c r="C20" t="s">
        <v>385</v>
      </c>
      <c r="D20" t="s">
        <v>388</v>
      </c>
      <c r="E20" t="s">
        <v>408</v>
      </c>
      <c r="F20" t="str">
        <f>VLOOKUP(E20, '[1]POS Categories'!$A$1:$B$999, 2, FALSE)</f>
        <v>Food</v>
      </c>
    </row>
    <row r="21" spans="1:6" x14ac:dyDescent="0.25">
      <c r="A21" t="s">
        <v>624</v>
      </c>
      <c r="B21">
        <v>-306.24</v>
      </c>
      <c r="C21" t="s">
        <v>385</v>
      </c>
      <c r="D21" t="s">
        <v>388</v>
      </c>
      <c r="E21" t="s">
        <v>182</v>
      </c>
      <c r="F21" t="str">
        <f>VLOOKUP(E21, '[1]POS Categories'!$A$1:$B$999, 2, FALSE)</f>
        <v>Bills</v>
      </c>
    </row>
    <row r="22" spans="1:6" x14ac:dyDescent="0.25">
      <c r="A22" t="s">
        <v>625</v>
      </c>
      <c r="B22">
        <v>-5.55</v>
      </c>
      <c r="C22" t="s">
        <v>385</v>
      </c>
      <c r="D22" t="s">
        <v>388</v>
      </c>
      <c r="E22" t="s">
        <v>171</v>
      </c>
      <c r="F22" t="str">
        <f>VLOOKUP(E22, '[1]POS Categories'!$A$1:$B$999, 2, FALSE)</f>
        <v>Food</v>
      </c>
    </row>
    <row r="23" spans="1:6" x14ac:dyDescent="0.25">
      <c r="A23" t="s">
        <v>625</v>
      </c>
      <c r="B23">
        <v>-103.23</v>
      </c>
      <c r="C23" t="s">
        <v>385</v>
      </c>
      <c r="D23" t="s">
        <v>388</v>
      </c>
      <c r="E23" t="s">
        <v>33</v>
      </c>
      <c r="F23" t="str">
        <f>VLOOKUP(E23, '[1]POS Categories'!$A$1:$B$999, 2, FALSE)</f>
        <v>Food</v>
      </c>
    </row>
    <row r="24" spans="1:6" x14ac:dyDescent="0.25">
      <c r="A24" t="s">
        <v>626</v>
      </c>
      <c r="B24">
        <v>-25.41</v>
      </c>
      <c r="C24" t="s">
        <v>385</v>
      </c>
      <c r="D24" t="s">
        <v>388</v>
      </c>
      <c r="E24" t="s">
        <v>32</v>
      </c>
      <c r="F24" t="str">
        <f>VLOOKUP(E24, '[1]POS Categories'!$A$1:$B$999, 2, FALSE)</f>
        <v>Food</v>
      </c>
    </row>
    <row r="25" spans="1:6" x14ac:dyDescent="0.25">
      <c r="A25" t="s">
        <v>626</v>
      </c>
      <c r="B25">
        <v>-13.4</v>
      </c>
      <c r="C25" t="s">
        <v>385</v>
      </c>
      <c r="D25" t="s">
        <v>388</v>
      </c>
      <c r="E25" t="s">
        <v>174</v>
      </c>
      <c r="F25" t="str">
        <f>VLOOKUP(E25, '[1]POS Categories'!$A$1:$B$999, 2, FALSE)</f>
        <v>Food</v>
      </c>
    </row>
    <row r="26" spans="1:6" x14ac:dyDescent="0.25">
      <c r="A26" t="s">
        <v>627</v>
      </c>
      <c r="B26">
        <v>-14.42</v>
      </c>
      <c r="C26" t="s">
        <v>385</v>
      </c>
      <c r="D26" t="s">
        <v>388</v>
      </c>
      <c r="E26" t="s">
        <v>142</v>
      </c>
      <c r="F26" t="str">
        <f>VLOOKUP(E26, '[1]POS Categories'!$A$1:$B$999, 2, FALSE)</f>
        <v>Food</v>
      </c>
    </row>
    <row r="27" spans="1:6" x14ac:dyDescent="0.25">
      <c r="A27" t="s">
        <v>627</v>
      </c>
      <c r="B27">
        <v>-61</v>
      </c>
      <c r="C27" t="s">
        <v>385</v>
      </c>
      <c r="D27" t="s">
        <v>388</v>
      </c>
      <c r="E27" t="s">
        <v>175</v>
      </c>
      <c r="F27" t="str">
        <f>VLOOKUP(E27, '[1]POS Categories'!$A$1:$B$999, 2, FALSE)</f>
        <v>Sasktel</v>
      </c>
    </row>
    <row r="28" spans="1:6" x14ac:dyDescent="0.25">
      <c r="A28" t="s">
        <v>627</v>
      </c>
      <c r="B28">
        <v>2147.41</v>
      </c>
      <c r="C28" t="s">
        <v>385</v>
      </c>
      <c r="D28" t="s">
        <v>386</v>
      </c>
      <c r="E28" t="s">
        <v>387</v>
      </c>
      <c r="F28" t="str">
        <f>VLOOKUP(E28, '[1]POS Categories'!$A$1:$B$999, 2, FALSE)</f>
        <v>Job</v>
      </c>
    </row>
    <row r="29" spans="1:6" x14ac:dyDescent="0.25">
      <c r="A29" t="s">
        <v>628</v>
      </c>
      <c r="B29">
        <v>-23.14</v>
      </c>
      <c r="C29" t="s">
        <v>385</v>
      </c>
      <c r="D29" t="s">
        <v>388</v>
      </c>
      <c r="E29" t="s">
        <v>32</v>
      </c>
      <c r="F29" t="str">
        <f>VLOOKUP(E29, '[1]POS Categories'!$A$1:$B$999, 2, FALSE)</f>
        <v>Food</v>
      </c>
    </row>
    <row r="30" spans="1:6" x14ac:dyDescent="0.25">
      <c r="A30" t="s">
        <v>629</v>
      </c>
      <c r="B30">
        <v>-250</v>
      </c>
      <c r="C30" t="s">
        <v>385</v>
      </c>
      <c r="D30" t="s">
        <v>507</v>
      </c>
      <c r="E30" t="s">
        <v>195</v>
      </c>
      <c r="F30" t="str">
        <f>VLOOKUP(E30, '[1]POS Categories'!$A$1:$B$999, 2, FALSE)</f>
        <v>Investment</v>
      </c>
    </row>
    <row r="31" spans="1:6" x14ac:dyDescent="0.25">
      <c r="A31" t="s">
        <v>629</v>
      </c>
      <c r="B31">
        <v>-27.89</v>
      </c>
      <c r="C31" t="s">
        <v>385</v>
      </c>
      <c r="D31" t="s">
        <v>388</v>
      </c>
      <c r="E31" t="s">
        <v>32</v>
      </c>
      <c r="F31" t="str">
        <f>VLOOKUP(E31, '[1]POS Categories'!$A$1:$B$999, 2, FALSE)</f>
        <v>Food</v>
      </c>
    </row>
    <row r="32" spans="1:6" x14ac:dyDescent="0.25">
      <c r="A32" t="s">
        <v>630</v>
      </c>
      <c r="B32">
        <v>-30</v>
      </c>
      <c r="C32" t="s">
        <v>385</v>
      </c>
      <c r="D32" t="s">
        <v>388</v>
      </c>
      <c r="E32" t="s">
        <v>269</v>
      </c>
      <c r="F32" t="str">
        <f>VLOOKUP(E32, '[1]POS Categories'!$A$1:$B$999, 2, FALSE)</f>
        <v>Bills</v>
      </c>
    </row>
    <row r="33" spans="1:6" x14ac:dyDescent="0.25">
      <c r="A33" t="s">
        <v>630</v>
      </c>
      <c r="B33">
        <v>-28.84</v>
      </c>
      <c r="C33" t="s">
        <v>385</v>
      </c>
      <c r="D33" t="s">
        <v>388</v>
      </c>
      <c r="E33" t="s">
        <v>142</v>
      </c>
      <c r="F33" t="str">
        <f>VLOOKUP(E33, '[1]POS Categories'!$A$1:$B$999, 2, FALSE)</f>
        <v>Food</v>
      </c>
    </row>
    <row r="34" spans="1:6" x14ac:dyDescent="0.25">
      <c r="A34" t="s">
        <v>630</v>
      </c>
      <c r="B34">
        <v>-14.07</v>
      </c>
      <c r="C34" t="s">
        <v>385</v>
      </c>
      <c r="D34" t="s">
        <v>388</v>
      </c>
      <c r="E34" t="s">
        <v>8</v>
      </c>
      <c r="F34" t="str">
        <f>VLOOKUP(E34, '[1]POS Categories'!$A$1:$B$999, 2, FALSE)</f>
        <v>Food</v>
      </c>
    </row>
    <row r="35" spans="1:6" x14ac:dyDescent="0.25">
      <c r="A35" t="s">
        <v>631</v>
      </c>
      <c r="B35">
        <v>-6.27</v>
      </c>
      <c r="C35" t="s">
        <v>385</v>
      </c>
      <c r="D35" t="s">
        <v>388</v>
      </c>
      <c r="E35" t="s">
        <v>34</v>
      </c>
      <c r="F35" t="str">
        <f>VLOOKUP(E35, '[1]POS Categories'!$A$1:$B$999, 2, FALSE)</f>
        <v>Food</v>
      </c>
    </row>
    <row r="36" spans="1:6" x14ac:dyDescent="0.25">
      <c r="A36" t="s">
        <v>631</v>
      </c>
      <c r="B36">
        <v>-31.49</v>
      </c>
      <c r="C36" t="s">
        <v>385</v>
      </c>
      <c r="D36" t="s">
        <v>388</v>
      </c>
      <c r="E36" t="s">
        <v>270</v>
      </c>
      <c r="F36" t="str">
        <f>VLOOKUP(E36, '[1]POS Categories'!$A$1:$B$999, 2, FALSE)</f>
        <v>Personal</v>
      </c>
    </row>
    <row r="37" spans="1:6" x14ac:dyDescent="0.25">
      <c r="A37" t="s">
        <v>631</v>
      </c>
      <c r="B37">
        <v>-8.3800000000000008</v>
      </c>
      <c r="C37" t="s">
        <v>385</v>
      </c>
      <c r="D37" t="s">
        <v>388</v>
      </c>
      <c r="E37" t="s">
        <v>157</v>
      </c>
      <c r="F37" t="str">
        <f>VLOOKUP(E37, '[1]POS Categories'!$A$1:$B$999, 2, FALSE)</f>
        <v>Personal</v>
      </c>
    </row>
    <row r="38" spans="1:6" x14ac:dyDescent="0.25">
      <c r="A38" t="s">
        <v>631</v>
      </c>
      <c r="B38">
        <v>-42.15</v>
      </c>
      <c r="C38" t="s">
        <v>385</v>
      </c>
      <c r="D38" t="s">
        <v>388</v>
      </c>
      <c r="E38" t="s">
        <v>44</v>
      </c>
      <c r="F38" t="str">
        <f>VLOOKUP(E38, '[1]POS Categories'!$A$1:$B$999, 2, FALSE)</f>
        <v>Home</v>
      </c>
    </row>
    <row r="39" spans="1:6" x14ac:dyDescent="0.25">
      <c r="A39" t="s">
        <v>631</v>
      </c>
      <c r="B39">
        <v>-77.650000000000006</v>
      </c>
      <c r="C39" t="s">
        <v>385</v>
      </c>
      <c r="D39" t="s">
        <v>388</v>
      </c>
      <c r="E39" t="s">
        <v>262</v>
      </c>
      <c r="F39" t="str">
        <f>VLOOKUP(E39, '[1]POS Categories'!$A$1:$B$999, 2, FALSE)</f>
        <v>Entertainment</v>
      </c>
    </row>
    <row r="40" spans="1:6" x14ac:dyDescent="0.25">
      <c r="A40" t="s">
        <v>631</v>
      </c>
      <c r="B40">
        <v>-475.31</v>
      </c>
      <c r="C40" t="s">
        <v>385</v>
      </c>
      <c r="D40" t="s">
        <v>400</v>
      </c>
      <c r="E40" t="s">
        <v>401</v>
      </c>
      <c r="F40" t="str">
        <f>VLOOKUP(E40, '[1]POS Categories'!$A$1:$B$999, 2, FALSE)</f>
        <v>Misc</v>
      </c>
    </row>
    <row r="41" spans="1:6" x14ac:dyDescent="0.25">
      <c r="A41" t="s">
        <v>631</v>
      </c>
      <c r="B41">
        <v>-56.78</v>
      </c>
      <c r="C41" t="s">
        <v>385</v>
      </c>
      <c r="D41" t="s">
        <v>388</v>
      </c>
      <c r="E41" t="s">
        <v>411</v>
      </c>
      <c r="F41" t="str">
        <f>VLOOKUP(E41, '[1]POS Categories'!$A$1:$B$999, 2, FALSE)</f>
        <v>Sasktel</v>
      </c>
    </row>
    <row r="42" spans="1:6" x14ac:dyDescent="0.25">
      <c r="A42" t="s">
        <v>631</v>
      </c>
      <c r="B42">
        <v>-14.3</v>
      </c>
      <c r="C42" t="s">
        <v>385</v>
      </c>
      <c r="D42" t="s">
        <v>388</v>
      </c>
      <c r="E42" t="s">
        <v>213</v>
      </c>
      <c r="F42" t="str">
        <f>VLOOKUP(E42, '[1]POS Categories'!$A$1:$B$999, 2, FALSE)</f>
        <v>Entertainment</v>
      </c>
    </row>
    <row r="43" spans="1:6" x14ac:dyDescent="0.25">
      <c r="A43" t="s">
        <v>632</v>
      </c>
      <c r="B43">
        <v>-29.06</v>
      </c>
      <c r="C43" t="s">
        <v>385</v>
      </c>
      <c r="D43" t="s">
        <v>388</v>
      </c>
      <c r="E43" t="s">
        <v>118</v>
      </c>
      <c r="F43" t="str">
        <f>VLOOKUP(E43, '[1]POS Categories'!$A$1:$B$999, 2, FALSE)</f>
        <v>Food</v>
      </c>
    </row>
    <row r="44" spans="1:6" x14ac:dyDescent="0.25">
      <c r="A44" t="s">
        <v>633</v>
      </c>
      <c r="B44">
        <v>-6.6</v>
      </c>
      <c r="C44" t="s">
        <v>385</v>
      </c>
      <c r="D44" t="s">
        <v>388</v>
      </c>
      <c r="E44" t="s">
        <v>395</v>
      </c>
      <c r="F44" t="str">
        <f>VLOOKUP(E44, '[1]POS Categories'!$A$1:$B$999, 2, FALSE)</f>
        <v>Vehicle</v>
      </c>
    </row>
    <row r="45" spans="1:6" x14ac:dyDescent="0.25">
      <c r="A45" t="s">
        <v>633</v>
      </c>
      <c r="B45">
        <v>-23.06</v>
      </c>
      <c r="C45" t="s">
        <v>385</v>
      </c>
      <c r="D45" t="s">
        <v>388</v>
      </c>
      <c r="E45" t="s">
        <v>395</v>
      </c>
      <c r="F45" t="str">
        <f>VLOOKUP(E45, '[1]POS Categories'!$A$1:$B$999, 2, FALSE)</f>
        <v>Vehicle</v>
      </c>
    </row>
    <row r="46" spans="1:6" x14ac:dyDescent="0.25">
      <c r="A46" t="s">
        <v>633</v>
      </c>
      <c r="B46">
        <v>-13.21</v>
      </c>
      <c r="C46" t="s">
        <v>385</v>
      </c>
      <c r="D46" t="s">
        <v>388</v>
      </c>
      <c r="E46" t="s">
        <v>180</v>
      </c>
      <c r="F46" t="str">
        <f>VLOOKUP(E46, '[1]POS Categories'!$A$1:$B$999, 2, FALSE)</f>
        <v>Entertainment</v>
      </c>
    </row>
    <row r="47" spans="1:6" x14ac:dyDescent="0.25">
      <c r="A47" t="s">
        <v>633</v>
      </c>
      <c r="B47">
        <v>-56.12</v>
      </c>
      <c r="C47" t="s">
        <v>385</v>
      </c>
      <c r="D47" t="s">
        <v>388</v>
      </c>
      <c r="E47" t="s">
        <v>271</v>
      </c>
      <c r="F47" t="str">
        <f>VLOOKUP(E47, '[1]POS Categories'!$A$1:$B$999, 2, FALSE)</f>
        <v>Food</v>
      </c>
    </row>
    <row r="48" spans="1:6" x14ac:dyDescent="0.25">
      <c r="A48" t="s">
        <v>634</v>
      </c>
      <c r="B48">
        <v>-1200</v>
      </c>
      <c r="C48" t="s">
        <v>385</v>
      </c>
      <c r="D48" t="s">
        <v>414</v>
      </c>
      <c r="E48" t="s">
        <v>206</v>
      </c>
      <c r="F48" t="str">
        <f>VLOOKUP(E48, '[1]POS Categories'!$A$1:$B$999, 2, FALSE)</f>
        <v>Rent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6"/>
  <sheetViews>
    <sheetView workbookViewId="0">
      <selection activeCell="F2" sqref="F2"/>
    </sheetView>
  </sheetViews>
  <sheetFormatPr defaultRowHeight="15" x14ac:dyDescent="0.25"/>
  <cols>
    <col min="4" max="4" width="23.28515625" bestFit="1" customWidth="1"/>
    <col min="5" max="5" width="33.28515625" bestFit="1" customWidth="1"/>
    <col min="6" max="6" width="14" bestFit="1" customWidth="1"/>
  </cols>
  <sheetData>
    <row r="1" spans="1:6" x14ac:dyDescent="0.25">
      <c r="A1" t="s">
        <v>635</v>
      </c>
      <c r="B1">
        <v>2044.36</v>
      </c>
      <c r="C1" t="s">
        <v>385</v>
      </c>
      <c r="D1" t="s">
        <v>386</v>
      </c>
      <c r="E1" t="s">
        <v>387</v>
      </c>
      <c r="F1" t="str">
        <f>VLOOKUP(E1, '[1]POS Categories'!$A$1:$B$999, 2, FALSE)</f>
        <v>Job</v>
      </c>
    </row>
    <row r="2" spans="1:6" x14ac:dyDescent="0.25">
      <c r="A2" t="s">
        <v>636</v>
      </c>
      <c r="B2">
        <v>55</v>
      </c>
      <c r="C2" t="s">
        <v>385</v>
      </c>
      <c r="D2" t="s">
        <v>467</v>
      </c>
      <c r="E2" t="s">
        <v>637</v>
      </c>
      <c r="F2" t="str">
        <f>VLOOKUP(E2, '[1]POS Categories'!$A$1:$B$999, 2, FALSE)</f>
        <v>Misc</v>
      </c>
    </row>
    <row r="3" spans="1:6" x14ac:dyDescent="0.25">
      <c r="A3" t="s">
        <v>636</v>
      </c>
      <c r="B3">
        <v>-111.99</v>
      </c>
      <c r="C3" t="s">
        <v>385</v>
      </c>
      <c r="D3" t="s">
        <v>388</v>
      </c>
      <c r="E3" t="s">
        <v>33</v>
      </c>
      <c r="F3" t="str">
        <f>VLOOKUP(E3, '[1]POS Categories'!$A$1:$B$999, 2, FALSE)</f>
        <v>Food</v>
      </c>
    </row>
    <row r="4" spans="1:6" x14ac:dyDescent="0.25">
      <c r="A4" t="s">
        <v>636</v>
      </c>
      <c r="B4">
        <v>-14.19</v>
      </c>
      <c r="C4" t="s">
        <v>385</v>
      </c>
      <c r="D4" t="s">
        <v>388</v>
      </c>
      <c r="E4" t="s">
        <v>174</v>
      </c>
      <c r="F4" t="str">
        <f>VLOOKUP(E4, '[1]POS Categories'!$A$1:$B$999, 2, FALSE)</f>
        <v>Food</v>
      </c>
    </row>
    <row r="5" spans="1:6" x14ac:dyDescent="0.25">
      <c r="A5" t="s">
        <v>636</v>
      </c>
      <c r="B5">
        <v>-10.35</v>
      </c>
      <c r="C5" t="s">
        <v>385</v>
      </c>
      <c r="D5" t="s">
        <v>388</v>
      </c>
      <c r="E5" t="s">
        <v>213</v>
      </c>
      <c r="F5" t="str">
        <f>VLOOKUP(E5, '[1]POS Categories'!$A$1:$B$999, 2, FALSE)</f>
        <v>Entertainment</v>
      </c>
    </row>
    <row r="6" spans="1:6" x14ac:dyDescent="0.25">
      <c r="A6" t="s">
        <v>638</v>
      </c>
      <c r="B6">
        <v>-48.7</v>
      </c>
      <c r="C6" t="s">
        <v>385</v>
      </c>
      <c r="D6" t="s">
        <v>388</v>
      </c>
      <c r="E6" t="s">
        <v>259</v>
      </c>
      <c r="F6" t="str">
        <f>VLOOKUP(E6, '[1]POS Categories'!$A$1:$B$999, 2, FALSE)</f>
        <v>Personal</v>
      </c>
    </row>
    <row r="7" spans="1:6" x14ac:dyDescent="0.25">
      <c r="A7" t="s">
        <v>638</v>
      </c>
      <c r="B7">
        <v>-15.85</v>
      </c>
      <c r="C7" t="s">
        <v>385</v>
      </c>
      <c r="D7" t="s">
        <v>388</v>
      </c>
      <c r="E7" t="s">
        <v>597</v>
      </c>
      <c r="F7" t="str">
        <f>VLOOKUP(E7, '[1]POS Categories'!$A$1:$B$999, 2, FALSE)</f>
        <v>Food</v>
      </c>
    </row>
    <row r="8" spans="1:6" x14ac:dyDescent="0.25">
      <c r="A8" t="s">
        <v>638</v>
      </c>
      <c r="B8">
        <v>-34.61</v>
      </c>
      <c r="C8" t="s">
        <v>385</v>
      </c>
      <c r="D8" t="s">
        <v>388</v>
      </c>
      <c r="E8" t="s">
        <v>211</v>
      </c>
      <c r="F8" t="str">
        <f>VLOOKUP(E8, '[1]POS Categories'!$A$1:$B$999, 2, FALSE)</f>
        <v>Personal</v>
      </c>
    </row>
    <row r="9" spans="1:6" x14ac:dyDescent="0.25">
      <c r="A9" t="s">
        <v>639</v>
      </c>
      <c r="B9">
        <v>-131.15</v>
      </c>
      <c r="C9" t="s">
        <v>385</v>
      </c>
      <c r="D9" t="s">
        <v>435</v>
      </c>
      <c r="E9" t="s">
        <v>153</v>
      </c>
      <c r="F9" t="str">
        <f>VLOOKUP(E9, '[1]POS Categories'!$A$1:$B$999, 2, FALSE)</f>
        <v>Power</v>
      </c>
    </row>
    <row r="10" spans="1:6" x14ac:dyDescent="0.25">
      <c r="A10" t="s">
        <v>640</v>
      </c>
      <c r="B10">
        <v>-21.57</v>
      </c>
      <c r="C10" t="s">
        <v>385</v>
      </c>
      <c r="D10" t="s">
        <v>388</v>
      </c>
      <c r="E10" t="s">
        <v>32</v>
      </c>
      <c r="F10" t="str">
        <f>VLOOKUP(E10, '[1]POS Categories'!$A$1:$B$999, 2, FALSE)</f>
        <v>Food</v>
      </c>
    </row>
    <row r="11" spans="1:6" x14ac:dyDescent="0.25">
      <c r="A11" t="s">
        <v>641</v>
      </c>
      <c r="B11">
        <v>-6.59</v>
      </c>
      <c r="C11" t="s">
        <v>385</v>
      </c>
      <c r="D11" t="s">
        <v>388</v>
      </c>
      <c r="E11" t="s">
        <v>202</v>
      </c>
      <c r="F11" t="str">
        <f>VLOOKUP(E11, '[1]POS Categories'!$A$1:$B$999, 2, FALSE)</f>
        <v>Food</v>
      </c>
    </row>
    <row r="12" spans="1:6" x14ac:dyDescent="0.25">
      <c r="A12" t="s">
        <v>641</v>
      </c>
      <c r="B12">
        <v>-52.37</v>
      </c>
      <c r="C12" t="s">
        <v>385</v>
      </c>
      <c r="D12" t="s">
        <v>388</v>
      </c>
      <c r="E12" t="s">
        <v>395</v>
      </c>
      <c r="F12" t="str">
        <f>VLOOKUP(E12, '[1]POS Categories'!$A$1:$B$999, 2, FALSE)</f>
        <v>Vehicle</v>
      </c>
    </row>
    <row r="13" spans="1:6" x14ac:dyDescent="0.25">
      <c r="A13" t="s">
        <v>642</v>
      </c>
      <c r="B13">
        <v>-16.63</v>
      </c>
      <c r="C13" t="s">
        <v>385</v>
      </c>
      <c r="D13" t="s">
        <v>388</v>
      </c>
      <c r="E13" t="s">
        <v>8</v>
      </c>
      <c r="F13" t="str">
        <f>VLOOKUP(E13, '[1]POS Categories'!$A$1:$B$999, 2, FALSE)</f>
        <v>Food</v>
      </c>
    </row>
    <row r="14" spans="1:6" x14ac:dyDescent="0.25">
      <c r="A14" t="s">
        <v>643</v>
      </c>
      <c r="B14">
        <v>-63.54</v>
      </c>
      <c r="C14" t="s">
        <v>385</v>
      </c>
      <c r="D14" t="s">
        <v>388</v>
      </c>
      <c r="E14" t="s">
        <v>189</v>
      </c>
      <c r="F14" t="str">
        <f>VLOOKUP(E14, '[1]POS Categories'!$A$1:$B$999, 2, FALSE)</f>
        <v>Food</v>
      </c>
    </row>
    <row r="15" spans="1:6" x14ac:dyDescent="0.25">
      <c r="A15" t="s">
        <v>644</v>
      </c>
      <c r="B15">
        <v>-61</v>
      </c>
      <c r="C15" t="s">
        <v>385</v>
      </c>
      <c r="D15" t="s">
        <v>388</v>
      </c>
      <c r="E15" t="s">
        <v>175</v>
      </c>
      <c r="F15" t="str">
        <f>VLOOKUP(E15, '[1]POS Categories'!$A$1:$B$999, 2, FALSE)</f>
        <v>Sasktel</v>
      </c>
    </row>
    <row r="16" spans="1:6" x14ac:dyDescent="0.25">
      <c r="A16" t="s">
        <v>644</v>
      </c>
      <c r="B16">
        <v>2147.41</v>
      </c>
      <c r="C16" t="s">
        <v>385</v>
      </c>
      <c r="D16" t="s">
        <v>386</v>
      </c>
      <c r="E16" t="s">
        <v>387</v>
      </c>
      <c r="F16" t="str">
        <f>VLOOKUP(E16, '[1]POS Categories'!$A$1:$B$999, 2, FALSE)</f>
        <v>Job</v>
      </c>
    </row>
    <row r="17" spans="1:6" x14ac:dyDescent="0.25">
      <c r="A17" t="s">
        <v>645</v>
      </c>
      <c r="B17">
        <v>-152.56</v>
      </c>
      <c r="C17" t="s">
        <v>385</v>
      </c>
      <c r="D17" t="s">
        <v>388</v>
      </c>
      <c r="E17" t="s">
        <v>33</v>
      </c>
      <c r="F17" t="str">
        <f>VLOOKUP(E17, '[1]POS Categories'!$A$1:$B$999, 2, FALSE)</f>
        <v>Food</v>
      </c>
    </row>
    <row r="18" spans="1:6" x14ac:dyDescent="0.25">
      <c r="A18" t="s">
        <v>645</v>
      </c>
      <c r="B18">
        <v>-1.34</v>
      </c>
      <c r="C18" t="s">
        <v>385</v>
      </c>
      <c r="D18" t="s">
        <v>388</v>
      </c>
      <c r="E18" t="s">
        <v>211</v>
      </c>
      <c r="F18" t="str">
        <f>VLOOKUP(E18, '[1]POS Categories'!$A$1:$B$999, 2, FALSE)</f>
        <v>Personal</v>
      </c>
    </row>
    <row r="19" spans="1:6" x14ac:dyDescent="0.25">
      <c r="A19" t="s">
        <v>645</v>
      </c>
      <c r="B19">
        <v>-16.18</v>
      </c>
      <c r="C19" t="s">
        <v>385</v>
      </c>
      <c r="D19" t="s">
        <v>388</v>
      </c>
      <c r="E19" t="s">
        <v>174</v>
      </c>
      <c r="F19" t="str">
        <f>VLOOKUP(E19, '[1]POS Categories'!$A$1:$B$999, 2, FALSE)</f>
        <v>Food</v>
      </c>
    </row>
    <row r="20" spans="1:6" x14ac:dyDescent="0.25">
      <c r="A20" t="s">
        <v>646</v>
      </c>
      <c r="B20">
        <v>-3.32</v>
      </c>
      <c r="C20" t="s">
        <v>385</v>
      </c>
      <c r="D20" t="s">
        <v>388</v>
      </c>
      <c r="E20" t="s">
        <v>408</v>
      </c>
      <c r="F20" t="str">
        <f>VLOOKUP(E20, '[1]POS Categories'!$A$1:$B$999, 2, FALSE)</f>
        <v>Food</v>
      </c>
    </row>
    <row r="21" spans="1:6" x14ac:dyDescent="0.25">
      <c r="A21" t="s">
        <v>647</v>
      </c>
      <c r="B21">
        <v>-28.84</v>
      </c>
      <c r="C21" t="s">
        <v>385</v>
      </c>
      <c r="D21" t="s">
        <v>388</v>
      </c>
      <c r="E21" t="s">
        <v>142</v>
      </c>
      <c r="F21" t="str">
        <f>VLOOKUP(E21, '[1]POS Categories'!$A$1:$B$999, 2, FALSE)</f>
        <v>Food</v>
      </c>
    </row>
    <row r="22" spans="1:6" x14ac:dyDescent="0.25">
      <c r="A22" t="s">
        <v>647</v>
      </c>
      <c r="B22">
        <v>-10.53</v>
      </c>
      <c r="C22" t="s">
        <v>385</v>
      </c>
      <c r="D22" t="s">
        <v>388</v>
      </c>
      <c r="E22" t="s">
        <v>174</v>
      </c>
      <c r="F22" t="str">
        <f>VLOOKUP(E22, '[1]POS Categories'!$A$1:$B$999, 2, FALSE)</f>
        <v>Food</v>
      </c>
    </row>
    <row r="23" spans="1:6" x14ac:dyDescent="0.25">
      <c r="A23" t="s">
        <v>648</v>
      </c>
      <c r="B23">
        <v>-56.78</v>
      </c>
      <c r="C23" t="s">
        <v>385</v>
      </c>
      <c r="D23" t="s">
        <v>388</v>
      </c>
      <c r="E23" t="s">
        <v>411</v>
      </c>
      <c r="F23" t="str">
        <f>VLOOKUP(E23, '[1]POS Categories'!$A$1:$B$999, 2, FALSE)</f>
        <v>Sasktel</v>
      </c>
    </row>
    <row r="24" spans="1:6" x14ac:dyDescent="0.25">
      <c r="A24" t="s">
        <v>649</v>
      </c>
      <c r="B24">
        <v>-8.0500000000000007</v>
      </c>
      <c r="C24" t="s">
        <v>385</v>
      </c>
      <c r="D24" t="s">
        <v>388</v>
      </c>
      <c r="E24" t="s">
        <v>163</v>
      </c>
      <c r="F24" t="str">
        <f>VLOOKUP(E24, '[1]POS Categories'!$A$1:$B$999, 2, FALSE)</f>
        <v>Vehicle</v>
      </c>
    </row>
    <row r="25" spans="1:6" x14ac:dyDescent="0.25">
      <c r="A25" t="s">
        <v>649</v>
      </c>
      <c r="B25">
        <v>-29.96</v>
      </c>
      <c r="C25" t="s">
        <v>385</v>
      </c>
      <c r="D25" t="s">
        <v>388</v>
      </c>
      <c r="E25" t="s">
        <v>118</v>
      </c>
      <c r="F25" t="str">
        <f>VLOOKUP(E25, '[1]POS Categories'!$A$1:$B$999, 2, FALSE)</f>
        <v>Food</v>
      </c>
    </row>
    <row r="26" spans="1:6" x14ac:dyDescent="0.25">
      <c r="A26" t="s">
        <v>650</v>
      </c>
      <c r="B26">
        <v>-11.08</v>
      </c>
      <c r="C26" t="s">
        <v>385</v>
      </c>
      <c r="D26" t="s">
        <v>388</v>
      </c>
      <c r="E26" t="s">
        <v>260</v>
      </c>
      <c r="F26" t="str">
        <f>VLOOKUP(E26, '[1]POS Categories'!$A$1:$B$999, 2, FALSE)</f>
        <v>Food</v>
      </c>
    </row>
    <row r="27" spans="1:6" x14ac:dyDescent="0.25">
      <c r="A27" t="s">
        <v>651</v>
      </c>
      <c r="B27">
        <v>-6.6</v>
      </c>
      <c r="C27" t="s">
        <v>385</v>
      </c>
      <c r="D27" t="s">
        <v>388</v>
      </c>
      <c r="E27" t="s">
        <v>395</v>
      </c>
      <c r="F27" t="str">
        <f>VLOOKUP(E27, '[1]POS Categories'!$A$1:$B$999, 2, FALSE)</f>
        <v>Vehicle</v>
      </c>
    </row>
    <row r="28" spans="1:6" x14ac:dyDescent="0.25">
      <c r="A28" t="s">
        <v>651</v>
      </c>
      <c r="B28">
        <v>-21.25</v>
      </c>
      <c r="C28" t="s">
        <v>385</v>
      </c>
      <c r="D28" t="s">
        <v>388</v>
      </c>
      <c r="E28" t="s">
        <v>395</v>
      </c>
      <c r="F28" t="str">
        <f>VLOOKUP(E28, '[1]POS Categories'!$A$1:$B$999, 2, FALSE)</f>
        <v>Vehicle</v>
      </c>
    </row>
    <row r="29" spans="1:6" x14ac:dyDescent="0.25">
      <c r="A29" t="s">
        <v>651</v>
      </c>
      <c r="B29">
        <v>-2.2200000000000002</v>
      </c>
      <c r="C29" t="s">
        <v>385</v>
      </c>
      <c r="D29" t="s">
        <v>388</v>
      </c>
      <c r="E29" t="s">
        <v>148</v>
      </c>
      <c r="F29" t="str">
        <f>VLOOKUP(E29, '[1]POS Categories'!$A$1:$B$999, 2, FALSE)</f>
        <v>Personal</v>
      </c>
    </row>
    <row r="30" spans="1:6" x14ac:dyDescent="0.25">
      <c r="A30" t="s">
        <v>652</v>
      </c>
      <c r="B30">
        <v>-133.19</v>
      </c>
      <c r="C30" t="s">
        <v>385</v>
      </c>
      <c r="D30" t="s">
        <v>388</v>
      </c>
      <c r="E30" t="s">
        <v>261</v>
      </c>
      <c r="F30" t="str">
        <f>VLOOKUP(E30, '[1]POS Categories'!$A$1:$B$999, 2, FALSE)</f>
        <v>Home</v>
      </c>
    </row>
    <row r="31" spans="1:6" x14ac:dyDescent="0.25">
      <c r="A31" t="s">
        <v>652</v>
      </c>
      <c r="B31">
        <v>-61.04</v>
      </c>
      <c r="C31" t="s">
        <v>385</v>
      </c>
      <c r="D31" t="s">
        <v>388</v>
      </c>
      <c r="E31" t="s">
        <v>39</v>
      </c>
      <c r="F31" t="str">
        <f>VLOOKUP(E31, '[1]POS Categories'!$A$1:$B$999, 2, FALSE)</f>
        <v>Home</v>
      </c>
    </row>
    <row r="32" spans="1:6" x14ac:dyDescent="0.25">
      <c r="A32" t="s">
        <v>652</v>
      </c>
      <c r="B32">
        <v>-81.97</v>
      </c>
      <c r="C32" t="s">
        <v>385</v>
      </c>
      <c r="D32" t="s">
        <v>388</v>
      </c>
      <c r="E32" t="s">
        <v>262</v>
      </c>
      <c r="F32" t="str">
        <f>VLOOKUP(E32, '[1]POS Categories'!$A$1:$B$999, 2, FALSE)</f>
        <v>Entertainment</v>
      </c>
    </row>
    <row r="33" spans="1:6" x14ac:dyDescent="0.25">
      <c r="A33" t="s">
        <v>652</v>
      </c>
      <c r="B33">
        <v>-49.95</v>
      </c>
      <c r="C33" t="s">
        <v>385</v>
      </c>
      <c r="D33" t="s">
        <v>388</v>
      </c>
      <c r="E33" t="s">
        <v>263</v>
      </c>
      <c r="F33" t="str">
        <f>VLOOKUP(E33, '[1]POS Categories'!$A$1:$B$999, 2, FALSE)</f>
        <v>Food</v>
      </c>
    </row>
    <row r="34" spans="1:6" x14ac:dyDescent="0.25">
      <c r="A34" t="s">
        <v>653</v>
      </c>
      <c r="B34">
        <v>-12.24</v>
      </c>
      <c r="C34" t="s">
        <v>385</v>
      </c>
      <c r="D34" t="s">
        <v>388</v>
      </c>
      <c r="E34" t="s">
        <v>264</v>
      </c>
      <c r="F34" t="str">
        <f>VLOOKUP(E34, '[1]POS Categories'!$A$1:$B$999, 2, FALSE)</f>
        <v>Entertainment</v>
      </c>
    </row>
    <row r="35" spans="1:6" x14ac:dyDescent="0.25">
      <c r="A35" t="s">
        <v>653</v>
      </c>
      <c r="B35">
        <v>-6.54</v>
      </c>
      <c r="C35" t="s">
        <v>385</v>
      </c>
      <c r="D35" t="s">
        <v>388</v>
      </c>
      <c r="E35" t="s">
        <v>183</v>
      </c>
      <c r="F35" t="str">
        <f>VLOOKUP(E35, '[1]POS Categories'!$A$1:$B$999, 2, FALSE)</f>
        <v>Food</v>
      </c>
    </row>
    <row r="36" spans="1:6" x14ac:dyDescent="0.25">
      <c r="A36" t="s">
        <v>654</v>
      </c>
      <c r="B36">
        <v>-1200</v>
      </c>
      <c r="C36" t="s">
        <v>385</v>
      </c>
      <c r="D36" t="s">
        <v>414</v>
      </c>
      <c r="E36" t="s">
        <v>206</v>
      </c>
      <c r="F36" t="str">
        <f>VLOOKUP(E36, '[1]POS Categories'!$A$1:$B$999, 2, FALSE)</f>
        <v>Rent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1"/>
  <sheetViews>
    <sheetView workbookViewId="0">
      <selection activeCell="F2" sqref="F2"/>
    </sheetView>
  </sheetViews>
  <sheetFormatPr defaultRowHeight="15" x14ac:dyDescent="0.25"/>
  <cols>
    <col min="1" max="1" width="9.7109375" bestFit="1" customWidth="1"/>
    <col min="2" max="2" width="8" bestFit="1" customWidth="1"/>
    <col min="3" max="3" width="7.140625" customWidth="1"/>
    <col min="4" max="4" width="23.28515625" bestFit="1" customWidth="1"/>
    <col min="5" max="5" width="36.140625" bestFit="1" customWidth="1"/>
    <col min="6" max="6" width="14" bestFit="1" customWidth="1"/>
  </cols>
  <sheetData>
    <row r="1" spans="1:6" x14ac:dyDescent="0.25">
      <c r="A1" t="s">
        <v>655</v>
      </c>
      <c r="B1">
        <v>-29.07</v>
      </c>
      <c r="C1" t="s">
        <v>385</v>
      </c>
      <c r="D1" t="s">
        <v>388</v>
      </c>
      <c r="E1" t="s">
        <v>32</v>
      </c>
      <c r="F1" t="str">
        <f>VLOOKUP(E1, '[1]POS Categories'!$A$1:$B$999, 2, FALSE)</f>
        <v>Food</v>
      </c>
    </row>
    <row r="2" spans="1:6" x14ac:dyDescent="0.25">
      <c r="A2" t="s">
        <v>655</v>
      </c>
      <c r="B2">
        <v>-441.46</v>
      </c>
      <c r="C2" t="s">
        <v>385</v>
      </c>
      <c r="D2" t="s">
        <v>388</v>
      </c>
      <c r="E2" t="s">
        <v>208</v>
      </c>
      <c r="F2" t="str">
        <f>VLOOKUP(E2, '[1]POS Categories'!$A$1:$B$999, 2, FALSE)</f>
        <v>Personal</v>
      </c>
    </row>
    <row r="3" spans="1:6" x14ac:dyDescent="0.25">
      <c r="A3" t="s">
        <v>655</v>
      </c>
      <c r="B3">
        <v>-124.41</v>
      </c>
      <c r="C3" t="s">
        <v>385</v>
      </c>
      <c r="D3" t="s">
        <v>435</v>
      </c>
      <c r="E3" t="s">
        <v>153</v>
      </c>
      <c r="F3" t="str">
        <f>VLOOKUP(E3, '[1]POS Categories'!$A$1:$B$999, 2, FALSE)</f>
        <v>Power</v>
      </c>
    </row>
    <row r="4" spans="1:6" x14ac:dyDescent="0.25">
      <c r="A4" t="s">
        <v>656</v>
      </c>
      <c r="B4">
        <v>2044.36</v>
      </c>
      <c r="C4" t="s">
        <v>385</v>
      </c>
      <c r="D4" t="s">
        <v>386</v>
      </c>
      <c r="E4" t="s">
        <v>387</v>
      </c>
      <c r="F4" t="str">
        <f>VLOOKUP(E4, '[1]POS Categories'!$A$1:$B$999, 2, FALSE)</f>
        <v>Job</v>
      </c>
    </row>
    <row r="5" spans="1:6" x14ac:dyDescent="0.25">
      <c r="A5" t="s">
        <v>657</v>
      </c>
      <c r="B5">
        <v>-46.62</v>
      </c>
      <c r="C5" t="s">
        <v>385</v>
      </c>
      <c r="D5" t="s">
        <v>388</v>
      </c>
      <c r="E5" t="s">
        <v>32</v>
      </c>
      <c r="F5" t="str">
        <f>VLOOKUP(E5, '[1]POS Categories'!$A$1:$B$999, 2, FALSE)</f>
        <v>Food</v>
      </c>
    </row>
    <row r="6" spans="1:6" x14ac:dyDescent="0.25">
      <c r="A6" t="s">
        <v>658</v>
      </c>
      <c r="B6">
        <v>-27.74</v>
      </c>
      <c r="C6" t="s">
        <v>385</v>
      </c>
      <c r="D6" t="s">
        <v>388</v>
      </c>
      <c r="E6" t="s">
        <v>209</v>
      </c>
      <c r="F6" t="str">
        <f>VLOOKUP(E6, '[1]POS Categories'!$A$1:$B$999, 2, FALSE)</f>
        <v>Entertainment</v>
      </c>
    </row>
    <row r="7" spans="1:6" x14ac:dyDescent="0.25">
      <c r="A7" t="s">
        <v>658</v>
      </c>
      <c r="B7">
        <v>-44.72</v>
      </c>
      <c r="C7" t="s">
        <v>385</v>
      </c>
      <c r="D7" t="s">
        <v>388</v>
      </c>
      <c r="E7" t="s">
        <v>210</v>
      </c>
      <c r="F7" t="str">
        <f>VLOOKUP(E7, '[1]POS Categories'!$A$1:$B$999, 2, FALSE)</f>
        <v>Entertainment</v>
      </c>
    </row>
    <row r="8" spans="1:6" x14ac:dyDescent="0.25">
      <c r="A8" t="s">
        <v>659</v>
      </c>
      <c r="B8">
        <v>-104.28</v>
      </c>
      <c r="C8" t="s">
        <v>385</v>
      </c>
      <c r="D8" t="s">
        <v>388</v>
      </c>
      <c r="E8" t="s">
        <v>33</v>
      </c>
      <c r="F8" t="str">
        <f>VLOOKUP(E8, '[1]POS Categories'!$A$1:$B$999, 2, FALSE)</f>
        <v>Food</v>
      </c>
    </row>
    <row r="9" spans="1:6" x14ac:dyDescent="0.25">
      <c r="A9" t="s">
        <v>659</v>
      </c>
      <c r="B9">
        <v>-35.81</v>
      </c>
      <c r="C9" t="s">
        <v>385</v>
      </c>
      <c r="D9" t="s">
        <v>388</v>
      </c>
      <c r="E9" t="s">
        <v>35</v>
      </c>
      <c r="F9" t="str">
        <f>VLOOKUP(E9, '[1]POS Categories'!$A$1:$B$999, 2, FALSE)</f>
        <v>Personal</v>
      </c>
    </row>
    <row r="10" spans="1:6" x14ac:dyDescent="0.25">
      <c r="A10" t="s">
        <v>659</v>
      </c>
      <c r="B10">
        <v>-47.41</v>
      </c>
      <c r="C10" t="s">
        <v>385</v>
      </c>
      <c r="D10" t="s">
        <v>388</v>
      </c>
      <c r="E10" t="s">
        <v>211</v>
      </c>
      <c r="F10" t="str">
        <f>VLOOKUP(E10, '[1]POS Categories'!$A$1:$B$999, 2, FALSE)</f>
        <v>Personal</v>
      </c>
    </row>
    <row r="11" spans="1:6" x14ac:dyDescent="0.25">
      <c r="A11" t="s">
        <v>660</v>
      </c>
      <c r="B11">
        <v>-44.91</v>
      </c>
      <c r="C11" t="s">
        <v>385</v>
      </c>
      <c r="D11" t="s">
        <v>388</v>
      </c>
      <c r="E11" t="s">
        <v>395</v>
      </c>
      <c r="F11" t="str">
        <f>VLOOKUP(E11, '[1]POS Categories'!$A$1:$B$999, 2, FALSE)</f>
        <v>Vehicle</v>
      </c>
    </row>
    <row r="12" spans="1:6" x14ac:dyDescent="0.25">
      <c r="A12" t="s">
        <v>660</v>
      </c>
      <c r="B12">
        <v>-8.51</v>
      </c>
      <c r="C12" t="s">
        <v>385</v>
      </c>
      <c r="D12" t="s">
        <v>388</v>
      </c>
      <c r="E12" t="s">
        <v>408</v>
      </c>
      <c r="F12" t="str">
        <f>VLOOKUP(E12, '[1]POS Categories'!$A$1:$B$999, 2, FALSE)</f>
        <v>Food</v>
      </c>
    </row>
    <row r="13" spans="1:6" x14ac:dyDescent="0.25">
      <c r="A13" t="s">
        <v>661</v>
      </c>
      <c r="B13">
        <v>-11.09</v>
      </c>
      <c r="C13" t="s">
        <v>385</v>
      </c>
      <c r="D13" t="s">
        <v>388</v>
      </c>
      <c r="E13" t="s">
        <v>8</v>
      </c>
      <c r="F13" t="str">
        <f>VLOOKUP(E13, '[1]POS Categories'!$A$1:$B$999, 2, FALSE)</f>
        <v>Food</v>
      </c>
    </row>
    <row r="14" spans="1:6" x14ac:dyDescent="0.25">
      <c r="A14" t="s">
        <v>662</v>
      </c>
      <c r="B14">
        <v>-61</v>
      </c>
      <c r="C14" t="s">
        <v>385</v>
      </c>
      <c r="D14" t="s">
        <v>388</v>
      </c>
      <c r="E14" t="s">
        <v>175</v>
      </c>
      <c r="F14" t="str">
        <f>VLOOKUP(E14, '[1]POS Categories'!$A$1:$B$999, 2, FALSE)</f>
        <v>Sasktel</v>
      </c>
    </row>
    <row r="15" spans="1:6" x14ac:dyDescent="0.25">
      <c r="A15" t="s">
        <v>662</v>
      </c>
      <c r="B15">
        <v>-43.25</v>
      </c>
      <c r="C15" t="s">
        <v>385</v>
      </c>
      <c r="D15" t="s">
        <v>388</v>
      </c>
      <c r="E15" t="s">
        <v>423</v>
      </c>
      <c r="F15" t="str">
        <f>VLOOKUP(E15, '[1]POS Categories'!$A$1:$B$999, 2, FALSE)</f>
        <v>Food</v>
      </c>
    </row>
    <row r="16" spans="1:6" x14ac:dyDescent="0.25">
      <c r="A16" t="s">
        <v>662</v>
      </c>
      <c r="B16">
        <v>-9.3000000000000007</v>
      </c>
      <c r="C16" t="s">
        <v>385</v>
      </c>
      <c r="D16" t="s">
        <v>388</v>
      </c>
      <c r="E16" t="s">
        <v>171</v>
      </c>
      <c r="F16" t="str">
        <f>VLOOKUP(E16, '[1]POS Categories'!$A$1:$B$999, 2, FALSE)</f>
        <v>Food</v>
      </c>
    </row>
    <row r="17" spans="1:6" x14ac:dyDescent="0.25">
      <c r="A17" t="s">
        <v>662</v>
      </c>
      <c r="B17">
        <v>-44.35</v>
      </c>
      <c r="C17" t="s">
        <v>385</v>
      </c>
      <c r="D17" t="s">
        <v>388</v>
      </c>
      <c r="E17" t="s">
        <v>33</v>
      </c>
      <c r="F17" t="str">
        <f>VLOOKUP(E17, '[1]POS Categories'!$A$1:$B$999, 2, FALSE)</f>
        <v>Food</v>
      </c>
    </row>
    <row r="18" spans="1:6" x14ac:dyDescent="0.25">
      <c r="A18" t="s">
        <v>663</v>
      </c>
      <c r="B18">
        <v>352.57</v>
      </c>
      <c r="C18" t="s">
        <v>385</v>
      </c>
      <c r="D18" t="s">
        <v>414</v>
      </c>
      <c r="E18" t="s">
        <v>212</v>
      </c>
      <c r="F18" t="str">
        <f>VLOOKUP(E18, '[1]POS Categories'!$A$1:$B$999, 2, FALSE)</f>
        <v>Investment</v>
      </c>
    </row>
    <row r="19" spans="1:6" x14ac:dyDescent="0.25">
      <c r="A19" t="s">
        <v>664</v>
      </c>
      <c r="B19">
        <v>2147.41</v>
      </c>
      <c r="C19" t="s">
        <v>385</v>
      </c>
      <c r="D19" t="s">
        <v>386</v>
      </c>
      <c r="E19" t="s">
        <v>387</v>
      </c>
      <c r="F19" t="str">
        <f>VLOOKUP(E19, '[1]POS Categories'!$A$1:$B$999, 2, FALSE)</f>
        <v>Job</v>
      </c>
    </row>
    <row r="20" spans="1:6" x14ac:dyDescent="0.25">
      <c r="A20" t="s">
        <v>664</v>
      </c>
      <c r="B20">
        <v>-9</v>
      </c>
      <c r="C20" t="s">
        <v>385</v>
      </c>
      <c r="D20" t="s">
        <v>388</v>
      </c>
      <c r="E20" t="s">
        <v>22</v>
      </c>
      <c r="F20" t="str">
        <f>VLOOKUP(E20, '[1]POS Categories'!$A$1:$B$999, 2, FALSE)</f>
        <v>Entertainment</v>
      </c>
    </row>
    <row r="21" spans="1:6" x14ac:dyDescent="0.25">
      <c r="A21" t="s">
        <v>665</v>
      </c>
      <c r="B21">
        <v>-39.03</v>
      </c>
      <c r="C21" t="s">
        <v>385</v>
      </c>
      <c r="D21" t="s">
        <v>388</v>
      </c>
      <c r="E21" t="s">
        <v>157</v>
      </c>
      <c r="F21" t="str">
        <f>VLOOKUP(E21, '[1]POS Categories'!$A$1:$B$999, 2, FALSE)</f>
        <v>Personal</v>
      </c>
    </row>
    <row r="22" spans="1:6" x14ac:dyDescent="0.25">
      <c r="A22" t="s">
        <v>665</v>
      </c>
      <c r="B22">
        <v>-108.99</v>
      </c>
      <c r="C22" t="s">
        <v>385</v>
      </c>
      <c r="D22" t="s">
        <v>388</v>
      </c>
      <c r="E22" t="s">
        <v>33</v>
      </c>
      <c r="F22" t="str">
        <f>VLOOKUP(E22, '[1]POS Categories'!$A$1:$B$999, 2, FALSE)</f>
        <v>Food</v>
      </c>
    </row>
    <row r="23" spans="1:6" x14ac:dyDescent="0.25">
      <c r="A23" t="s">
        <v>666</v>
      </c>
      <c r="B23">
        <v>-27.51</v>
      </c>
      <c r="C23" t="s">
        <v>385</v>
      </c>
      <c r="D23" t="s">
        <v>388</v>
      </c>
      <c r="E23" t="s">
        <v>149</v>
      </c>
      <c r="F23" t="str">
        <f>VLOOKUP(E23, '[1]POS Categories'!$A$1:$B$999, 2, FALSE)</f>
        <v>Food</v>
      </c>
    </row>
    <row r="24" spans="1:6" x14ac:dyDescent="0.25">
      <c r="A24" t="s">
        <v>666</v>
      </c>
      <c r="B24">
        <v>-24.16</v>
      </c>
      <c r="C24" t="s">
        <v>385</v>
      </c>
      <c r="D24" t="s">
        <v>388</v>
      </c>
      <c r="E24" t="s">
        <v>22</v>
      </c>
      <c r="F24" t="str">
        <f>VLOOKUP(E24, '[1]POS Categories'!$A$1:$B$999, 2, FALSE)</f>
        <v>Entertainment</v>
      </c>
    </row>
    <row r="25" spans="1:6" x14ac:dyDescent="0.25">
      <c r="A25" t="s">
        <v>667</v>
      </c>
      <c r="B25">
        <v>-24.16</v>
      </c>
      <c r="C25" t="s">
        <v>385</v>
      </c>
      <c r="D25" t="s">
        <v>388</v>
      </c>
      <c r="E25" t="s">
        <v>22</v>
      </c>
      <c r="F25" t="str">
        <f>VLOOKUP(E25, '[1]POS Categories'!$A$1:$B$999, 2, FALSE)</f>
        <v>Entertainment</v>
      </c>
    </row>
    <row r="26" spans="1:6" x14ac:dyDescent="0.25">
      <c r="A26" t="s">
        <v>667</v>
      </c>
      <c r="B26">
        <v>-24.16</v>
      </c>
      <c r="C26" t="s">
        <v>385</v>
      </c>
      <c r="D26" t="s">
        <v>388</v>
      </c>
      <c r="E26" t="s">
        <v>213</v>
      </c>
      <c r="F26" t="str">
        <f>VLOOKUP(E26, '[1]POS Categories'!$A$1:$B$999, 2, FALSE)</f>
        <v>Entertainment</v>
      </c>
    </row>
    <row r="27" spans="1:6" x14ac:dyDescent="0.25">
      <c r="A27" t="s">
        <v>667</v>
      </c>
      <c r="B27">
        <v>-24.16</v>
      </c>
      <c r="C27" t="s">
        <v>385</v>
      </c>
      <c r="D27" t="s">
        <v>388</v>
      </c>
      <c r="E27" t="s">
        <v>213</v>
      </c>
      <c r="F27" t="str">
        <f>VLOOKUP(E27, '[1]POS Categories'!$A$1:$B$999, 2, FALSE)</f>
        <v>Entertainment</v>
      </c>
    </row>
    <row r="28" spans="1:6" x14ac:dyDescent="0.25">
      <c r="A28" t="s">
        <v>667</v>
      </c>
      <c r="B28">
        <v>-24.16</v>
      </c>
      <c r="C28" t="s">
        <v>385</v>
      </c>
      <c r="D28" t="s">
        <v>388</v>
      </c>
      <c r="E28" t="s">
        <v>22</v>
      </c>
      <c r="F28" t="str">
        <f>VLOOKUP(E28, '[1]POS Categories'!$A$1:$B$999, 2, FALSE)</f>
        <v>Entertainment</v>
      </c>
    </row>
    <row r="29" spans="1:6" x14ac:dyDescent="0.25">
      <c r="A29" t="s">
        <v>667</v>
      </c>
      <c r="B29">
        <v>-24.16</v>
      </c>
      <c r="C29" t="s">
        <v>385</v>
      </c>
      <c r="D29" t="s">
        <v>388</v>
      </c>
      <c r="E29" t="s">
        <v>213</v>
      </c>
      <c r="F29" t="str">
        <f>VLOOKUP(E29, '[1]POS Categories'!$A$1:$B$999, 2, FALSE)</f>
        <v>Entertainment</v>
      </c>
    </row>
    <row r="30" spans="1:6" x14ac:dyDescent="0.25">
      <c r="A30" t="s">
        <v>668</v>
      </c>
      <c r="B30">
        <v>-29.48</v>
      </c>
      <c r="C30" t="s">
        <v>385</v>
      </c>
      <c r="D30" t="s">
        <v>388</v>
      </c>
      <c r="E30" t="s">
        <v>191</v>
      </c>
      <c r="F30" t="str">
        <f>VLOOKUP(E30, '[1]POS Categories'!$A$1:$B$999, 2, FALSE)</f>
        <v>Food</v>
      </c>
    </row>
    <row r="31" spans="1:6" x14ac:dyDescent="0.25">
      <c r="A31" t="s">
        <v>669</v>
      </c>
      <c r="B31">
        <v>-56.78</v>
      </c>
      <c r="C31" t="s">
        <v>385</v>
      </c>
      <c r="D31" t="s">
        <v>388</v>
      </c>
      <c r="E31" t="s">
        <v>411</v>
      </c>
      <c r="F31" t="str">
        <f>VLOOKUP(E31, '[1]POS Categories'!$A$1:$B$999, 2, FALSE)</f>
        <v>Sasktel</v>
      </c>
    </row>
    <row r="32" spans="1:6" x14ac:dyDescent="0.25">
      <c r="A32" t="s">
        <v>669</v>
      </c>
      <c r="B32">
        <v>104.79</v>
      </c>
      <c r="C32" t="s">
        <v>385</v>
      </c>
      <c r="D32" t="s">
        <v>467</v>
      </c>
      <c r="E32" t="s">
        <v>637</v>
      </c>
      <c r="F32" t="str">
        <f>VLOOKUP(E32, '[1]POS Categories'!$A$1:$B$999, 2, FALSE)</f>
        <v>Misc</v>
      </c>
    </row>
    <row r="33" spans="1:6" x14ac:dyDescent="0.25">
      <c r="A33" t="s">
        <v>669</v>
      </c>
      <c r="B33">
        <v>-155.49</v>
      </c>
      <c r="C33" t="s">
        <v>385</v>
      </c>
      <c r="D33" t="s">
        <v>388</v>
      </c>
      <c r="E33" t="s">
        <v>214</v>
      </c>
      <c r="F33" t="str">
        <f>VLOOKUP(E33, '[1]POS Categories'!$A$1:$B$999, 2, FALSE)</f>
        <v>Personal</v>
      </c>
    </row>
    <row r="34" spans="1:6" x14ac:dyDescent="0.25">
      <c r="A34" t="s">
        <v>670</v>
      </c>
      <c r="B34">
        <v>-18.579999999999998</v>
      </c>
      <c r="C34" t="s">
        <v>385</v>
      </c>
      <c r="D34" t="s">
        <v>388</v>
      </c>
      <c r="E34" t="s">
        <v>215</v>
      </c>
      <c r="F34" t="str">
        <f>VLOOKUP(E34, '[1]POS Categories'!$A$1:$B$999, 2, FALSE)</f>
        <v>Personal</v>
      </c>
    </row>
    <row r="35" spans="1:6" x14ac:dyDescent="0.25">
      <c r="A35" t="s">
        <v>671</v>
      </c>
      <c r="B35">
        <v>-13.62</v>
      </c>
      <c r="C35" t="s">
        <v>385</v>
      </c>
      <c r="D35" t="s">
        <v>388</v>
      </c>
      <c r="E35" t="s">
        <v>157</v>
      </c>
      <c r="F35" t="str">
        <f>VLOOKUP(E35, '[1]POS Categories'!$A$1:$B$999, 2, FALSE)</f>
        <v>Personal</v>
      </c>
    </row>
    <row r="36" spans="1:6" x14ac:dyDescent="0.25">
      <c r="A36" t="s">
        <v>671</v>
      </c>
      <c r="B36">
        <v>-13.44</v>
      </c>
      <c r="C36" t="s">
        <v>385</v>
      </c>
      <c r="D36" t="s">
        <v>388</v>
      </c>
      <c r="E36" t="s">
        <v>180</v>
      </c>
      <c r="F36" t="str">
        <f>VLOOKUP(E36, '[1]POS Categories'!$A$1:$B$999, 2, FALSE)</f>
        <v>Entertainment</v>
      </c>
    </row>
    <row r="37" spans="1:6" x14ac:dyDescent="0.25">
      <c r="A37" t="s">
        <v>672</v>
      </c>
      <c r="B37">
        <v>-400</v>
      </c>
      <c r="C37" t="s">
        <v>385</v>
      </c>
      <c r="D37" t="s">
        <v>507</v>
      </c>
      <c r="E37" t="s">
        <v>195</v>
      </c>
      <c r="F37" t="str">
        <f>VLOOKUP(E37, '[1]POS Categories'!$A$1:$B$999, 2, FALSE)</f>
        <v>Investment</v>
      </c>
    </row>
    <row r="38" spans="1:6" x14ac:dyDescent="0.25">
      <c r="A38" t="s">
        <v>672</v>
      </c>
      <c r="B38">
        <v>-21.69</v>
      </c>
      <c r="C38" t="s">
        <v>385</v>
      </c>
      <c r="D38" t="s">
        <v>388</v>
      </c>
      <c r="E38" t="s">
        <v>32</v>
      </c>
      <c r="F38" t="str">
        <f>VLOOKUP(E38, '[1]POS Categories'!$A$1:$B$999, 2, FALSE)</f>
        <v>Food</v>
      </c>
    </row>
    <row r="39" spans="1:6" x14ac:dyDescent="0.25">
      <c r="A39" t="s">
        <v>672</v>
      </c>
      <c r="B39">
        <v>-32</v>
      </c>
      <c r="C39" t="s">
        <v>385</v>
      </c>
      <c r="D39" t="s">
        <v>466</v>
      </c>
      <c r="E39" t="s">
        <v>200</v>
      </c>
      <c r="F39" t="str">
        <f>VLOOKUP(E39, '[1]POS Categories'!$A$1:$B$999, 2, FALSE)</f>
        <v>Bills</v>
      </c>
    </row>
    <row r="40" spans="1:6" x14ac:dyDescent="0.25">
      <c r="A40" t="s">
        <v>673</v>
      </c>
      <c r="B40">
        <v>-1200</v>
      </c>
      <c r="C40" t="s">
        <v>385</v>
      </c>
      <c r="D40" t="s">
        <v>414</v>
      </c>
      <c r="E40" t="s">
        <v>206</v>
      </c>
      <c r="F40" t="str">
        <f>VLOOKUP(E40, '[1]POS Categories'!$A$1:$B$999, 2, FALSE)</f>
        <v>Rent</v>
      </c>
    </row>
    <row r="41" spans="1:6" x14ac:dyDescent="0.25">
      <c r="A41" t="s">
        <v>673</v>
      </c>
      <c r="B41">
        <v>-10.14</v>
      </c>
      <c r="C41" t="s">
        <v>385</v>
      </c>
      <c r="D41" t="s">
        <v>388</v>
      </c>
      <c r="E41" t="s">
        <v>33</v>
      </c>
      <c r="F41" t="str">
        <f>VLOOKUP(E41, '[1]POS Categories'!$A$1:$B$999, 2, FALSE)</f>
        <v>Food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5"/>
  <sheetViews>
    <sheetView workbookViewId="0">
      <selection activeCell="F2" sqref="F2"/>
    </sheetView>
  </sheetViews>
  <sheetFormatPr defaultRowHeight="15" x14ac:dyDescent="0.25"/>
  <cols>
    <col min="4" max="4" width="23.28515625" bestFit="1" customWidth="1"/>
    <col min="5" max="5" width="36.140625" bestFit="1" customWidth="1"/>
    <col min="6" max="6" width="15" customWidth="1"/>
  </cols>
  <sheetData>
    <row r="1" spans="1:6" x14ac:dyDescent="0.25">
      <c r="A1" t="s">
        <v>674</v>
      </c>
      <c r="B1">
        <v>-23.58</v>
      </c>
      <c r="C1" t="s">
        <v>385</v>
      </c>
      <c r="D1" t="s">
        <v>388</v>
      </c>
      <c r="E1" t="s">
        <v>162</v>
      </c>
      <c r="F1" t="str">
        <f>VLOOKUP(E1, '[1]POS Categories'!$A$1:$B$999, 2, FALSE)</f>
        <v>Food</v>
      </c>
    </row>
    <row r="2" spans="1:6" x14ac:dyDescent="0.25">
      <c r="A2" t="s">
        <v>674</v>
      </c>
      <c r="B2">
        <v>-38.53</v>
      </c>
      <c r="C2" t="s">
        <v>385</v>
      </c>
      <c r="D2" t="s">
        <v>388</v>
      </c>
      <c r="E2" t="s">
        <v>194</v>
      </c>
      <c r="F2" t="str">
        <f>VLOOKUP(E2, '[1]POS Categories'!$A$1:$B$999, 2, FALSE)</f>
        <v>Food</v>
      </c>
    </row>
    <row r="3" spans="1:6" x14ac:dyDescent="0.25">
      <c r="A3" t="s">
        <v>675</v>
      </c>
      <c r="B3">
        <v>-200</v>
      </c>
      <c r="C3" t="s">
        <v>385</v>
      </c>
      <c r="D3" t="s">
        <v>507</v>
      </c>
      <c r="E3" t="s">
        <v>195</v>
      </c>
      <c r="F3" t="str">
        <f>VLOOKUP(E3, '[1]POS Categories'!$A$1:$B$999, 2, FALSE)</f>
        <v>Investment</v>
      </c>
    </row>
    <row r="4" spans="1:6" x14ac:dyDescent="0.25">
      <c r="A4" t="s">
        <v>675</v>
      </c>
      <c r="B4">
        <v>2044.36</v>
      </c>
      <c r="C4" t="s">
        <v>385</v>
      </c>
      <c r="D4" t="s">
        <v>386</v>
      </c>
      <c r="E4" t="s">
        <v>387</v>
      </c>
      <c r="F4" t="str">
        <f>VLOOKUP(E4, '[1]POS Categories'!$A$1:$B$999, 2, FALSE)</f>
        <v>Job</v>
      </c>
    </row>
    <row r="5" spans="1:6" x14ac:dyDescent="0.25">
      <c r="A5" t="s">
        <v>676</v>
      </c>
      <c r="B5">
        <v>-27.49</v>
      </c>
      <c r="C5" t="s">
        <v>385</v>
      </c>
      <c r="D5" t="s">
        <v>388</v>
      </c>
      <c r="E5" t="s">
        <v>32</v>
      </c>
      <c r="F5" t="str">
        <f>VLOOKUP(E5, '[1]POS Categories'!$A$1:$B$999, 2, FALSE)</f>
        <v>Food</v>
      </c>
    </row>
    <row r="6" spans="1:6" x14ac:dyDescent="0.25">
      <c r="A6" t="s">
        <v>676</v>
      </c>
      <c r="B6">
        <v>-65.069999999999993</v>
      </c>
      <c r="C6" t="s">
        <v>385</v>
      </c>
      <c r="D6" t="s">
        <v>435</v>
      </c>
      <c r="E6" t="s">
        <v>177</v>
      </c>
      <c r="F6" t="str">
        <f>VLOOKUP(E6, '[1]POS Categories'!$A$1:$B$999, 2, FALSE)</f>
        <v>Power</v>
      </c>
    </row>
    <row r="7" spans="1:6" x14ac:dyDescent="0.25">
      <c r="A7" t="s">
        <v>677</v>
      </c>
      <c r="B7">
        <v>-796.22</v>
      </c>
      <c r="C7" t="s">
        <v>385</v>
      </c>
      <c r="D7" t="s">
        <v>388</v>
      </c>
      <c r="E7" t="s">
        <v>196</v>
      </c>
      <c r="F7" t="str">
        <f>VLOOKUP(E7, '[1]POS Categories'!$A$1:$B$999, 2, FALSE)</f>
        <v>Vehicle</v>
      </c>
    </row>
    <row r="8" spans="1:6" x14ac:dyDescent="0.25">
      <c r="A8" t="s">
        <v>677</v>
      </c>
      <c r="B8">
        <v>-27.23</v>
      </c>
      <c r="C8" t="s">
        <v>385</v>
      </c>
      <c r="D8" t="s">
        <v>388</v>
      </c>
      <c r="E8" t="s">
        <v>32</v>
      </c>
      <c r="F8" t="str">
        <f>VLOOKUP(E8, '[1]POS Categories'!$A$1:$B$999, 2, FALSE)</f>
        <v>Food</v>
      </c>
    </row>
    <row r="9" spans="1:6" x14ac:dyDescent="0.25">
      <c r="A9" t="s">
        <v>678</v>
      </c>
      <c r="B9">
        <v>-14.85</v>
      </c>
      <c r="C9" t="s">
        <v>385</v>
      </c>
      <c r="D9" t="s">
        <v>388</v>
      </c>
      <c r="E9" t="s">
        <v>149</v>
      </c>
      <c r="F9" t="str">
        <f>VLOOKUP(E9, '[1]POS Categories'!$A$1:$B$999, 2, FALSE)</f>
        <v>Food</v>
      </c>
    </row>
    <row r="10" spans="1:6" x14ac:dyDescent="0.25">
      <c r="A10" t="s">
        <v>678</v>
      </c>
      <c r="B10">
        <v>-44.37</v>
      </c>
      <c r="C10" t="s">
        <v>385</v>
      </c>
      <c r="D10" t="s">
        <v>388</v>
      </c>
      <c r="E10" t="s">
        <v>395</v>
      </c>
      <c r="F10" t="str">
        <f>VLOOKUP(E10, '[1]POS Categories'!$A$1:$B$999, 2, FALSE)</f>
        <v>Vehicle</v>
      </c>
    </row>
    <row r="11" spans="1:6" x14ac:dyDescent="0.25">
      <c r="A11" t="s">
        <v>679</v>
      </c>
      <c r="B11">
        <v>-28.84</v>
      </c>
      <c r="C11" t="s">
        <v>385</v>
      </c>
      <c r="D11" t="s">
        <v>388</v>
      </c>
      <c r="E11" t="s">
        <v>142</v>
      </c>
      <c r="F11" t="str">
        <f>VLOOKUP(E11, '[1]POS Categories'!$A$1:$B$999, 2, FALSE)</f>
        <v>Food</v>
      </c>
    </row>
    <row r="12" spans="1:6" x14ac:dyDescent="0.25">
      <c r="A12" t="s">
        <v>679</v>
      </c>
      <c r="B12">
        <v>-358</v>
      </c>
      <c r="C12" t="s">
        <v>385</v>
      </c>
      <c r="D12" t="s">
        <v>388</v>
      </c>
      <c r="E12" t="s">
        <v>36</v>
      </c>
      <c r="F12" t="str">
        <f>VLOOKUP(E12, '[1]POS Categories'!$A$1:$B$999, 2, FALSE)</f>
        <v>Food</v>
      </c>
    </row>
    <row r="13" spans="1:6" x14ac:dyDescent="0.25">
      <c r="A13" t="s">
        <v>680</v>
      </c>
      <c r="B13">
        <v>-23.35</v>
      </c>
      <c r="C13" t="s">
        <v>385</v>
      </c>
      <c r="D13" t="s">
        <v>388</v>
      </c>
      <c r="E13" t="s">
        <v>157</v>
      </c>
      <c r="F13" t="str">
        <f>VLOOKUP(E13, '[1]POS Categories'!$A$1:$B$999, 2, FALSE)</f>
        <v>Personal</v>
      </c>
    </row>
    <row r="14" spans="1:6" x14ac:dyDescent="0.25">
      <c r="A14" t="s">
        <v>680</v>
      </c>
      <c r="B14">
        <v>-15.2</v>
      </c>
      <c r="C14" t="s">
        <v>385</v>
      </c>
      <c r="D14" t="s">
        <v>388</v>
      </c>
      <c r="E14" t="s">
        <v>33</v>
      </c>
      <c r="F14" t="str">
        <f>VLOOKUP(E14, '[1]POS Categories'!$A$1:$B$999, 2, FALSE)</f>
        <v>Food</v>
      </c>
    </row>
    <row r="15" spans="1:6" x14ac:dyDescent="0.25">
      <c r="A15" t="s">
        <v>680</v>
      </c>
      <c r="B15">
        <v>-8.9499999999999993</v>
      </c>
      <c r="C15" t="s">
        <v>385</v>
      </c>
      <c r="D15" t="s">
        <v>388</v>
      </c>
      <c r="E15" t="s">
        <v>179</v>
      </c>
      <c r="F15" t="str">
        <f>VLOOKUP(E15, '[1]POS Categories'!$A$1:$B$999, 2, FALSE)</f>
        <v>Food</v>
      </c>
    </row>
    <row r="16" spans="1:6" x14ac:dyDescent="0.25">
      <c r="A16" t="s">
        <v>680</v>
      </c>
      <c r="B16">
        <v>-20.399999999999999</v>
      </c>
      <c r="C16" t="s">
        <v>385</v>
      </c>
      <c r="D16" t="s">
        <v>388</v>
      </c>
      <c r="E16" t="s">
        <v>197</v>
      </c>
      <c r="F16" t="str">
        <f>VLOOKUP(E16, '[1]POS Categories'!$A$1:$B$999, 2, FALSE)</f>
        <v>Food</v>
      </c>
    </row>
    <row r="17" spans="1:6" x14ac:dyDescent="0.25">
      <c r="A17" t="s">
        <v>681</v>
      </c>
      <c r="B17">
        <v>-13.95</v>
      </c>
      <c r="C17" t="s">
        <v>385</v>
      </c>
      <c r="D17" t="s">
        <v>388</v>
      </c>
      <c r="E17" t="s">
        <v>198</v>
      </c>
      <c r="F17" t="str">
        <f>VLOOKUP(E17, '[1]POS Categories'!$A$1:$B$999, 2, FALSE)</f>
        <v>Vehicle</v>
      </c>
    </row>
    <row r="18" spans="1:6" x14ac:dyDescent="0.25">
      <c r="A18" t="s">
        <v>681</v>
      </c>
      <c r="B18">
        <v>-18.989999999999998</v>
      </c>
      <c r="C18" t="s">
        <v>385</v>
      </c>
      <c r="D18" t="s">
        <v>388</v>
      </c>
      <c r="E18" t="s">
        <v>452</v>
      </c>
      <c r="F18" t="str">
        <f>VLOOKUP(E18, '[1]POS Categories'!$A$1:$B$999, 2, FALSE)</f>
        <v>Food</v>
      </c>
    </row>
    <row r="19" spans="1:6" x14ac:dyDescent="0.25">
      <c r="A19" t="s">
        <v>682</v>
      </c>
      <c r="B19">
        <v>-17.399999999999999</v>
      </c>
      <c r="C19" t="s">
        <v>385</v>
      </c>
      <c r="D19" t="s">
        <v>388</v>
      </c>
      <c r="E19" t="s">
        <v>8</v>
      </c>
      <c r="F19" t="str">
        <f>VLOOKUP(E19, '[1]POS Categories'!$A$1:$B$999, 2, FALSE)</f>
        <v>Food</v>
      </c>
    </row>
    <row r="20" spans="1:6" x14ac:dyDescent="0.25">
      <c r="A20" t="s">
        <v>682</v>
      </c>
      <c r="B20">
        <v>-61</v>
      </c>
      <c r="C20" t="s">
        <v>385</v>
      </c>
      <c r="D20" t="s">
        <v>388</v>
      </c>
      <c r="E20" t="s">
        <v>175</v>
      </c>
      <c r="F20" t="str">
        <f>VLOOKUP(E20, '[1]POS Categories'!$A$1:$B$999, 2, FALSE)</f>
        <v>Sasktel</v>
      </c>
    </row>
    <row r="21" spans="1:6" x14ac:dyDescent="0.25">
      <c r="A21" t="s">
        <v>682</v>
      </c>
      <c r="B21">
        <v>-10.53</v>
      </c>
      <c r="C21" t="s">
        <v>385</v>
      </c>
      <c r="D21" t="s">
        <v>388</v>
      </c>
      <c r="E21" t="s">
        <v>174</v>
      </c>
      <c r="F21" t="str">
        <f>VLOOKUP(E21, '[1]POS Categories'!$A$1:$B$999, 2, FALSE)</f>
        <v>Food</v>
      </c>
    </row>
    <row r="22" spans="1:6" x14ac:dyDescent="0.25">
      <c r="A22" t="s">
        <v>682</v>
      </c>
      <c r="B22">
        <v>-53.72</v>
      </c>
      <c r="C22" t="s">
        <v>385</v>
      </c>
      <c r="D22" t="s">
        <v>388</v>
      </c>
      <c r="E22" t="s">
        <v>160</v>
      </c>
      <c r="F22" t="str">
        <f>VLOOKUP(E22, '[1]POS Categories'!$A$1:$B$999, 2, FALSE)</f>
        <v>Personal</v>
      </c>
    </row>
    <row r="23" spans="1:6" x14ac:dyDescent="0.25">
      <c r="A23" t="s">
        <v>682</v>
      </c>
      <c r="B23">
        <v>-13.73</v>
      </c>
      <c r="C23" t="s">
        <v>385</v>
      </c>
      <c r="D23" t="s">
        <v>388</v>
      </c>
      <c r="E23" t="s">
        <v>199</v>
      </c>
      <c r="F23" t="str">
        <f>VLOOKUP(E23, '[1]POS Categories'!$A$1:$B$999, 2, FALSE)</f>
        <v>Personal</v>
      </c>
    </row>
    <row r="24" spans="1:6" x14ac:dyDescent="0.25">
      <c r="A24" t="s">
        <v>682</v>
      </c>
      <c r="B24">
        <v>2147.41</v>
      </c>
      <c r="C24" t="s">
        <v>385</v>
      </c>
      <c r="D24" t="s">
        <v>386</v>
      </c>
      <c r="E24" t="s">
        <v>387</v>
      </c>
      <c r="F24" t="str">
        <f>VLOOKUP(E24, '[1]POS Categories'!$A$1:$B$999, 2, FALSE)</f>
        <v>Job</v>
      </c>
    </row>
    <row r="25" spans="1:6" x14ac:dyDescent="0.25">
      <c r="A25" t="s">
        <v>683</v>
      </c>
      <c r="B25">
        <v>-11.09</v>
      </c>
      <c r="C25" t="s">
        <v>385</v>
      </c>
      <c r="D25" t="s">
        <v>388</v>
      </c>
      <c r="E25" t="s">
        <v>8</v>
      </c>
      <c r="F25" t="str">
        <f>VLOOKUP(E25, '[1]POS Categories'!$A$1:$B$999, 2, FALSE)</f>
        <v>Food</v>
      </c>
    </row>
    <row r="26" spans="1:6" x14ac:dyDescent="0.25">
      <c r="A26" t="s">
        <v>684</v>
      </c>
      <c r="B26">
        <v>-20</v>
      </c>
      <c r="C26" t="s">
        <v>385</v>
      </c>
      <c r="D26" t="s">
        <v>466</v>
      </c>
      <c r="E26" t="s">
        <v>200</v>
      </c>
      <c r="F26" t="str">
        <f>VLOOKUP(E26, '[1]POS Categories'!$A$1:$B$999, 2, FALSE)</f>
        <v>Bills</v>
      </c>
    </row>
    <row r="27" spans="1:6" x14ac:dyDescent="0.25">
      <c r="A27" t="s">
        <v>684</v>
      </c>
      <c r="B27">
        <v>-10.53</v>
      </c>
      <c r="C27" t="s">
        <v>385</v>
      </c>
      <c r="D27" t="s">
        <v>388</v>
      </c>
      <c r="E27" t="s">
        <v>174</v>
      </c>
      <c r="F27" t="str">
        <f>VLOOKUP(E27, '[1]POS Categories'!$A$1:$B$999, 2, FALSE)</f>
        <v>Food</v>
      </c>
    </row>
    <row r="28" spans="1:6" x14ac:dyDescent="0.25">
      <c r="A28" t="s">
        <v>684</v>
      </c>
      <c r="B28">
        <v>-391.75</v>
      </c>
      <c r="C28" t="s">
        <v>385</v>
      </c>
      <c r="D28" t="s">
        <v>388</v>
      </c>
      <c r="E28" t="s">
        <v>199</v>
      </c>
      <c r="F28" t="str">
        <f>VLOOKUP(E28, '[1]POS Categories'!$A$1:$B$999, 2, FALSE)</f>
        <v>Personal</v>
      </c>
    </row>
    <row r="29" spans="1:6" x14ac:dyDescent="0.25">
      <c r="A29" t="s">
        <v>684</v>
      </c>
      <c r="B29">
        <v>-15.49</v>
      </c>
      <c r="C29" t="s">
        <v>385</v>
      </c>
      <c r="D29" t="s">
        <v>388</v>
      </c>
      <c r="E29" t="s">
        <v>22</v>
      </c>
      <c r="F29" t="str">
        <f>VLOOKUP(E29, '[1]POS Categories'!$A$1:$B$999, 2, FALSE)</f>
        <v>Entertainment</v>
      </c>
    </row>
    <row r="30" spans="1:6" x14ac:dyDescent="0.25">
      <c r="A30" t="s">
        <v>685</v>
      </c>
      <c r="B30">
        <v>-29.94</v>
      </c>
      <c r="C30" t="s">
        <v>385</v>
      </c>
      <c r="D30" t="s">
        <v>388</v>
      </c>
      <c r="E30" t="s">
        <v>201</v>
      </c>
      <c r="F30" t="str">
        <f>VLOOKUP(E30, '[1]POS Categories'!$A$1:$B$999, 2, FALSE)</f>
        <v>Personal</v>
      </c>
    </row>
    <row r="31" spans="1:6" x14ac:dyDescent="0.25">
      <c r="A31" t="s">
        <v>685</v>
      </c>
      <c r="B31">
        <v>-127.83</v>
      </c>
      <c r="C31" t="s">
        <v>385</v>
      </c>
      <c r="D31" t="s">
        <v>435</v>
      </c>
      <c r="E31" t="s">
        <v>177</v>
      </c>
      <c r="F31" t="str">
        <f>VLOOKUP(E31, '[1]POS Categories'!$A$1:$B$999, 2, FALSE)</f>
        <v>Power</v>
      </c>
    </row>
    <row r="32" spans="1:6" x14ac:dyDescent="0.25">
      <c r="A32" t="s">
        <v>686</v>
      </c>
      <c r="B32">
        <v>-5.37</v>
      </c>
      <c r="C32" t="s">
        <v>385</v>
      </c>
      <c r="D32" t="s">
        <v>388</v>
      </c>
      <c r="E32" t="s">
        <v>202</v>
      </c>
      <c r="F32" t="str">
        <f>VLOOKUP(E32, '[1]POS Categories'!$A$1:$B$999, 2, FALSE)</f>
        <v>Food</v>
      </c>
    </row>
    <row r="33" spans="1:6" x14ac:dyDescent="0.25">
      <c r="A33" t="s">
        <v>686</v>
      </c>
      <c r="B33">
        <v>-16.64</v>
      </c>
      <c r="C33" t="s">
        <v>385</v>
      </c>
      <c r="D33" t="s">
        <v>388</v>
      </c>
      <c r="E33" t="s">
        <v>203</v>
      </c>
      <c r="F33" t="str">
        <f>VLOOKUP(E33, '[1]POS Categories'!$A$1:$B$999, 2, FALSE)</f>
        <v>Entertainment</v>
      </c>
    </row>
    <row r="34" spans="1:6" x14ac:dyDescent="0.25">
      <c r="A34" t="s">
        <v>686</v>
      </c>
      <c r="B34">
        <v>-16.28</v>
      </c>
      <c r="C34" t="s">
        <v>385</v>
      </c>
      <c r="D34" t="s">
        <v>388</v>
      </c>
      <c r="E34" t="s">
        <v>204</v>
      </c>
      <c r="F34" t="str">
        <f>VLOOKUP(E34, '[1]POS Categories'!$A$1:$B$999, 2, FALSE)</f>
        <v>Entertainment</v>
      </c>
    </row>
    <row r="35" spans="1:6" x14ac:dyDescent="0.25">
      <c r="A35" t="s">
        <v>687</v>
      </c>
      <c r="B35">
        <v>-26.95</v>
      </c>
      <c r="C35" t="s">
        <v>385</v>
      </c>
      <c r="D35" t="s">
        <v>388</v>
      </c>
      <c r="E35" t="s">
        <v>205</v>
      </c>
      <c r="F35" t="str">
        <f>VLOOKUP(E35, '[1]POS Categories'!$A$1:$B$999, 2, FALSE)</f>
        <v>Food</v>
      </c>
    </row>
    <row r="36" spans="1:6" x14ac:dyDescent="0.25">
      <c r="A36" t="s">
        <v>687</v>
      </c>
      <c r="B36">
        <v>-7.13</v>
      </c>
      <c r="C36" t="s">
        <v>385</v>
      </c>
      <c r="D36" t="s">
        <v>388</v>
      </c>
      <c r="E36" t="s">
        <v>179</v>
      </c>
      <c r="F36" t="str">
        <f>VLOOKUP(E36, '[1]POS Categories'!$A$1:$B$999, 2, FALSE)</f>
        <v>Food</v>
      </c>
    </row>
    <row r="37" spans="1:6" x14ac:dyDescent="0.25">
      <c r="A37" t="s">
        <v>688</v>
      </c>
      <c r="B37">
        <v>-56.78</v>
      </c>
      <c r="C37" t="s">
        <v>385</v>
      </c>
      <c r="D37" t="s">
        <v>388</v>
      </c>
      <c r="E37" t="s">
        <v>411</v>
      </c>
      <c r="F37" t="str">
        <f>VLOOKUP(E37, '[1]POS Categories'!$A$1:$B$999, 2, FALSE)</f>
        <v>Sasktel</v>
      </c>
    </row>
    <row r="38" spans="1:6" x14ac:dyDescent="0.25">
      <c r="A38" t="s">
        <v>689</v>
      </c>
      <c r="B38">
        <v>-1255</v>
      </c>
      <c r="C38" t="s">
        <v>385</v>
      </c>
      <c r="D38" t="s">
        <v>414</v>
      </c>
      <c r="E38" t="s">
        <v>206</v>
      </c>
      <c r="F38" t="str">
        <f>VLOOKUP(E38, '[1]POS Categories'!$A$1:$B$999, 2, FALSE)</f>
        <v>Rent</v>
      </c>
    </row>
    <row r="39" spans="1:6" x14ac:dyDescent="0.25">
      <c r="A39" t="s">
        <v>689</v>
      </c>
      <c r="B39">
        <v>-163.58000000000001</v>
      </c>
      <c r="C39" t="s">
        <v>385</v>
      </c>
      <c r="D39" t="s">
        <v>388</v>
      </c>
      <c r="E39" t="s">
        <v>33</v>
      </c>
      <c r="F39" t="str">
        <f>VLOOKUP(E39, '[1]POS Categories'!$A$1:$B$999, 2, FALSE)</f>
        <v>Food</v>
      </c>
    </row>
    <row r="40" spans="1:6" x14ac:dyDescent="0.25">
      <c r="A40" t="s">
        <v>689</v>
      </c>
      <c r="B40">
        <v>-13.62</v>
      </c>
      <c r="C40" t="s">
        <v>385</v>
      </c>
      <c r="D40" t="s">
        <v>388</v>
      </c>
      <c r="E40" t="s">
        <v>141</v>
      </c>
      <c r="F40" t="str">
        <f>VLOOKUP(E40, '[1]POS Categories'!$A$1:$B$999, 2, FALSE)</f>
        <v>Food</v>
      </c>
    </row>
    <row r="41" spans="1:6" x14ac:dyDescent="0.25">
      <c r="A41" t="s">
        <v>689</v>
      </c>
      <c r="B41">
        <v>-44.07</v>
      </c>
      <c r="C41" t="s">
        <v>385</v>
      </c>
      <c r="D41" t="s">
        <v>388</v>
      </c>
      <c r="E41" t="s">
        <v>395</v>
      </c>
      <c r="F41" t="str">
        <f>VLOOKUP(E41, '[1]POS Categories'!$A$1:$B$999, 2, FALSE)</f>
        <v>Vehicle</v>
      </c>
    </row>
    <row r="42" spans="1:6" x14ac:dyDescent="0.25">
      <c r="A42" t="s">
        <v>690</v>
      </c>
      <c r="B42">
        <v>-13.4</v>
      </c>
      <c r="C42" t="s">
        <v>385</v>
      </c>
      <c r="D42" t="s">
        <v>388</v>
      </c>
      <c r="E42" t="s">
        <v>180</v>
      </c>
      <c r="F42" t="str">
        <f>VLOOKUP(E42, '[1]POS Categories'!$A$1:$B$999, 2, FALSE)</f>
        <v>Entertainment</v>
      </c>
    </row>
    <row r="43" spans="1:6" x14ac:dyDescent="0.25">
      <c r="A43" t="s">
        <v>690</v>
      </c>
      <c r="B43">
        <v>-28.15</v>
      </c>
      <c r="C43" t="s">
        <v>385</v>
      </c>
      <c r="D43" t="s">
        <v>388</v>
      </c>
      <c r="E43" t="s">
        <v>8</v>
      </c>
      <c r="F43" t="str">
        <f>VLOOKUP(E43, '[1]POS Categories'!$A$1:$B$999, 2, FALSE)</f>
        <v>Food</v>
      </c>
    </row>
    <row r="44" spans="1:6" x14ac:dyDescent="0.25">
      <c r="A44" t="s">
        <v>690</v>
      </c>
      <c r="B44">
        <v>-46.72</v>
      </c>
      <c r="C44" t="s">
        <v>385</v>
      </c>
      <c r="D44" t="s">
        <v>388</v>
      </c>
      <c r="E44" t="s">
        <v>207</v>
      </c>
      <c r="F44" t="str">
        <f>VLOOKUP(E44, '[1]POS Categories'!$A$1:$B$999, 2, FALSE)</f>
        <v>Food</v>
      </c>
    </row>
    <row r="45" spans="1:6" x14ac:dyDescent="0.25">
      <c r="A45" t="s">
        <v>690</v>
      </c>
      <c r="B45">
        <v>-60.45</v>
      </c>
      <c r="C45" t="s">
        <v>385</v>
      </c>
      <c r="D45" t="s">
        <v>388</v>
      </c>
      <c r="E45" t="s">
        <v>32</v>
      </c>
      <c r="F45" t="str">
        <f>VLOOKUP(E45, '[1]POS Categories'!$A$1:$B$999, 2, FALSE)</f>
        <v>Food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1"/>
  <sheetViews>
    <sheetView workbookViewId="0">
      <selection activeCell="F2" sqref="F2"/>
    </sheetView>
  </sheetViews>
  <sheetFormatPr defaultRowHeight="15" x14ac:dyDescent="0.25"/>
  <cols>
    <col min="1" max="1" width="10.7109375" bestFit="1" customWidth="1"/>
    <col min="4" max="4" width="23.28515625" bestFit="1" customWidth="1"/>
    <col min="5" max="5" width="36.140625" bestFit="1" customWidth="1"/>
  </cols>
  <sheetData>
    <row r="1" spans="1:6" x14ac:dyDescent="0.25">
      <c r="A1" t="s">
        <v>691</v>
      </c>
      <c r="B1">
        <v>-19.97</v>
      </c>
      <c r="C1" t="s">
        <v>385</v>
      </c>
      <c r="D1" t="s">
        <v>388</v>
      </c>
      <c r="E1" t="s">
        <v>181</v>
      </c>
      <c r="F1" t="str">
        <f>VLOOKUP(E1, '[1]POS Categories'!$A$1:$B$999, 2, FALSE)</f>
        <v>Food</v>
      </c>
    </row>
    <row r="2" spans="1:6" x14ac:dyDescent="0.25">
      <c r="A2" t="s">
        <v>691</v>
      </c>
      <c r="B2">
        <v>-210</v>
      </c>
      <c r="C2" t="s">
        <v>385</v>
      </c>
      <c r="D2" t="s">
        <v>388</v>
      </c>
      <c r="E2" t="s">
        <v>182</v>
      </c>
      <c r="F2" t="str">
        <f>VLOOKUP(E2, '[1]POS Categories'!$A$1:$B$999, 2, FALSE)</f>
        <v>Bills</v>
      </c>
    </row>
    <row r="3" spans="1:6" x14ac:dyDescent="0.25">
      <c r="A3" t="s">
        <v>691</v>
      </c>
      <c r="B3">
        <v>2041</v>
      </c>
      <c r="C3" t="s">
        <v>385</v>
      </c>
      <c r="D3" t="s">
        <v>386</v>
      </c>
      <c r="E3" t="s">
        <v>387</v>
      </c>
      <c r="F3" t="str">
        <f>VLOOKUP(E3, '[1]POS Categories'!$A$1:$B$999, 2, FALSE)</f>
        <v>Job</v>
      </c>
    </row>
    <row r="4" spans="1:6" x14ac:dyDescent="0.25">
      <c r="A4" t="s">
        <v>692</v>
      </c>
      <c r="B4">
        <v>-10.53</v>
      </c>
      <c r="C4" t="s">
        <v>385</v>
      </c>
      <c r="D4" t="s">
        <v>388</v>
      </c>
      <c r="E4" t="s">
        <v>174</v>
      </c>
      <c r="F4" t="str">
        <f>VLOOKUP(E4, '[1]POS Categories'!$A$1:$B$999, 2, FALSE)</f>
        <v>Food</v>
      </c>
    </row>
    <row r="5" spans="1:6" x14ac:dyDescent="0.25">
      <c r="A5" t="s">
        <v>693</v>
      </c>
      <c r="B5">
        <v>-69.349999999999994</v>
      </c>
      <c r="C5" t="s">
        <v>385</v>
      </c>
      <c r="D5" t="s">
        <v>388</v>
      </c>
      <c r="E5" t="s">
        <v>181</v>
      </c>
      <c r="F5" t="str">
        <f>VLOOKUP(E5, '[1]POS Categories'!$A$1:$B$999, 2, FALSE)</f>
        <v>Food</v>
      </c>
    </row>
    <row r="6" spans="1:6" x14ac:dyDescent="0.25">
      <c r="A6" t="s">
        <v>693</v>
      </c>
      <c r="B6">
        <v>-34.270000000000003</v>
      </c>
      <c r="C6" t="s">
        <v>385</v>
      </c>
      <c r="D6" t="s">
        <v>388</v>
      </c>
      <c r="E6" t="s">
        <v>118</v>
      </c>
      <c r="F6" t="str">
        <f>VLOOKUP(E6, '[1]POS Categories'!$A$1:$B$999, 2, FALSE)</f>
        <v>Food</v>
      </c>
    </row>
    <row r="7" spans="1:6" x14ac:dyDescent="0.25">
      <c r="A7" t="s">
        <v>693</v>
      </c>
      <c r="B7">
        <v>-6.02</v>
      </c>
      <c r="C7" t="s">
        <v>385</v>
      </c>
      <c r="D7" t="s">
        <v>388</v>
      </c>
      <c r="E7" t="s">
        <v>165</v>
      </c>
      <c r="F7" t="str">
        <f>VLOOKUP(E7, '[1]POS Categories'!$A$1:$B$999, 2, FALSE)</f>
        <v>Personal</v>
      </c>
    </row>
    <row r="8" spans="1:6" x14ac:dyDescent="0.25">
      <c r="A8" t="s">
        <v>693</v>
      </c>
      <c r="B8">
        <v>-2.38</v>
      </c>
      <c r="C8" t="s">
        <v>385</v>
      </c>
      <c r="D8" t="s">
        <v>388</v>
      </c>
      <c r="E8" t="s">
        <v>81</v>
      </c>
      <c r="F8" t="str">
        <f>VLOOKUP(E8, '[1]POS Categories'!$A$1:$B$999, 2, FALSE)</f>
        <v>Food</v>
      </c>
    </row>
    <row r="9" spans="1:6" x14ac:dyDescent="0.25">
      <c r="A9" t="s">
        <v>693</v>
      </c>
      <c r="B9">
        <v>-99.89</v>
      </c>
      <c r="C9" t="s">
        <v>385</v>
      </c>
      <c r="D9" t="s">
        <v>388</v>
      </c>
      <c r="E9" t="s">
        <v>694</v>
      </c>
      <c r="F9" t="str">
        <f>VLOOKUP(E9, '[1]POS Categories'!$A$1:$B$999, 2, FALSE)</f>
        <v>Vehicle</v>
      </c>
    </row>
    <row r="10" spans="1:6" x14ac:dyDescent="0.25">
      <c r="A10" t="s">
        <v>693</v>
      </c>
      <c r="B10">
        <v>-10.49</v>
      </c>
      <c r="C10" t="s">
        <v>385</v>
      </c>
      <c r="D10" t="s">
        <v>388</v>
      </c>
      <c r="E10" t="s">
        <v>49</v>
      </c>
      <c r="F10" t="str">
        <f>VLOOKUP(E10, '[1]POS Categories'!$A$1:$B$999, 2, FALSE)</f>
        <v>Entertainment</v>
      </c>
    </row>
    <row r="11" spans="1:6" x14ac:dyDescent="0.25">
      <c r="A11" t="s">
        <v>695</v>
      </c>
      <c r="B11">
        <v>-20.18</v>
      </c>
      <c r="C11" t="s">
        <v>385</v>
      </c>
      <c r="D11" t="s">
        <v>388</v>
      </c>
      <c r="E11" t="s">
        <v>696</v>
      </c>
      <c r="F11" t="str">
        <f>VLOOKUP(E11, '[1]POS Categories'!$A$1:$B$999, 2, FALSE)</f>
        <v>Food</v>
      </c>
    </row>
    <row r="12" spans="1:6" x14ac:dyDescent="0.25">
      <c r="A12" t="s">
        <v>695</v>
      </c>
      <c r="B12">
        <v>-7.3</v>
      </c>
      <c r="C12" t="s">
        <v>385</v>
      </c>
      <c r="D12" t="s">
        <v>388</v>
      </c>
      <c r="E12" t="s">
        <v>408</v>
      </c>
      <c r="F12" t="str">
        <f>VLOOKUP(E12, '[1]POS Categories'!$A$1:$B$999, 2, FALSE)</f>
        <v>Food</v>
      </c>
    </row>
    <row r="13" spans="1:6" x14ac:dyDescent="0.25">
      <c r="A13" t="s">
        <v>695</v>
      </c>
      <c r="B13">
        <v>-34.93</v>
      </c>
      <c r="C13" t="s">
        <v>385</v>
      </c>
      <c r="D13" t="s">
        <v>388</v>
      </c>
      <c r="E13" t="s">
        <v>395</v>
      </c>
      <c r="F13" t="str">
        <f>VLOOKUP(E13, '[1]POS Categories'!$A$1:$B$999, 2, FALSE)</f>
        <v>Vehicle</v>
      </c>
    </row>
    <row r="14" spans="1:6" x14ac:dyDescent="0.25">
      <c r="A14" t="s">
        <v>697</v>
      </c>
      <c r="B14">
        <v>-14.42</v>
      </c>
      <c r="C14" t="s">
        <v>385</v>
      </c>
      <c r="D14" t="s">
        <v>388</v>
      </c>
      <c r="E14" t="s">
        <v>142</v>
      </c>
      <c r="F14" t="str">
        <f>VLOOKUP(E14, '[1]POS Categories'!$A$1:$B$999, 2, FALSE)</f>
        <v>Food</v>
      </c>
    </row>
    <row r="15" spans="1:6" x14ac:dyDescent="0.25">
      <c r="A15" t="s">
        <v>698</v>
      </c>
      <c r="B15">
        <v>-15.85</v>
      </c>
      <c r="C15" t="s">
        <v>385</v>
      </c>
      <c r="D15" t="s">
        <v>388</v>
      </c>
      <c r="E15" t="s">
        <v>8</v>
      </c>
      <c r="F15" t="str">
        <f>VLOOKUP(E15, '[1]POS Categories'!$A$1:$B$999, 2, FALSE)</f>
        <v>Food</v>
      </c>
    </row>
    <row r="16" spans="1:6" x14ac:dyDescent="0.25">
      <c r="A16" t="s">
        <v>698</v>
      </c>
      <c r="B16">
        <v>-12.51</v>
      </c>
      <c r="C16" t="s">
        <v>385</v>
      </c>
      <c r="D16" t="s">
        <v>388</v>
      </c>
      <c r="E16" t="s">
        <v>174</v>
      </c>
      <c r="F16" t="str">
        <f>VLOOKUP(E16, '[1]POS Categories'!$A$1:$B$999, 2, FALSE)</f>
        <v>Food</v>
      </c>
    </row>
    <row r="17" spans="1:6" x14ac:dyDescent="0.25">
      <c r="A17" t="s">
        <v>699</v>
      </c>
      <c r="B17">
        <v>-19.47</v>
      </c>
      <c r="C17" t="s">
        <v>385</v>
      </c>
      <c r="D17" t="s">
        <v>388</v>
      </c>
      <c r="E17" t="s">
        <v>183</v>
      </c>
      <c r="F17" t="str">
        <f>VLOOKUP(E17, '[1]POS Categories'!$A$1:$B$999, 2, FALSE)</f>
        <v>Food</v>
      </c>
    </row>
    <row r="18" spans="1:6" x14ac:dyDescent="0.25">
      <c r="A18" t="s">
        <v>699</v>
      </c>
      <c r="B18">
        <v>-13.31</v>
      </c>
      <c r="C18" t="s">
        <v>385</v>
      </c>
      <c r="D18" t="s">
        <v>388</v>
      </c>
      <c r="E18" t="s">
        <v>171</v>
      </c>
      <c r="F18" t="str">
        <f>VLOOKUP(E18, '[1]POS Categories'!$A$1:$B$999, 2, FALSE)</f>
        <v>Food</v>
      </c>
    </row>
    <row r="19" spans="1:6" x14ac:dyDescent="0.25">
      <c r="A19" t="s">
        <v>699</v>
      </c>
      <c r="B19">
        <v>-23.07</v>
      </c>
      <c r="C19" t="s">
        <v>385</v>
      </c>
      <c r="D19" t="s">
        <v>388</v>
      </c>
      <c r="E19" t="s">
        <v>184</v>
      </c>
      <c r="F19" t="str">
        <f>VLOOKUP(E19, '[1]POS Categories'!$A$1:$B$999, 2, FALSE)</f>
        <v>Food</v>
      </c>
    </row>
    <row r="20" spans="1:6" x14ac:dyDescent="0.25">
      <c r="A20" t="s">
        <v>700</v>
      </c>
      <c r="B20">
        <v>-31.91</v>
      </c>
      <c r="C20" t="s">
        <v>385</v>
      </c>
      <c r="D20" t="s">
        <v>388</v>
      </c>
      <c r="E20" t="s">
        <v>185</v>
      </c>
      <c r="F20" t="str">
        <f>VLOOKUP(E20, '[1]POS Categories'!$A$1:$B$999, 2, FALSE)</f>
        <v>Food</v>
      </c>
    </row>
    <row r="21" spans="1:6" x14ac:dyDescent="0.25">
      <c r="A21" t="s">
        <v>701</v>
      </c>
      <c r="B21">
        <v>-17.399999999999999</v>
      </c>
      <c r="C21" t="s">
        <v>385</v>
      </c>
      <c r="D21" t="s">
        <v>388</v>
      </c>
      <c r="E21" t="s">
        <v>8</v>
      </c>
      <c r="F21" t="str">
        <f>VLOOKUP(E21, '[1]POS Categories'!$A$1:$B$999, 2, FALSE)</f>
        <v>Food</v>
      </c>
    </row>
    <row r="22" spans="1:6" x14ac:dyDescent="0.25">
      <c r="A22" t="s">
        <v>702</v>
      </c>
      <c r="B22">
        <v>-355.2</v>
      </c>
      <c r="C22" t="s">
        <v>385</v>
      </c>
      <c r="D22" t="s">
        <v>388</v>
      </c>
      <c r="E22" t="s">
        <v>186</v>
      </c>
      <c r="F22" t="str">
        <f>VLOOKUP(E22, '[1]POS Categories'!$A$1:$B$999, 2, FALSE)</f>
        <v>Vehicle</v>
      </c>
    </row>
    <row r="23" spans="1:6" x14ac:dyDescent="0.25">
      <c r="A23" t="s">
        <v>703</v>
      </c>
      <c r="B23">
        <v>-19.25</v>
      </c>
      <c r="C23" t="s">
        <v>385</v>
      </c>
      <c r="D23" t="s">
        <v>388</v>
      </c>
      <c r="E23" t="s">
        <v>142</v>
      </c>
      <c r="F23" t="str">
        <f>VLOOKUP(E23, '[1]POS Categories'!$A$1:$B$999, 2, FALSE)</f>
        <v>Food</v>
      </c>
    </row>
    <row r="24" spans="1:6" x14ac:dyDescent="0.25">
      <c r="A24" t="s">
        <v>703</v>
      </c>
      <c r="B24">
        <v>-61</v>
      </c>
      <c r="C24" t="s">
        <v>385</v>
      </c>
      <c r="D24" t="s">
        <v>388</v>
      </c>
      <c r="E24" t="s">
        <v>175</v>
      </c>
      <c r="F24" t="str">
        <f>VLOOKUP(E24, '[1]POS Categories'!$A$1:$B$999, 2, FALSE)</f>
        <v>Sasktel</v>
      </c>
    </row>
    <row r="25" spans="1:6" x14ac:dyDescent="0.25">
      <c r="A25" t="s">
        <v>703</v>
      </c>
      <c r="B25">
        <v>-10.53</v>
      </c>
      <c r="C25" t="s">
        <v>385</v>
      </c>
      <c r="D25" t="s">
        <v>388</v>
      </c>
      <c r="E25" t="s">
        <v>174</v>
      </c>
      <c r="F25" t="str">
        <f>VLOOKUP(E25, '[1]POS Categories'!$A$1:$B$999, 2, FALSE)</f>
        <v>Food</v>
      </c>
    </row>
    <row r="26" spans="1:6" x14ac:dyDescent="0.25">
      <c r="A26" t="s">
        <v>703</v>
      </c>
      <c r="B26">
        <v>2143.96</v>
      </c>
      <c r="C26" t="s">
        <v>385</v>
      </c>
      <c r="D26" t="s">
        <v>386</v>
      </c>
      <c r="E26" t="s">
        <v>387</v>
      </c>
      <c r="F26" t="str">
        <f>VLOOKUP(E26, '[1]POS Categories'!$A$1:$B$999, 2, FALSE)</f>
        <v>Job</v>
      </c>
    </row>
    <row r="27" spans="1:6" x14ac:dyDescent="0.25">
      <c r="A27" t="s">
        <v>704</v>
      </c>
      <c r="B27">
        <v>-17.399999999999999</v>
      </c>
      <c r="C27" t="s">
        <v>385</v>
      </c>
      <c r="D27" t="s">
        <v>388</v>
      </c>
      <c r="E27" t="s">
        <v>8</v>
      </c>
      <c r="F27" t="str">
        <f>VLOOKUP(E27, '[1]POS Categories'!$A$1:$B$999, 2, FALSE)</f>
        <v>Food</v>
      </c>
    </row>
    <row r="28" spans="1:6" x14ac:dyDescent="0.25">
      <c r="A28" t="s">
        <v>704</v>
      </c>
      <c r="B28">
        <v>-16.64</v>
      </c>
      <c r="C28" t="s">
        <v>385</v>
      </c>
      <c r="D28" t="s">
        <v>388</v>
      </c>
      <c r="E28" t="s">
        <v>314</v>
      </c>
      <c r="F28" t="s">
        <v>193</v>
      </c>
    </row>
    <row r="29" spans="1:6" x14ac:dyDescent="0.25">
      <c r="A29" t="s">
        <v>704</v>
      </c>
      <c r="B29">
        <v>-109.83</v>
      </c>
      <c r="C29" t="s">
        <v>385</v>
      </c>
      <c r="D29" t="s">
        <v>388</v>
      </c>
      <c r="E29" t="s">
        <v>187</v>
      </c>
      <c r="F29" t="str">
        <f>VLOOKUP(E29, '[1]POS Categories'!$A$1:$B$999, 2, FALSE)</f>
        <v>Personal</v>
      </c>
    </row>
    <row r="30" spans="1:6" x14ac:dyDescent="0.25">
      <c r="A30" t="s">
        <v>704</v>
      </c>
      <c r="B30">
        <v>-42.86</v>
      </c>
      <c r="C30" t="s">
        <v>385</v>
      </c>
      <c r="D30" t="s">
        <v>388</v>
      </c>
      <c r="E30" t="s">
        <v>463</v>
      </c>
      <c r="F30" t="str">
        <f>VLOOKUP(E30, '[1]POS Categories'!$A$1:$B$999, 2, FALSE)</f>
        <v>Vehicle</v>
      </c>
    </row>
    <row r="31" spans="1:6" x14ac:dyDescent="0.25">
      <c r="A31" t="s">
        <v>704</v>
      </c>
      <c r="B31">
        <v>-135.34</v>
      </c>
      <c r="C31" t="s">
        <v>385</v>
      </c>
      <c r="D31" t="s">
        <v>435</v>
      </c>
      <c r="E31" t="s">
        <v>177</v>
      </c>
      <c r="F31" t="str">
        <f>VLOOKUP(E31, '[1]POS Categories'!$A$1:$B$999, 2, FALSE)</f>
        <v>Power</v>
      </c>
    </row>
    <row r="32" spans="1:6" x14ac:dyDescent="0.25">
      <c r="A32" t="s">
        <v>705</v>
      </c>
      <c r="B32">
        <v>-16.71</v>
      </c>
      <c r="C32" t="s">
        <v>385</v>
      </c>
      <c r="D32" t="s">
        <v>388</v>
      </c>
      <c r="E32" t="s">
        <v>408</v>
      </c>
      <c r="F32" t="str">
        <f>VLOOKUP(E32, '[1]POS Categories'!$A$1:$B$999, 2, FALSE)</f>
        <v>Food</v>
      </c>
    </row>
    <row r="33" spans="1:6" x14ac:dyDescent="0.25">
      <c r="A33" t="s">
        <v>706</v>
      </c>
      <c r="B33">
        <v>-28.49</v>
      </c>
      <c r="C33" t="s">
        <v>385</v>
      </c>
      <c r="D33" t="s">
        <v>388</v>
      </c>
      <c r="E33" t="s">
        <v>8</v>
      </c>
      <c r="F33" t="str">
        <f>VLOOKUP(E33, '[1]POS Categories'!$A$1:$B$999, 2, FALSE)</f>
        <v>Food</v>
      </c>
    </row>
    <row r="34" spans="1:6" x14ac:dyDescent="0.25">
      <c r="A34" t="s">
        <v>706</v>
      </c>
      <c r="B34">
        <v>-45.3</v>
      </c>
      <c r="C34" t="s">
        <v>385</v>
      </c>
      <c r="D34" t="s">
        <v>388</v>
      </c>
      <c r="E34" t="s">
        <v>157</v>
      </c>
      <c r="F34" t="str">
        <f>VLOOKUP(E34, '[1]POS Categories'!$A$1:$B$999, 2, FALSE)</f>
        <v>Personal</v>
      </c>
    </row>
    <row r="35" spans="1:6" x14ac:dyDescent="0.25">
      <c r="A35" t="s">
        <v>706</v>
      </c>
      <c r="B35">
        <v>-33.270000000000003</v>
      </c>
      <c r="C35" t="s">
        <v>385</v>
      </c>
      <c r="D35" t="s">
        <v>388</v>
      </c>
      <c r="E35" t="s">
        <v>158</v>
      </c>
      <c r="F35" t="str">
        <f>VLOOKUP(E35, '[1]POS Categories'!$A$1:$B$999, 2, FALSE)</f>
        <v>Personal</v>
      </c>
    </row>
    <row r="36" spans="1:6" x14ac:dyDescent="0.25">
      <c r="A36" t="s">
        <v>707</v>
      </c>
      <c r="B36">
        <v>-18.850000000000001</v>
      </c>
      <c r="C36" t="s">
        <v>385</v>
      </c>
      <c r="D36" t="s">
        <v>388</v>
      </c>
      <c r="E36" t="s">
        <v>188</v>
      </c>
      <c r="F36" t="str">
        <f>VLOOKUP(E36, '[1]POS Categories'!$A$1:$B$999, 2, FALSE)</f>
        <v>Food</v>
      </c>
    </row>
    <row r="37" spans="1:6" x14ac:dyDescent="0.25">
      <c r="A37" t="s">
        <v>707</v>
      </c>
      <c r="B37">
        <v>-32</v>
      </c>
      <c r="C37" t="s">
        <v>385</v>
      </c>
      <c r="D37" t="s">
        <v>388</v>
      </c>
      <c r="E37" t="s">
        <v>189</v>
      </c>
      <c r="F37" t="str">
        <f>VLOOKUP(E37, '[1]POS Categories'!$A$1:$B$999, 2, FALSE)</f>
        <v>Food</v>
      </c>
    </row>
    <row r="38" spans="1:6" x14ac:dyDescent="0.25">
      <c r="A38" t="s">
        <v>707</v>
      </c>
      <c r="B38">
        <v>-106.55</v>
      </c>
      <c r="C38" t="s">
        <v>385</v>
      </c>
      <c r="D38" t="s">
        <v>388</v>
      </c>
      <c r="E38" t="s">
        <v>265</v>
      </c>
      <c r="F38" t="s">
        <v>193</v>
      </c>
    </row>
    <row r="39" spans="1:6" x14ac:dyDescent="0.25">
      <c r="A39" t="s">
        <v>707</v>
      </c>
      <c r="B39">
        <v>110</v>
      </c>
      <c r="C39" t="s">
        <v>385</v>
      </c>
      <c r="D39" t="s">
        <v>467</v>
      </c>
      <c r="E39" t="s">
        <v>708</v>
      </c>
      <c r="F39" t="s">
        <v>193</v>
      </c>
    </row>
    <row r="40" spans="1:6" x14ac:dyDescent="0.25">
      <c r="A40" t="s">
        <v>709</v>
      </c>
      <c r="B40">
        <v>-12.41</v>
      </c>
      <c r="C40" t="s">
        <v>385</v>
      </c>
      <c r="D40" t="s">
        <v>388</v>
      </c>
      <c r="E40" t="s">
        <v>171</v>
      </c>
      <c r="F40" t="str">
        <f>VLOOKUP(E40, '[1]POS Categories'!$A$1:$B$999, 2, FALSE)</f>
        <v>Food</v>
      </c>
    </row>
    <row r="41" spans="1:6" x14ac:dyDescent="0.25">
      <c r="A41" t="s">
        <v>709</v>
      </c>
      <c r="B41">
        <v>-101.18</v>
      </c>
      <c r="C41" t="s">
        <v>385</v>
      </c>
      <c r="D41" t="s">
        <v>388</v>
      </c>
      <c r="E41" t="s">
        <v>411</v>
      </c>
      <c r="F41" t="str">
        <f>VLOOKUP(E41, '[1]POS Categories'!$A$1:$B$999, 2, FALSE)</f>
        <v>Sasktel</v>
      </c>
    </row>
    <row r="42" spans="1:6" x14ac:dyDescent="0.25">
      <c r="A42" t="s">
        <v>709</v>
      </c>
      <c r="B42">
        <v>-15.51</v>
      </c>
      <c r="C42" t="s">
        <v>385</v>
      </c>
      <c r="D42" t="s">
        <v>388</v>
      </c>
      <c r="E42" t="s">
        <v>33</v>
      </c>
      <c r="F42" t="str">
        <f>VLOOKUP(E42, '[1]POS Categories'!$A$1:$B$999, 2, FALSE)</f>
        <v>Food</v>
      </c>
    </row>
    <row r="43" spans="1:6" x14ac:dyDescent="0.25">
      <c r="A43" t="s">
        <v>709</v>
      </c>
      <c r="B43">
        <v>-14.84</v>
      </c>
      <c r="C43" t="s">
        <v>385</v>
      </c>
      <c r="D43" t="s">
        <v>388</v>
      </c>
      <c r="E43" t="s">
        <v>190</v>
      </c>
      <c r="F43" t="str">
        <f>VLOOKUP(E43, '[1]POS Categories'!$A$1:$B$999, 2, FALSE)</f>
        <v>Food</v>
      </c>
    </row>
    <row r="44" spans="1:6" x14ac:dyDescent="0.25">
      <c r="A44" t="s">
        <v>710</v>
      </c>
      <c r="B44">
        <v>-4.75</v>
      </c>
      <c r="C44" t="s">
        <v>385</v>
      </c>
      <c r="D44" t="s">
        <v>388</v>
      </c>
      <c r="E44" t="s">
        <v>408</v>
      </c>
      <c r="F44" t="str">
        <f>VLOOKUP(E44, '[1]POS Categories'!$A$1:$B$999, 2, FALSE)</f>
        <v>Food</v>
      </c>
    </row>
    <row r="45" spans="1:6" x14ac:dyDescent="0.25">
      <c r="A45" t="s">
        <v>710</v>
      </c>
      <c r="B45">
        <v>-33.99</v>
      </c>
      <c r="C45" t="s">
        <v>385</v>
      </c>
      <c r="D45" t="s">
        <v>388</v>
      </c>
      <c r="E45" t="s">
        <v>22</v>
      </c>
      <c r="F45" t="str">
        <f>VLOOKUP(E45, '[1]POS Categories'!$A$1:$B$999, 2, FALSE)</f>
        <v>Entertainment</v>
      </c>
    </row>
    <row r="46" spans="1:6" x14ac:dyDescent="0.25">
      <c r="A46" t="s">
        <v>711</v>
      </c>
      <c r="B46">
        <v>-30.26</v>
      </c>
      <c r="C46" t="s">
        <v>385</v>
      </c>
      <c r="D46" t="s">
        <v>388</v>
      </c>
      <c r="E46" t="s">
        <v>191</v>
      </c>
      <c r="F46" t="str">
        <f>VLOOKUP(E46, '[1]POS Categories'!$A$1:$B$999, 2, FALSE)</f>
        <v>Food</v>
      </c>
    </row>
    <row r="47" spans="1:6" x14ac:dyDescent="0.25">
      <c r="A47" t="s">
        <v>712</v>
      </c>
      <c r="B47">
        <v>-9.3000000000000007</v>
      </c>
      <c r="C47" t="s">
        <v>385</v>
      </c>
      <c r="D47" t="s">
        <v>388</v>
      </c>
      <c r="E47" t="s">
        <v>171</v>
      </c>
      <c r="F47" t="str">
        <f>VLOOKUP(E47, '[1]POS Categories'!$A$1:$B$999, 2, FALSE)</f>
        <v>Food</v>
      </c>
    </row>
    <row r="48" spans="1:6" x14ac:dyDescent="0.25">
      <c r="A48" t="s">
        <v>712</v>
      </c>
      <c r="B48">
        <v>-13.22</v>
      </c>
      <c r="C48" t="s">
        <v>385</v>
      </c>
      <c r="D48" t="s">
        <v>388</v>
      </c>
      <c r="E48" t="s">
        <v>192</v>
      </c>
      <c r="F48" t="str">
        <f>VLOOKUP(E48, '[1]POS Categories'!$A$1:$B$999, 2, FALSE)</f>
        <v>Bills</v>
      </c>
    </row>
    <row r="49" spans="1:6" x14ac:dyDescent="0.25">
      <c r="A49" t="s">
        <v>712</v>
      </c>
      <c r="B49">
        <v>-3.39</v>
      </c>
      <c r="C49" t="s">
        <v>385</v>
      </c>
      <c r="D49" t="s">
        <v>388</v>
      </c>
      <c r="E49" t="s">
        <v>49</v>
      </c>
      <c r="F49" t="str">
        <f>VLOOKUP(E49, '[1]POS Categories'!$A$1:$B$999, 2, FALSE)</f>
        <v>Entertainment</v>
      </c>
    </row>
    <row r="50" spans="1:6" x14ac:dyDescent="0.25">
      <c r="A50" t="s">
        <v>713</v>
      </c>
      <c r="B50">
        <v>-1200</v>
      </c>
      <c r="C50" t="s">
        <v>385</v>
      </c>
      <c r="D50" t="s">
        <v>414</v>
      </c>
      <c r="E50" t="s">
        <v>156</v>
      </c>
      <c r="F50" t="str">
        <f>VLOOKUP(E50, '[1]POS Categories'!$A$1:$B$999, 2, FALSE)</f>
        <v>Rent</v>
      </c>
    </row>
    <row r="51" spans="1:6" x14ac:dyDescent="0.25">
      <c r="A51" t="s">
        <v>713</v>
      </c>
      <c r="B51">
        <v>-50.04</v>
      </c>
      <c r="C51" t="s">
        <v>385</v>
      </c>
      <c r="D51" t="s">
        <v>388</v>
      </c>
      <c r="E51" t="s">
        <v>33</v>
      </c>
      <c r="F51" t="str">
        <f>VLOOKUP(E51, '[1]POS Categories'!$A$1:$B$999, 2, FALSE)</f>
        <v>Food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2"/>
  <sheetViews>
    <sheetView topLeftCell="A17" workbookViewId="0">
      <selection activeCell="F2" sqref="F2"/>
    </sheetView>
  </sheetViews>
  <sheetFormatPr defaultRowHeight="15" x14ac:dyDescent="0.25"/>
  <cols>
    <col min="1" max="1" width="10.7109375" bestFit="1" customWidth="1"/>
    <col min="2" max="2" width="13.42578125" customWidth="1"/>
    <col min="3" max="3" width="9.42578125" customWidth="1"/>
    <col min="4" max="4" width="23.28515625" bestFit="1" customWidth="1"/>
    <col min="5" max="5" width="34.42578125" bestFit="1" customWidth="1"/>
    <col min="6" max="6" width="15.5703125" customWidth="1"/>
  </cols>
  <sheetData>
    <row r="1" spans="1:6" x14ac:dyDescent="0.25">
      <c r="A1" t="s">
        <v>714</v>
      </c>
      <c r="B1">
        <v>-26.84</v>
      </c>
      <c r="C1" t="s">
        <v>385</v>
      </c>
      <c r="D1" t="s">
        <v>388</v>
      </c>
      <c r="E1" t="s">
        <v>171</v>
      </c>
      <c r="F1" t="str">
        <f>VLOOKUP(E1, '[1]POS Categories'!$A$1:$B$999, 2, FALSE)</f>
        <v>Food</v>
      </c>
    </row>
    <row r="2" spans="1:6" x14ac:dyDescent="0.25">
      <c r="A2" t="s">
        <v>714</v>
      </c>
      <c r="B2">
        <v>2041</v>
      </c>
      <c r="C2" t="s">
        <v>385</v>
      </c>
      <c r="D2" t="s">
        <v>386</v>
      </c>
      <c r="E2" t="s">
        <v>387</v>
      </c>
      <c r="F2" t="str">
        <f>VLOOKUP(E2, '[1]POS Categories'!$A$1:$B$999, 2, FALSE)</f>
        <v>Job</v>
      </c>
    </row>
    <row r="3" spans="1:6" x14ac:dyDescent="0.25">
      <c r="A3" t="s">
        <v>714</v>
      </c>
      <c r="B3">
        <v>-26.16</v>
      </c>
      <c r="C3" t="s">
        <v>385</v>
      </c>
      <c r="D3" t="s">
        <v>388</v>
      </c>
      <c r="E3" t="s">
        <v>172</v>
      </c>
      <c r="F3" t="str">
        <f>VLOOKUP(E3, '[1]POS Categories'!$A$1:$B$999, 2, FALSE)</f>
        <v>Food</v>
      </c>
    </row>
    <row r="4" spans="1:6" x14ac:dyDescent="0.25">
      <c r="A4" t="s">
        <v>715</v>
      </c>
      <c r="B4">
        <v>-18.989999999999998</v>
      </c>
      <c r="C4" t="s">
        <v>385</v>
      </c>
      <c r="D4" t="s">
        <v>388</v>
      </c>
      <c r="E4" t="s">
        <v>452</v>
      </c>
      <c r="F4" t="str">
        <f>VLOOKUP(E4, '[1]POS Categories'!$A$1:$B$999, 2, FALSE)</f>
        <v>Food</v>
      </c>
    </row>
    <row r="5" spans="1:6" x14ac:dyDescent="0.25">
      <c r="A5" t="s">
        <v>715</v>
      </c>
      <c r="B5">
        <v>-859.78</v>
      </c>
      <c r="C5" t="s">
        <v>385</v>
      </c>
      <c r="D5" t="s">
        <v>400</v>
      </c>
      <c r="E5" t="s">
        <v>249</v>
      </c>
      <c r="F5" t="str">
        <f>VLOOKUP(E5, '[1]POS Categories'!$A$1:$B$999, 2, FALSE)</f>
        <v>Misc</v>
      </c>
    </row>
    <row r="6" spans="1:6" x14ac:dyDescent="0.25">
      <c r="A6" t="s">
        <v>715</v>
      </c>
      <c r="B6">
        <v>-40.83</v>
      </c>
      <c r="C6" t="s">
        <v>385</v>
      </c>
      <c r="D6" t="s">
        <v>388</v>
      </c>
      <c r="E6" t="s">
        <v>395</v>
      </c>
      <c r="F6" t="str">
        <f>VLOOKUP(E6, '[1]POS Categories'!$A$1:$B$999, 2, FALSE)</f>
        <v>Vehicle</v>
      </c>
    </row>
    <row r="7" spans="1:6" x14ac:dyDescent="0.25">
      <c r="A7" t="s">
        <v>715</v>
      </c>
      <c r="B7">
        <v>-103.18</v>
      </c>
      <c r="C7" t="s">
        <v>385</v>
      </c>
      <c r="D7" t="s">
        <v>388</v>
      </c>
      <c r="E7" t="s">
        <v>420</v>
      </c>
      <c r="F7" t="str">
        <f>VLOOKUP(E7, '[1]POS Categories'!$A$1:$B$999, 2, FALSE)</f>
        <v>Home</v>
      </c>
    </row>
    <row r="8" spans="1:6" x14ac:dyDescent="0.25">
      <c r="A8" t="s">
        <v>715</v>
      </c>
      <c r="B8">
        <v>-6.86</v>
      </c>
      <c r="C8" t="s">
        <v>385</v>
      </c>
      <c r="D8" t="s">
        <v>388</v>
      </c>
      <c r="E8" t="s">
        <v>408</v>
      </c>
      <c r="F8" t="str">
        <f>VLOOKUP(E8, '[1]POS Categories'!$A$1:$B$999, 2, FALSE)</f>
        <v>Food</v>
      </c>
    </row>
    <row r="9" spans="1:6" x14ac:dyDescent="0.25">
      <c r="A9" t="s">
        <v>716</v>
      </c>
      <c r="B9">
        <v>-13.3</v>
      </c>
      <c r="C9" t="s">
        <v>385</v>
      </c>
      <c r="D9" t="s">
        <v>388</v>
      </c>
      <c r="E9" t="s">
        <v>149</v>
      </c>
      <c r="F9" t="str">
        <f>VLOOKUP(E9, '[1]POS Categories'!$A$1:$B$999, 2, FALSE)</f>
        <v>Food</v>
      </c>
    </row>
    <row r="10" spans="1:6" x14ac:dyDescent="0.25">
      <c r="A10" t="s">
        <v>717</v>
      </c>
      <c r="B10">
        <v>-68.02</v>
      </c>
      <c r="C10" t="s">
        <v>385</v>
      </c>
      <c r="D10" t="s">
        <v>388</v>
      </c>
      <c r="E10" t="s">
        <v>157</v>
      </c>
      <c r="F10" t="str">
        <f>VLOOKUP(E10, '[1]POS Categories'!$A$1:$B$999, 2, FALSE)</f>
        <v>Personal</v>
      </c>
    </row>
    <row r="11" spans="1:6" x14ac:dyDescent="0.25">
      <c r="A11" t="s">
        <v>717</v>
      </c>
      <c r="B11">
        <v>-93.73</v>
      </c>
      <c r="C11" t="s">
        <v>385</v>
      </c>
      <c r="D11" t="s">
        <v>388</v>
      </c>
      <c r="E11" t="s">
        <v>173</v>
      </c>
      <c r="F11" t="str">
        <f>VLOOKUP(E11, '[1]POS Categories'!$A$1:$B$999, 2, FALSE)</f>
        <v>Entertainment</v>
      </c>
    </row>
    <row r="12" spans="1:6" x14ac:dyDescent="0.25">
      <c r="A12" t="s">
        <v>717</v>
      </c>
      <c r="B12">
        <v>-31.05</v>
      </c>
      <c r="C12" t="s">
        <v>385</v>
      </c>
      <c r="D12" t="s">
        <v>388</v>
      </c>
      <c r="E12" t="s">
        <v>158</v>
      </c>
      <c r="F12" t="str">
        <f>VLOOKUP(E12, '[1]POS Categories'!$A$1:$B$999, 2, FALSE)</f>
        <v>Personal</v>
      </c>
    </row>
    <row r="13" spans="1:6" x14ac:dyDescent="0.25">
      <c r="A13" t="s">
        <v>718</v>
      </c>
      <c r="B13">
        <v>-23.2</v>
      </c>
      <c r="C13" t="s">
        <v>385</v>
      </c>
      <c r="D13" t="s">
        <v>388</v>
      </c>
      <c r="E13" t="s">
        <v>160</v>
      </c>
      <c r="F13" t="str">
        <f>VLOOKUP(E13, '[1]POS Categories'!$A$1:$B$999, 2, FALSE)</f>
        <v>Personal</v>
      </c>
    </row>
    <row r="14" spans="1:6" x14ac:dyDescent="0.25">
      <c r="A14" t="s">
        <v>719</v>
      </c>
      <c r="B14">
        <v>-10.53</v>
      </c>
      <c r="C14" t="s">
        <v>385</v>
      </c>
      <c r="D14" t="s">
        <v>388</v>
      </c>
      <c r="E14" t="s">
        <v>174</v>
      </c>
      <c r="F14" t="str">
        <f>VLOOKUP(E14, '[1]POS Categories'!$A$1:$B$999, 2, FALSE)</f>
        <v>Food</v>
      </c>
    </row>
    <row r="15" spans="1:6" x14ac:dyDescent="0.25">
      <c r="A15" t="s">
        <v>719</v>
      </c>
      <c r="B15">
        <v>-17.739999999999998</v>
      </c>
      <c r="C15" t="s">
        <v>385</v>
      </c>
      <c r="D15" t="s">
        <v>388</v>
      </c>
      <c r="E15" t="s">
        <v>160</v>
      </c>
      <c r="F15" t="str">
        <f>VLOOKUP(E15, '[1]POS Categories'!$A$1:$B$999, 2, FALSE)</f>
        <v>Personal</v>
      </c>
    </row>
    <row r="16" spans="1:6" x14ac:dyDescent="0.25">
      <c r="A16" t="s">
        <v>720</v>
      </c>
      <c r="B16">
        <v>-91.87</v>
      </c>
      <c r="C16" t="s">
        <v>385</v>
      </c>
      <c r="D16" t="s">
        <v>388</v>
      </c>
      <c r="E16" t="s">
        <v>33</v>
      </c>
      <c r="F16" t="str">
        <f>VLOOKUP(E16, '[1]POS Categories'!$A$1:$B$999, 2, FALSE)</f>
        <v>Food</v>
      </c>
    </row>
    <row r="17" spans="1:6" x14ac:dyDescent="0.25">
      <c r="A17" t="s">
        <v>721</v>
      </c>
      <c r="B17">
        <v>-37.79</v>
      </c>
      <c r="C17" t="s">
        <v>385</v>
      </c>
      <c r="D17" t="s">
        <v>388</v>
      </c>
      <c r="E17" t="s">
        <v>142</v>
      </c>
      <c r="F17" t="str">
        <f>VLOOKUP(E17, '[1]POS Categories'!$A$1:$B$999, 2, FALSE)</f>
        <v>Food</v>
      </c>
    </row>
    <row r="18" spans="1:6" x14ac:dyDescent="0.25">
      <c r="A18" t="s">
        <v>721</v>
      </c>
      <c r="B18">
        <v>-6.06</v>
      </c>
      <c r="C18" t="s">
        <v>385</v>
      </c>
      <c r="D18" t="s">
        <v>388</v>
      </c>
      <c r="E18" t="s">
        <v>163</v>
      </c>
      <c r="F18" t="str">
        <f>VLOOKUP(E18, '[1]POS Categories'!$A$1:$B$999, 2, FALSE)</f>
        <v>Vehicle</v>
      </c>
    </row>
    <row r="19" spans="1:6" x14ac:dyDescent="0.25">
      <c r="A19" t="s">
        <v>721</v>
      </c>
      <c r="B19">
        <v>-35.94</v>
      </c>
      <c r="C19" t="s">
        <v>385</v>
      </c>
      <c r="D19" t="s">
        <v>388</v>
      </c>
      <c r="E19" t="s">
        <v>118</v>
      </c>
      <c r="F19" t="str">
        <f>VLOOKUP(E19, '[1]POS Categories'!$A$1:$B$999, 2, FALSE)</f>
        <v>Food</v>
      </c>
    </row>
    <row r="20" spans="1:6" x14ac:dyDescent="0.25">
      <c r="A20" t="s">
        <v>721</v>
      </c>
      <c r="B20">
        <v>-61</v>
      </c>
      <c r="C20" t="s">
        <v>385</v>
      </c>
      <c r="D20" t="s">
        <v>388</v>
      </c>
      <c r="E20" t="s">
        <v>175</v>
      </c>
      <c r="F20" t="str">
        <f>VLOOKUP(E20, '[1]POS Categories'!$A$1:$B$999, 2, FALSE)</f>
        <v>Sasktel</v>
      </c>
    </row>
    <row r="21" spans="1:6" x14ac:dyDescent="0.25">
      <c r="A21" t="s">
        <v>722</v>
      </c>
      <c r="B21">
        <v>-7.49</v>
      </c>
      <c r="C21" t="s">
        <v>385</v>
      </c>
      <c r="D21" t="s">
        <v>388</v>
      </c>
      <c r="E21" t="s">
        <v>25</v>
      </c>
      <c r="F21" t="str">
        <f>VLOOKUP(E21, '[1]POS Categories'!$A$1:$B$999, 2, FALSE)</f>
        <v>Food</v>
      </c>
    </row>
    <row r="22" spans="1:6" x14ac:dyDescent="0.25">
      <c r="A22" t="s">
        <v>723</v>
      </c>
      <c r="B22">
        <v>2143.96</v>
      </c>
      <c r="C22" t="s">
        <v>385</v>
      </c>
      <c r="D22" t="s">
        <v>386</v>
      </c>
      <c r="E22" t="s">
        <v>387</v>
      </c>
      <c r="F22" t="str">
        <f>VLOOKUP(E22, '[1]POS Categories'!$A$1:$B$999, 2, FALSE)</f>
        <v>Job</v>
      </c>
    </row>
    <row r="23" spans="1:6" x14ac:dyDescent="0.25">
      <c r="A23" t="s">
        <v>724</v>
      </c>
      <c r="B23">
        <v>-4.28</v>
      </c>
      <c r="C23" t="s">
        <v>385</v>
      </c>
      <c r="D23" t="s">
        <v>388</v>
      </c>
      <c r="E23" t="s">
        <v>154</v>
      </c>
      <c r="F23" t="str">
        <f>VLOOKUP(E23, '[1]POS Categories'!$A$1:$B$999, 2, FALSE)</f>
        <v>Food</v>
      </c>
    </row>
    <row r="24" spans="1:6" x14ac:dyDescent="0.25">
      <c r="A24" t="s">
        <v>724</v>
      </c>
      <c r="B24">
        <v>-60.92</v>
      </c>
      <c r="C24" t="s">
        <v>385</v>
      </c>
      <c r="D24" t="s">
        <v>388</v>
      </c>
      <c r="E24" t="s">
        <v>165</v>
      </c>
      <c r="F24" t="str">
        <f>VLOOKUP(E24, '[1]POS Categories'!$A$1:$B$999, 2, FALSE)</f>
        <v>Personal</v>
      </c>
    </row>
    <row r="25" spans="1:6" x14ac:dyDescent="0.25">
      <c r="A25" t="s">
        <v>724</v>
      </c>
      <c r="B25">
        <v>-21.96</v>
      </c>
      <c r="C25" t="s">
        <v>385</v>
      </c>
      <c r="D25" t="s">
        <v>388</v>
      </c>
      <c r="E25" t="s">
        <v>696</v>
      </c>
      <c r="F25" t="str">
        <f>VLOOKUP(E25, '[1]POS Categories'!$A$1:$B$999, 2, FALSE)</f>
        <v>Food</v>
      </c>
    </row>
    <row r="26" spans="1:6" x14ac:dyDescent="0.25">
      <c r="A26" t="s">
        <v>724</v>
      </c>
      <c r="B26">
        <v>-36.61</v>
      </c>
      <c r="C26" t="s">
        <v>385</v>
      </c>
      <c r="D26" t="s">
        <v>388</v>
      </c>
      <c r="E26" t="s">
        <v>176</v>
      </c>
      <c r="F26" t="str">
        <f>VLOOKUP(E26, '[1]POS Categories'!$A$1:$B$999, 2, FALSE)</f>
        <v>Personal</v>
      </c>
    </row>
    <row r="27" spans="1:6" x14ac:dyDescent="0.25">
      <c r="A27" t="s">
        <v>724</v>
      </c>
      <c r="B27">
        <v>-10.02</v>
      </c>
      <c r="C27" t="s">
        <v>385</v>
      </c>
      <c r="D27" t="s">
        <v>388</v>
      </c>
      <c r="E27" t="s">
        <v>395</v>
      </c>
      <c r="F27" t="str">
        <f>VLOOKUP(E27, '[1]POS Categories'!$A$1:$B$999, 2, FALSE)</f>
        <v>Vehicle</v>
      </c>
    </row>
    <row r="28" spans="1:6" x14ac:dyDescent="0.25">
      <c r="A28" t="s">
        <v>724</v>
      </c>
      <c r="B28">
        <v>-15.64</v>
      </c>
      <c r="C28" t="s">
        <v>385</v>
      </c>
      <c r="D28" t="s">
        <v>388</v>
      </c>
      <c r="E28" t="s">
        <v>395</v>
      </c>
      <c r="F28" t="str">
        <f>VLOOKUP(E28, '[1]POS Categories'!$A$1:$B$999, 2, FALSE)</f>
        <v>Vehicle</v>
      </c>
    </row>
    <row r="29" spans="1:6" x14ac:dyDescent="0.25">
      <c r="A29" t="s">
        <v>724</v>
      </c>
      <c r="B29">
        <v>-40</v>
      </c>
      <c r="C29" t="s">
        <v>385</v>
      </c>
      <c r="D29" t="s">
        <v>435</v>
      </c>
      <c r="E29" t="s">
        <v>177</v>
      </c>
      <c r="F29" t="str">
        <f>VLOOKUP(E29, '[1]POS Categories'!$A$1:$B$999, 2, FALSE)</f>
        <v>Power</v>
      </c>
    </row>
    <row r="30" spans="1:6" x14ac:dyDescent="0.25">
      <c r="A30" t="s">
        <v>724</v>
      </c>
      <c r="B30">
        <v>-28.51</v>
      </c>
      <c r="C30" t="s">
        <v>385</v>
      </c>
      <c r="D30" t="s">
        <v>388</v>
      </c>
      <c r="E30" t="s">
        <v>178</v>
      </c>
      <c r="F30" t="str">
        <f>VLOOKUP(E30, '[1]POS Categories'!$A$1:$B$999, 2, FALSE)</f>
        <v>Food</v>
      </c>
    </row>
    <row r="31" spans="1:6" x14ac:dyDescent="0.25">
      <c r="A31" t="s">
        <v>724</v>
      </c>
      <c r="B31">
        <v>-39.89</v>
      </c>
      <c r="C31" t="s">
        <v>385</v>
      </c>
      <c r="D31" t="s">
        <v>388</v>
      </c>
      <c r="E31" t="s">
        <v>158</v>
      </c>
      <c r="F31" t="str">
        <f>VLOOKUP(E31, '[1]POS Categories'!$A$1:$B$999, 2, FALSE)</f>
        <v>Personal</v>
      </c>
    </row>
    <row r="32" spans="1:6" x14ac:dyDescent="0.25">
      <c r="A32" t="s">
        <v>724</v>
      </c>
      <c r="B32">
        <v>-19.899999999999999</v>
      </c>
      <c r="C32" t="s">
        <v>385</v>
      </c>
      <c r="D32" t="s">
        <v>388</v>
      </c>
      <c r="E32" t="s">
        <v>408</v>
      </c>
      <c r="F32" t="str">
        <f>VLOOKUP(E32, '[1]POS Categories'!$A$1:$B$999, 2, FALSE)</f>
        <v>Food</v>
      </c>
    </row>
    <row r="33" spans="1:6" x14ac:dyDescent="0.25">
      <c r="A33" t="s">
        <v>725</v>
      </c>
      <c r="B33">
        <v>-23.82</v>
      </c>
      <c r="C33" t="s">
        <v>385</v>
      </c>
      <c r="D33" t="s">
        <v>388</v>
      </c>
      <c r="E33" t="s">
        <v>157</v>
      </c>
      <c r="F33" t="str">
        <f>VLOOKUP(E33, '[1]POS Categories'!$A$1:$B$999, 2, FALSE)</f>
        <v>Personal</v>
      </c>
    </row>
    <row r="34" spans="1:6" x14ac:dyDescent="0.25">
      <c r="A34" t="s">
        <v>726</v>
      </c>
      <c r="B34">
        <v>-14.85</v>
      </c>
      <c r="C34" t="s">
        <v>385</v>
      </c>
      <c r="D34" t="s">
        <v>388</v>
      </c>
      <c r="E34" t="s">
        <v>149</v>
      </c>
      <c r="F34" t="str">
        <f>VLOOKUP(E34, '[1]POS Categories'!$A$1:$B$999, 2, FALSE)</f>
        <v>Food</v>
      </c>
    </row>
    <row r="35" spans="1:6" x14ac:dyDescent="0.25">
      <c r="A35" t="s">
        <v>726</v>
      </c>
      <c r="B35">
        <v>-43.71</v>
      </c>
      <c r="C35" t="s">
        <v>385</v>
      </c>
      <c r="D35" t="s">
        <v>388</v>
      </c>
      <c r="E35" t="s">
        <v>395</v>
      </c>
      <c r="F35" t="str">
        <f>VLOOKUP(E35, '[1]POS Categories'!$A$1:$B$999, 2, FALSE)</f>
        <v>Vehicle</v>
      </c>
    </row>
    <row r="36" spans="1:6" x14ac:dyDescent="0.25">
      <c r="A36" t="s">
        <v>726</v>
      </c>
      <c r="B36">
        <v>-19.41</v>
      </c>
      <c r="C36" t="s">
        <v>385</v>
      </c>
      <c r="D36" t="s">
        <v>388</v>
      </c>
      <c r="E36" t="s">
        <v>160</v>
      </c>
      <c r="F36" t="str">
        <f>VLOOKUP(E36, '[1]POS Categories'!$A$1:$B$999, 2, FALSE)</f>
        <v>Personal</v>
      </c>
    </row>
    <row r="37" spans="1:6" x14ac:dyDescent="0.25">
      <c r="A37" t="s">
        <v>727</v>
      </c>
      <c r="B37">
        <v>-11.97</v>
      </c>
      <c r="C37" t="s">
        <v>385</v>
      </c>
      <c r="D37" t="s">
        <v>388</v>
      </c>
      <c r="E37" t="s">
        <v>171</v>
      </c>
      <c r="F37" t="str">
        <f>VLOOKUP(E37, '[1]POS Categories'!$A$1:$B$999, 2, FALSE)</f>
        <v>Food</v>
      </c>
    </row>
    <row r="38" spans="1:6" x14ac:dyDescent="0.25">
      <c r="A38" t="s">
        <v>727</v>
      </c>
      <c r="B38">
        <v>-56.78</v>
      </c>
      <c r="C38" t="s">
        <v>385</v>
      </c>
      <c r="D38" t="s">
        <v>388</v>
      </c>
      <c r="E38" t="s">
        <v>411</v>
      </c>
      <c r="F38" t="str">
        <f>VLOOKUP(E38, '[1]POS Categories'!$A$1:$B$999, 2, FALSE)</f>
        <v>Sasktel</v>
      </c>
    </row>
    <row r="39" spans="1:6" x14ac:dyDescent="0.25">
      <c r="A39" t="s">
        <v>728</v>
      </c>
      <c r="B39">
        <v>-4.75</v>
      </c>
      <c r="C39" t="s">
        <v>385</v>
      </c>
      <c r="D39" t="s">
        <v>388</v>
      </c>
      <c r="E39" t="s">
        <v>179</v>
      </c>
      <c r="F39" t="str">
        <f>VLOOKUP(E39, '[1]POS Categories'!$A$1:$B$999, 2, FALSE)</f>
        <v>Food</v>
      </c>
    </row>
    <row r="40" spans="1:6" x14ac:dyDescent="0.25">
      <c r="A40" t="s">
        <v>729</v>
      </c>
      <c r="B40">
        <v>-1200</v>
      </c>
      <c r="C40" t="s">
        <v>385</v>
      </c>
      <c r="D40" t="s">
        <v>414</v>
      </c>
      <c r="E40" t="s">
        <v>156</v>
      </c>
      <c r="F40" t="str">
        <f>VLOOKUP(E40, '[1]POS Categories'!$A$1:$B$999, 2, FALSE)</f>
        <v>Rent</v>
      </c>
    </row>
    <row r="41" spans="1:6" x14ac:dyDescent="0.25">
      <c r="A41" t="s">
        <v>729</v>
      </c>
      <c r="B41">
        <v>-17.399999999999999</v>
      </c>
      <c r="C41" t="s">
        <v>385</v>
      </c>
      <c r="D41" t="s">
        <v>388</v>
      </c>
      <c r="E41" t="s">
        <v>8</v>
      </c>
      <c r="F41" t="str">
        <f>VLOOKUP(E41, '[1]POS Categories'!$A$1:$B$999, 2, FALSE)</f>
        <v>Food</v>
      </c>
    </row>
    <row r="42" spans="1:6" x14ac:dyDescent="0.25">
      <c r="A42" t="s">
        <v>729</v>
      </c>
      <c r="B42">
        <v>-14.02</v>
      </c>
      <c r="C42" t="s">
        <v>385</v>
      </c>
      <c r="D42" t="s">
        <v>388</v>
      </c>
      <c r="E42" t="s">
        <v>180</v>
      </c>
      <c r="F42" t="str">
        <f>VLOOKUP(E42, '[1]POS Categories'!$A$1:$B$999, 2, FALSE)</f>
        <v>Entertainment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2"/>
  <sheetViews>
    <sheetView workbookViewId="0">
      <selection activeCell="A29" sqref="A29"/>
    </sheetView>
  </sheetViews>
  <sheetFormatPr defaultRowHeight="15" x14ac:dyDescent="0.25"/>
  <cols>
    <col min="1" max="1" width="10.7109375" bestFit="1" customWidth="1"/>
    <col min="4" max="4" width="23.28515625" bestFit="1" customWidth="1"/>
    <col min="5" max="5" width="34.28515625" bestFit="1" customWidth="1"/>
  </cols>
  <sheetData>
    <row r="1" spans="1:6" x14ac:dyDescent="0.25">
      <c r="A1" t="s">
        <v>730</v>
      </c>
      <c r="B1">
        <v>-10.47</v>
      </c>
      <c r="C1" t="s">
        <v>385</v>
      </c>
      <c r="D1" t="s">
        <v>388</v>
      </c>
      <c r="E1" t="s">
        <v>33</v>
      </c>
      <c r="F1" t="str">
        <f>VLOOKUP(E1, '[1]POS Categories'!$A$1:$B$999, 2, FALSE)</f>
        <v>Food</v>
      </c>
    </row>
    <row r="2" spans="1:6" x14ac:dyDescent="0.25">
      <c r="A2" t="s">
        <v>730</v>
      </c>
      <c r="B2">
        <v>-3.27</v>
      </c>
      <c r="C2" t="s">
        <v>385</v>
      </c>
      <c r="D2" t="s">
        <v>388</v>
      </c>
      <c r="E2" t="s">
        <v>157</v>
      </c>
      <c r="F2" t="str">
        <f>VLOOKUP(E2, '[1]POS Categories'!$A$1:$B$999, 2, FALSE)</f>
        <v>Personal</v>
      </c>
    </row>
    <row r="3" spans="1:6" x14ac:dyDescent="0.25">
      <c r="A3" t="s">
        <v>730</v>
      </c>
      <c r="B3">
        <v>-38</v>
      </c>
      <c r="C3" t="s">
        <v>385</v>
      </c>
      <c r="D3" t="s">
        <v>388</v>
      </c>
      <c r="E3" t="s">
        <v>158</v>
      </c>
      <c r="F3" t="str">
        <f>VLOOKUP(E3, '[1]POS Categories'!$A$1:$B$999, 2, FALSE)</f>
        <v>Personal</v>
      </c>
    </row>
    <row r="4" spans="1:6" x14ac:dyDescent="0.25">
      <c r="A4" t="s">
        <v>730</v>
      </c>
      <c r="B4">
        <v>-134.26</v>
      </c>
      <c r="C4" t="s">
        <v>385</v>
      </c>
      <c r="D4" t="s">
        <v>388</v>
      </c>
      <c r="E4" t="s">
        <v>157</v>
      </c>
      <c r="F4" t="str">
        <f>VLOOKUP(E4, '[1]POS Categories'!$A$1:$B$999, 2, FALSE)</f>
        <v>Personal</v>
      </c>
    </row>
    <row r="5" spans="1:6" x14ac:dyDescent="0.25">
      <c r="A5" t="s">
        <v>731</v>
      </c>
      <c r="B5">
        <v>2041</v>
      </c>
      <c r="C5" t="s">
        <v>385</v>
      </c>
      <c r="D5" t="s">
        <v>386</v>
      </c>
      <c r="E5" t="s">
        <v>387</v>
      </c>
      <c r="F5" t="str">
        <f>VLOOKUP(E5, '[1]POS Categories'!$A$1:$B$999, 2, FALSE)</f>
        <v>Job</v>
      </c>
    </row>
    <row r="6" spans="1:6" x14ac:dyDescent="0.25">
      <c r="A6" t="s">
        <v>732</v>
      </c>
      <c r="B6">
        <v>-50.94</v>
      </c>
      <c r="C6" t="s">
        <v>385</v>
      </c>
      <c r="D6" t="s">
        <v>388</v>
      </c>
      <c r="E6" t="s">
        <v>49</v>
      </c>
      <c r="F6" t="str">
        <f>VLOOKUP(E6, '[1]POS Categories'!$A$1:$B$999, 2, FALSE)</f>
        <v>Entertainment</v>
      </c>
    </row>
    <row r="7" spans="1:6" x14ac:dyDescent="0.25">
      <c r="A7" t="s">
        <v>732</v>
      </c>
      <c r="B7">
        <v>-97.71</v>
      </c>
      <c r="C7" t="s">
        <v>385</v>
      </c>
      <c r="D7" t="s">
        <v>388</v>
      </c>
      <c r="E7" t="s">
        <v>159</v>
      </c>
      <c r="F7" t="str">
        <f>VLOOKUP(E7, '[1]POS Categories'!$A$1:$B$999, 2, FALSE)</f>
        <v>Sasktel</v>
      </c>
    </row>
    <row r="8" spans="1:6" x14ac:dyDescent="0.25">
      <c r="A8" t="s">
        <v>732</v>
      </c>
      <c r="B8">
        <v>104.79</v>
      </c>
      <c r="C8" t="s">
        <v>385</v>
      </c>
      <c r="D8" t="s">
        <v>467</v>
      </c>
      <c r="E8" t="s">
        <v>637</v>
      </c>
      <c r="F8" t="str">
        <f>VLOOKUP(E8, '[1]POS Categories'!$A$1:$B$999, 2, FALSE)</f>
        <v>Misc</v>
      </c>
    </row>
    <row r="9" spans="1:6" x14ac:dyDescent="0.25">
      <c r="A9" t="s">
        <v>733</v>
      </c>
      <c r="B9">
        <v>-52.85</v>
      </c>
      <c r="C9" t="s">
        <v>385</v>
      </c>
      <c r="D9" t="s">
        <v>388</v>
      </c>
      <c r="E9" t="s">
        <v>160</v>
      </c>
      <c r="F9" t="str">
        <f>VLOOKUP(E9, '[1]POS Categories'!$A$1:$B$999, 2, FALSE)</f>
        <v>Personal</v>
      </c>
    </row>
    <row r="10" spans="1:6" x14ac:dyDescent="0.25">
      <c r="A10" t="s">
        <v>733</v>
      </c>
      <c r="B10">
        <v>-14.96</v>
      </c>
      <c r="C10" t="s">
        <v>385</v>
      </c>
      <c r="D10" t="s">
        <v>388</v>
      </c>
      <c r="E10" t="s">
        <v>33</v>
      </c>
      <c r="F10" t="str">
        <f>VLOOKUP(E10, '[1]POS Categories'!$A$1:$B$999, 2, FALSE)</f>
        <v>Food</v>
      </c>
    </row>
    <row r="11" spans="1:6" x14ac:dyDescent="0.25">
      <c r="A11" t="s">
        <v>734</v>
      </c>
      <c r="B11">
        <v>-82.47</v>
      </c>
      <c r="C11" t="s">
        <v>385</v>
      </c>
      <c r="D11" t="s">
        <v>388</v>
      </c>
      <c r="E11" t="s">
        <v>161</v>
      </c>
      <c r="F11" t="str">
        <f>VLOOKUP(E11, '[1]POS Categories'!$A$1:$B$999, 2, FALSE)</f>
        <v>Food</v>
      </c>
    </row>
    <row r="12" spans="1:6" x14ac:dyDescent="0.25">
      <c r="A12" t="s">
        <v>735</v>
      </c>
      <c r="B12">
        <v>-24</v>
      </c>
      <c r="C12" t="s">
        <v>385</v>
      </c>
      <c r="D12" t="s">
        <v>400</v>
      </c>
      <c r="E12" t="s">
        <v>249</v>
      </c>
      <c r="F12" t="str">
        <f>VLOOKUP(E12, '[1]POS Categories'!$A$1:$B$999, 2, FALSE)</f>
        <v>Misc</v>
      </c>
    </row>
    <row r="13" spans="1:6" x14ac:dyDescent="0.25">
      <c r="A13" t="s">
        <v>735</v>
      </c>
      <c r="B13">
        <v>-27.43</v>
      </c>
      <c r="C13" t="s">
        <v>385</v>
      </c>
      <c r="D13" t="s">
        <v>388</v>
      </c>
      <c r="E13" t="s">
        <v>162</v>
      </c>
      <c r="F13" t="str">
        <f>VLOOKUP(E13, '[1]POS Categories'!$A$1:$B$999, 2, FALSE)</f>
        <v>Food</v>
      </c>
    </row>
    <row r="14" spans="1:6" x14ac:dyDescent="0.25">
      <c r="A14" t="s">
        <v>736</v>
      </c>
      <c r="B14">
        <v>-31.48</v>
      </c>
      <c r="C14" t="s">
        <v>385</v>
      </c>
      <c r="D14" t="s">
        <v>388</v>
      </c>
      <c r="E14" t="s">
        <v>163</v>
      </c>
      <c r="F14" t="str">
        <f>VLOOKUP(E14, '[1]POS Categories'!$A$1:$B$999, 2, FALSE)</f>
        <v>Vehicle</v>
      </c>
    </row>
    <row r="15" spans="1:6" x14ac:dyDescent="0.25">
      <c r="A15" t="s">
        <v>737</v>
      </c>
      <c r="B15">
        <v>-22.19</v>
      </c>
      <c r="C15" t="s">
        <v>385</v>
      </c>
      <c r="D15" t="s">
        <v>388</v>
      </c>
      <c r="E15" t="s">
        <v>164</v>
      </c>
      <c r="F15" t="str">
        <f>VLOOKUP(E15, '[1]POS Categories'!$A$1:$B$999, 2, FALSE)</f>
        <v>Home</v>
      </c>
    </row>
    <row r="16" spans="1:6" x14ac:dyDescent="0.25">
      <c r="A16" t="s">
        <v>738</v>
      </c>
      <c r="B16">
        <v>-22.18</v>
      </c>
      <c r="C16" t="s">
        <v>385</v>
      </c>
      <c r="D16" t="s">
        <v>388</v>
      </c>
      <c r="E16" t="s">
        <v>165</v>
      </c>
      <c r="F16" t="str">
        <f>VLOOKUP(E16, '[1]POS Categories'!$A$1:$B$999, 2, FALSE)</f>
        <v>Personal</v>
      </c>
    </row>
    <row r="17" spans="1:6" x14ac:dyDescent="0.25">
      <c r="A17" t="s">
        <v>738</v>
      </c>
      <c r="B17">
        <v>-19.29</v>
      </c>
      <c r="C17" t="s">
        <v>385</v>
      </c>
      <c r="D17" t="s">
        <v>388</v>
      </c>
      <c r="E17" t="s">
        <v>696</v>
      </c>
      <c r="F17" t="str">
        <f>VLOOKUP(E17, '[1]POS Categories'!$A$1:$B$999, 2, FALSE)</f>
        <v>Food</v>
      </c>
    </row>
    <row r="18" spans="1:6" x14ac:dyDescent="0.25">
      <c r="A18" t="s">
        <v>738</v>
      </c>
      <c r="B18">
        <v>-6.36</v>
      </c>
      <c r="C18" t="s">
        <v>385</v>
      </c>
      <c r="D18" t="s">
        <v>388</v>
      </c>
      <c r="E18" t="s">
        <v>408</v>
      </c>
      <c r="F18" t="str">
        <f>VLOOKUP(E18, '[1]POS Categories'!$A$1:$B$999, 2, FALSE)</f>
        <v>Food</v>
      </c>
    </row>
    <row r="19" spans="1:6" x14ac:dyDescent="0.25">
      <c r="A19" t="s">
        <v>738</v>
      </c>
      <c r="B19">
        <v>-7.93</v>
      </c>
      <c r="C19" t="s">
        <v>385</v>
      </c>
      <c r="D19" t="s">
        <v>388</v>
      </c>
      <c r="E19" t="s">
        <v>395</v>
      </c>
      <c r="F19" t="str">
        <f>VLOOKUP(E19, '[1]POS Categories'!$A$1:$B$999, 2, FALSE)</f>
        <v>Vehicle</v>
      </c>
    </row>
    <row r="20" spans="1:6" x14ac:dyDescent="0.25">
      <c r="A20" t="s">
        <v>738</v>
      </c>
      <c r="B20">
        <v>-44.42</v>
      </c>
      <c r="C20" t="s">
        <v>385</v>
      </c>
      <c r="D20" t="s">
        <v>388</v>
      </c>
      <c r="E20" t="s">
        <v>395</v>
      </c>
      <c r="F20" t="str">
        <f>VLOOKUP(E20, '[1]POS Categories'!$A$1:$B$999, 2, FALSE)</f>
        <v>Vehicle</v>
      </c>
    </row>
    <row r="21" spans="1:6" x14ac:dyDescent="0.25">
      <c r="A21" t="s">
        <v>739</v>
      </c>
      <c r="B21">
        <v>-16.850000000000001</v>
      </c>
      <c r="C21" t="s">
        <v>385</v>
      </c>
      <c r="D21" t="s">
        <v>388</v>
      </c>
      <c r="E21" t="s">
        <v>166</v>
      </c>
      <c r="F21" t="str">
        <f>VLOOKUP(E21, '[1]POS Categories'!$A$1:$B$999, 2, FALSE)</f>
        <v>Food</v>
      </c>
    </row>
    <row r="22" spans="1:6" x14ac:dyDescent="0.25">
      <c r="A22" t="s">
        <v>740</v>
      </c>
      <c r="B22">
        <v>-96.18</v>
      </c>
      <c r="C22" t="s">
        <v>385</v>
      </c>
      <c r="D22" t="s">
        <v>388</v>
      </c>
      <c r="E22" t="s">
        <v>741</v>
      </c>
      <c r="F22" t="str">
        <f>VLOOKUP(E22, '[1]POS Categories'!$A$1:$B$999, 2, FALSE)</f>
        <v>Food</v>
      </c>
    </row>
    <row r="23" spans="1:6" x14ac:dyDescent="0.25">
      <c r="A23" t="s">
        <v>740</v>
      </c>
      <c r="B23">
        <v>-88.78</v>
      </c>
      <c r="C23" t="s">
        <v>385</v>
      </c>
      <c r="D23" t="s">
        <v>388</v>
      </c>
      <c r="E23" t="s">
        <v>44</v>
      </c>
      <c r="F23" t="str">
        <f>VLOOKUP(E23, '[1]POS Categories'!$A$1:$B$999, 2, FALSE)</f>
        <v>Home</v>
      </c>
    </row>
    <row r="24" spans="1:6" x14ac:dyDescent="0.25">
      <c r="A24" t="s">
        <v>740</v>
      </c>
      <c r="B24">
        <v>-15.85</v>
      </c>
      <c r="C24" t="s">
        <v>385</v>
      </c>
      <c r="D24" t="s">
        <v>388</v>
      </c>
      <c r="E24" t="s">
        <v>8</v>
      </c>
      <c r="F24" t="str">
        <f>VLOOKUP(E24, '[1]POS Categories'!$A$1:$B$999, 2, FALSE)</f>
        <v>Food</v>
      </c>
    </row>
    <row r="25" spans="1:6" x14ac:dyDescent="0.25">
      <c r="A25" t="s">
        <v>742</v>
      </c>
      <c r="B25">
        <v>0</v>
      </c>
      <c r="C25" t="s">
        <v>385</v>
      </c>
      <c r="D25" t="s">
        <v>743</v>
      </c>
      <c r="E25" t="s">
        <v>167</v>
      </c>
      <c r="F25" t="str">
        <f>VLOOKUP(E25, '[1]POS Categories'!$A$1:$B$999, 2, FALSE)</f>
        <v>Bills</v>
      </c>
    </row>
    <row r="26" spans="1:6" x14ac:dyDescent="0.25">
      <c r="A26" t="s">
        <v>742</v>
      </c>
      <c r="B26">
        <v>-30</v>
      </c>
      <c r="C26" t="s">
        <v>385</v>
      </c>
      <c r="D26" t="s">
        <v>466</v>
      </c>
      <c r="E26" t="s">
        <v>168</v>
      </c>
      <c r="F26" t="str">
        <f>VLOOKUP(E26, '[1]POS Categories'!$A$1:$B$999, 2, FALSE)</f>
        <v>Bills</v>
      </c>
    </row>
    <row r="27" spans="1:6" x14ac:dyDescent="0.25">
      <c r="A27" t="s">
        <v>742</v>
      </c>
      <c r="B27">
        <v>-23.31</v>
      </c>
      <c r="C27" t="s">
        <v>385</v>
      </c>
      <c r="D27" t="s">
        <v>388</v>
      </c>
      <c r="E27" t="s">
        <v>34</v>
      </c>
      <c r="F27" t="str">
        <f>VLOOKUP(E27, '[1]POS Categories'!$A$1:$B$999, 2, FALSE)</f>
        <v>Food</v>
      </c>
    </row>
    <row r="28" spans="1:6" x14ac:dyDescent="0.25">
      <c r="A28" t="s">
        <v>744</v>
      </c>
      <c r="B28">
        <v>-7.3</v>
      </c>
      <c r="C28" t="s">
        <v>385</v>
      </c>
      <c r="D28" t="s">
        <v>388</v>
      </c>
      <c r="E28" t="s">
        <v>408</v>
      </c>
      <c r="F28" t="str">
        <f>VLOOKUP(E28, '[1]POS Categories'!$A$1:$B$999, 2, FALSE)</f>
        <v>Food</v>
      </c>
    </row>
    <row r="29" spans="1:6" x14ac:dyDescent="0.25">
      <c r="A29" t="s">
        <v>745</v>
      </c>
      <c r="B29">
        <v>2143.96</v>
      </c>
      <c r="C29" t="s">
        <v>385</v>
      </c>
      <c r="D29" t="s">
        <v>386</v>
      </c>
      <c r="E29" t="s">
        <v>387</v>
      </c>
      <c r="F29" t="str">
        <f>VLOOKUP(E29, '[1]POS Categories'!$A$1:$B$999, 2, FALSE)</f>
        <v>Job</v>
      </c>
    </row>
    <row r="30" spans="1:6" x14ac:dyDescent="0.25">
      <c r="A30" t="s">
        <v>746</v>
      </c>
      <c r="B30">
        <v>-6.06</v>
      </c>
      <c r="C30" t="s">
        <v>385</v>
      </c>
      <c r="D30" t="s">
        <v>388</v>
      </c>
      <c r="E30" t="s">
        <v>163</v>
      </c>
      <c r="F30" t="str">
        <f>VLOOKUP(E30, '[1]POS Categories'!$A$1:$B$999, 2, FALSE)</f>
        <v>Vehicle</v>
      </c>
    </row>
    <row r="31" spans="1:6" x14ac:dyDescent="0.25">
      <c r="A31" t="s">
        <v>746</v>
      </c>
      <c r="B31">
        <v>-27.46</v>
      </c>
      <c r="C31" t="s">
        <v>385</v>
      </c>
      <c r="D31" t="s">
        <v>388</v>
      </c>
      <c r="E31" t="s">
        <v>118</v>
      </c>
      <c r="F31" t="str">
        <f>VLOOKUP(E31, '[1]POS Categories'!$A$1:$B$999, 2, FALSE)</f>
        <v>Food</v>
      </c>
    </row>
    <row r="32" spans="1:6" x14ac:dyDescent="0.25">
      <c r="A32" t="s">
        <v>746</v>
      </c>
      <c r="B32">
        <v>-7.52</v>
      </c>
      <c r="C32" t="s">
        <v>385</v>
      </c>
      <c r="D32" t="s">
        <v>388</v>
      </c>
      <c r="E32" t="s">
        <v>25</v>
      </c>
      <c r="F32" t="str">
        <f>VLOOKUP(E32, '[1]POS Categories'!$A$1:$B$999, 2, FALSE)</f>
        <v>Food</v>
      </c>
    </row>
    <row r="33" spans="1:6" x14ac:dyDescent="0.25">
      <c r="A33" t="s">
        <v>746</v>
      </c>
      <c r="B33">
        <v>-14.74</v>
      </c>
      <c r="C33" t="s">
        <v>385</v>
      </c>
      <c r="D33" t="s">
        <v>388</v>
      </c>
      <c r="E33" t="s">
        <v>747</v>
      </c>
      <c r="F33" t="str">
        <f>VLOOKUP(E33, '[1]POS Categories'!$A$1:$B$999, 2, FALSE)</f>
        <v>Food</v>
      </c>
    </row>
    <row r="34" spans="1:6" x14ac:dyDescent="0.25">
      <c r="A34" t="s">
        <v>748</v>
      </c>
      <c r="B34">
        <v>-9.36</v>
      </c>
      <c r="C34" t="s">
        <v>385</v>
      </c>
      <c r="D34" t="s">
        <v>388</v>
      </c>
      <c r="E34" t="s">
        <v>395</v>
      </c>
      <c r="F34" t="str">
        <f>VLOOKUP(E34, '[1]POS Categories'!$A$1:$B$999, 2, FALSE)</f>
        <v>Vehicle</v>
      </c>
    </row>
    <row r="35" spans="1:6" x14ac:dyDescent="0.25">
      <c r="A35" t="s">
        <v>748</v>
      </c>
      <c r="B35">
        <v>-43.43</v>
      </c>
      <c r="C35" t="s">
        <v>385</v>
      </c>
      <c r="D35" t="s">
        <v>388</v>
      </c>
      <c r="E35" t="s">
        <v>395</v>
      </c>
      <c r="F35" t="str">
        <f>VLOOKUP(E35, '[1]POS Categories'!$A$1:$B$999, 2, FALSE)</f>
        <v>Vehicle</v>
      </c>
    </row>
    <row r="36" spans="1:6" x14ac:dyDescent="0.25">
      <c r="A36" t="s">
        <v>749</v>
      </c>
      <c r="B36">
        <v>-206.82</v>
      </c>
      <c r="C36" t="s">
        <v>385</v>
      </c>
      <c r="D36" t="s">
        <v>388</v>
      </c>
      <c r="E36" t="s">
        <v>36</v>
      </c>
      <c r="F36" t="str">
        <f>VLOOKUP(E36, '[1]POS Categories'!$A$1:$B$999, 2, FALSE)</f>
        <v>Food</v>
      </c>
    </row>
    <row r="37" spans="1:6" x14ac:dyDescent="0.25">
      <c r="A37" t="s">
        <v>749</v>
      </c>
      <c r="B37">
        <v>-15.4</v>
      </c>
      <c r="C37" t="s">
        <v>385</v>
      </c>
      <c r="D37" t="s">
        <v>388</v>
      </c>
      <c r="E37" t="s">
        <v>169</v>
      </c>
      <c r="F37" t="str">
        <f>VLOOKUP(E37, '[1]POS Categories'!$A$1:$B$999, 2, FALSE)</f>
        <v>Food</v>
      </c>
    </row>
    <row r="38" spans="1:6" x14ac:dyDescent="0.25">
      <c r="A38" t="s">
        <v>750</v>
      </c>
      <c r="B38">
        <v>-56.78</v>
      </c>
      <c r="C38" t="s">
        <v>385</v>
      </c>
      <c r="D38" t="s">
        <v>388</v>
      </c>
      <c r="E38" t="s">
        <v>411</v>
      </c>
      <c r="F38" t="str">
        <f>VLOOKUP(E38, '[1]POS Categories'!$A$1:$B$999, 2, FALSE)</f>
        <v>Sasktel</v>
      </c>
    </row>
    <row r="39" spans="1:6" x14ac:dyDescent="0.25">
      <c r="A39" t="s">
        <v>750</v>
      </c>
      <c r="B39">
        <v>-118.13</v>
      </c>
      <c r="C39" t="s">
        <v>385</v>
      </c>
      <c r="D39" t="s">
        <v>435</v>
      </c>
      <c r="E39" t="s">
        <v>153</v>
      </c>
      <c r="F39" t="str">
        <f>VLOOKUP(E39, '[1]POS Categories'!$A$1:$B$999, 2, FALSE)</f>
        <v>Power</v>
      </c>
    </row>
    <row r="40" spans="1:6" x14ac:dyDescent="0.25">
      <c r="A40" t="s">
        <v>751</v>
      </c>
      <c r="B40">
        <v>-15.85</v>
      </c>
      <c r="C40" t="s">
        <v>385</v>
      </c>
      <c r="D40" t="s">
        <v>388</v>
      </c>
      <c r="E40" t="s">
        <v>8</v>
      </c>
      <c r="F40" t="str">
        <f>VLOOKUP(E40, '[1]POS Categories'!$A$1:$B$999, 2, FALSE)</f>
        <v>Food</v>
      </c>
    </row>
    <row r="41" spans="1:6" x14ac:dyDescent="0.25">
      <c r="A41" t="s">
        <v>752</v>
      </c>
      <c r="B41">
        <v>-12.67</v>
      </c>
      <c r="C41" t="s">
        <v>385</v>
      </c>
      <c r="D41" t="s">
        <v>388</v>
      </c>
      <c r="E41" t="s">
        <v>170</v>
      </c>
      <c r="F41" t="str">
        <f>VLOOKUP(E41, '[1]POS Categories'!$A$1:$B$999, 2, FALSE)</f>
        <v>Entertainment</v>
      </c>
    </row>
    <row r="42" spans="1:6" x14ac:dyDescent="0.25">
      <c r="A42" t="s">
        <v>753</v>
      </c>
      <c r="B42">
        <v>-1200</v>
      </c>
      <c r="C42" t="s">
        <v>385</v>
      </c>
      <c r="D42" t="s">
        <v>414</v>
      </c>
      <c r="E42" t="s">
        <v>156</v>
      </c>
      <c r="F42" t="str">
        <f>VLOOKUP(E42, '[1]POS Categories'!$A$1:$B$999, 2, FALSE)</f>
        <v>Rent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0"/>
  <sheetViews>
    <sheetView workbookViewId="0">
      <selection activeCell="F8" sqref="F8"/>
    </sheetView>
  </sheetViews>
  <sheetFormatPr defaultRowHeight="15" x14ac:dyDescent="0.25"/>
  <cols>
    <col min="4" max="4" width="23.28515625" bestFit="1" customWidth="1"/>
    <col min="5" max="5" width="36.140625" bestFit="1" customWidth="1"/>
  </cols>
  <sheetData>
    <row r="1" spans="1:6" x14ac:dyDescent="0.25">
      <c r="A1" t="s">
        <v>754</v>
      </c>
      <c r="B1">
        <v>-58.08</v>
      </c>
      <c r="C1" t="s">
        <v>385</v>
      </c>
      <c r="D1" t="s">
        <v>388</v>
      </c>
      <c r="E1" t="s">
        <v>33</v>
      </c>
      <c r="F1" t="str">
        <f>VLOOKUP(E1, '[1]POS Categories'!$A$1:$B$999, 2, FALSE)</f>
        <v>Food</v>
      </c>
    </row>
    <row r="2" spans="1:6" x14ac:dyDescent="0.25">
      <c r="A2" t="s">
        <v>754</v>
      </c>
      <c r="B2">
        <v>2041</v>
      </c>
      <c r="C2" t="s">
        <v>385</v>
      </c>
      <c r="D2" t="s">
        <v>386</v>
      </c>
      <c r="E2" t="s">
        <v>387</v>
      </c>
      <c r="F2" t="str">
        <f>VLOOKUP(E2, '[1]POS Categories'!$A$1:$B$999, 2, FALSE)</f>
        <v>Job</v>
      </c>
    </row>
    <row r="3" spans="1:6" x14ac:dyDescent="0.25">
      <c r="A3" t="s">
        <v>755</v>
      </c>
      <c r="B3">
        <v>-14.85</v>
      </c>
      <c r="C3" t="s">
        <v>385</v>
      </c>
      <c r="D3" t="s">
        <v>388</v>
      </c>
      <c r="E3" t="s">
        <v>149</v>
      </c>
      <c r="F3" t="str">
        <f>VLOOKUP(E3, '[1]POS Categories'!$A$1:$B$999, 2, FALSE)</f>
        <v>Food</v>
      </c>
    </row>
    <row r="4" spans="1:6" x14ac:dyDescent="0.25">
      <c r="A4" t="s">
        <v>756</v>
      </c>
      <c r="B4">
        <v>-19.010000000000002</v>
      </c>
      <c r="C4" t="s">
        <v>385</v>
      </c>
      <c r="D4" t="s">
        <v>388</v>
      </c>
      <c r="E4" t="s">
        <v>142</v>
      </c>
      <c r="F4" t="str">
        <f>VLOOKUP(E4, '[1]POS Categories'!$A$1:$B$999, 2, FALSE)</f>
        <v>Food</v>
      </c>
    </row>
    <row r="5" spans="1:6" x14ac:dyDescent="0.25">
      <c r="A5" t="s">
        <v>756</v>
      </c>
      <c r="B5">
        <v>1810.86</v>
      </c>
      <c r="C5" t="s">
        <v>385</v>
      </c>
      <c r="D5" t="s">
        <v>467</v>
      </c>
      <c r="E5" t="s">
        <v>637</v>
      </c>
      <c r="F5" t="str">
        <f>VLOOKUP(E5, '[1]POS Categories'!$A$1:$B$999, 2, FALSE)</f>
        <v>Misc</v>
      </c>
    </row>
    <row r="6" spans="1:6" x14ac:dyDescent="0.25">
      <c r="A6" t="s">
        <v>756</v>
      </c>
      <c r="B6">
        <v>-15.85</v>
      </c>
      <c r="C6" t="s">
        <v>385</v>
      </c>
      <c r="D6" t="s">
        <v>388</v>
      </c>
      <c r="E6" t="s">
        <v>8</v>
      </c>
      <c r="F6" t="str">
        <f>VLOOKUP(E6, '[1]POS Categories'!$A$1:$B$999, 2, FALSE)</f>
        <v>Food</v>
      </c>
    </row>
    <row r="7" spans="1:6" x14ac:dyDescent="0.25">
      <c r="A7" t="s">
        <v>757</v>
      </c>
      <c r="B7">
        <v>-53.42</v>
      </c>
      <c r="C7" t="s">
        <v>385</v>
      </c>
      <c r="D7" t="s">
        <v>388</v>
      </c>
      <c r="E7" t="s">
        <v>33</v>
      </c>
      <c r="F7" t="str">
        <f>VLOOKUP(E7, '[1]POS Categories'!$A$1:$B$999, 2, FALSE)</f>
        <v>Food</v>
      </c>
    </row>
    <row r="8" spans="1:6" x14ac:dyDescent="0.25">
      <c r="A8" t="s">
        <v>757</v>
      </c>
      <c r="B8">
        <v>-79.81</v>
      </c>
      <c r="C8" t="s">
        <v>385</v>
      </c>
      <c r="D8" t="s">
        <v>388</v>
      </c>
      <c r="E8" t="s">
        <v>150</v>
      </c>
      <c r="F8" t="str">
        <f>VLOOKUP(E8, '[1]POS Categories'!$A$1:$B$999, 2, FALSE)</f>
        <v>Entertainment</v>
      </c>
    </row>
    <row r="9" spans="1:6" x14ac:dyDescent="0.25">
      <c r="A9" t="s">
        <v>758</v>
      </c>
      <c r="B9">
        <v>-10.77</v>
      </c>
      <c r="C9" t="s">
        <v>385</v>
      </c>
      <c r="D9" t="s">
        <v>388</v>
      </c>
      <c r="E9" t="s">
        <v>34</v>
      </c>
      <c r="F9" t="str">
        <f>VLOOKUP(E9, '[1]POS Categories'!$A$1:$B$999, 2, FALSE)</f>
        <v>Food</v>
      </c>
    </row>
    <row r="10" spans="1:6" x14ac:dyDescent="0.25">
      <c r="A10" t="s">
        <v>759</v>
      </c>
      <c r="B10">
        <v>-32.54</v>
      </c>
      <c r="C10" t="s">
        <v>385</v>
      </c>
      <c r="D10" t="s">
        <v>388</v>
      </c>
      <c r="E10" t="s">
        <v>33</v>
      </c>
      <c r="F10" t="str">
        <f>VLOOKUP(E10, '[1]POS Categories'!$A$1:$B$999, 2, FALSE)</f>
        <v>Food</v>
      </c>
    </row>
    <row r="11" spans="1:6" x14ac:dyDescent="0.25">
      <c r="A11" t="s">
        <v>759</v>
      </c>
      <c r="B11">
        <v>1.35</v>
      </c>
      <c r="C11" t="s">
        <v>385</v>
      </c>
      <c r="D11" t="s">
        <v>430</v>
      </c>
      <c r="E11" s="20">
        <v>580253788623225</v>
      </c>
      <c r="F11" t="s">
        <v>1199</v>
      </c>
    </row>
    <row r="12" spans="1:6" x14ac:dyDescent="0.25">
      <c r="A12" t="s">
        <v>760</v>
      </c>
      <c r="B12">
        <v>2143.96</v>
      </c>
      <c r="C12" t="s">
        <v>385</v>
      </c>
      <c r="D12" t="s">
        <v>386</v>
      </c>
      <c r="E12" t="s">
        <v>387</v>
      </c>
      <c r="F12" t="str">
        <f>VLOOKUP(E12, '[1]POS Categories'!$A$1:$B$999, 2, FALSE)</f>
        <v>Job</v>
      </c>
    </row>
    <row r="13" spans="1:6" x14ac:dyDescent="0.25">
      <c r="A13" t="s">
        <v>761</v>
      </c>
      <c r="B13">
        <v>-14.85</v>
      </c>
      <c r="C13" t="s">
        <v>385</v>
      </c>
      <c r="D13" t="s">
        <v>388</v>
      </c>
      <c r="E13" t="s">
        <v>141</v>
      </c>
      <c r="F13" t="str">
        <f>VLOOKUP(E13, '[1]POS Categories'!$A$1:$B$999, 2, FALSE)</f>
        <v>Food</v>
      </c>
    </row>
    <row r="14" spans="1:6" x14ac:dyDescent="0.25">
      <c r="A14" t="s">
        <v>761</v>
      </c>
      <c r="B14">
        <v>-39.99</v>
      </c>
      <c r="C14" t="s">
        <v>385</v>
      </c>
      <c r="D14" t="s">
        <v>388</v>
      </c>
      <c r="E14" t="s">
        <v>22</v>
      </c>
      <c r="F14" t="str">
        <f>VLOOKUP(E14, '[1]POS Categories'!$A$1:$B$999, 2, FALSE)</f>
        <v>Entertainment</v>
      </c>
    </row>
    <row r="15" spans="1:6" x14ac:dyDescent="0.25">
      <c r="A15" t="s">
        <v>762</v>
      </c>
      <c r="B15">
        <v>-18.27</v>
      </c>
      <c r="C15" t="s">
        <v>385</v>
      </c>
      <c r="D15" t="s">
        <v>388</v>
      </c>
      <c r="E15" t="s">
        <v>33</v>
      </c>
      <c r="F15" t="str">
        <f>VLOOKUP(E15, '[1]POS Categories'!$A$1:$B$999, 2, FALSE)</f>
        <v>Food</v>
      </c>
    </row>
    <row r="16" spans="1:6" x14ac:dyDescent="0.25">
      <c r="A16" t="s">
        <v>762</v>
      </c>
      <c r="B16">
        <v>-47.85</v>
      </c>
      <c r="C16" t="s">
        <v>385</v>
      </c>
      <c r="D16" t="s">
        <v>388</v>
      </c>
      <c r="E16" t="s">
        <v>151</v>
      </c>
      <c r="F16" t="str">
        <f>VLOOKUP(E16, '[1]POS Categories'!$A$1:$B$999, 2, FALSE)</f>
        <v>Entertainment</v>
      </c>
    </row>
    <row r="17" spans="1:6" x14ac:dyDescent="0.25">
      <c r="A17" t="s">
        <v>762</v>
      </c>
      <c r="B17">
        <v>-33.840000000000003</v>
      </c>
      <c r="C17" t="s">
        <v>385</v>
      </c>
      <c r="D17" t="s">
        <v>388</v>
      </c>
      <c r="E17" t="s">
        <v>152</v>
      </c>
      <c r="F17" t="str">
        <f>VLOOKUP(E17, '[1]POS Categories'!$A$1:$B$999, 2, FALSE)</f>
        <v>Personal</v>
      </c>
    </row>
    <row r="18" spans="1:6" x14ac:dyDescent="0.25">
      <c r="A18" t="s">
        <v>763</v>
      </c>
      <c r="B18">
        <v>-117.26</v>
      </c>
      <c r="C18" t="s">
        <v>385</v>
      </c>
      <c r="D18" t="s">
        <v>435</v>
      </c>
      <c r="E18" t="s">
        <v>153</v>
      </c>
      <c r="F18" t="str">
        <f>VLOOKUP(E18, '[1]POS Categories'!$A$1:$B$999, 2, FALSE)</f>
        <v>Power</v>
      </c>
    </row>
    <row r="19" spans="1:6" x14ac:dyDescent="0.25">
      <c r="A19" t="s">
        <v>764</v>
      </c>
      <c r="B19">
        <v>-68.44</v>
      </c>
      <c r="C19" t="s">
        <v>385</v>
      </c>
      <c r="D19" t="s">
        <v>388</v>
      </c>
      <c r="E19" t="s">
        <v>765</v>
      </c>
      <c r="F19" t="str">
        <f>VLOOKUP(E19, '[1]POS Categories'!$A$1:$B$999, 2, FALSE)</f>
        <v>Food</v>
      </c>
    </row>
    <row r="20" spans="1:6" x14ac:dyDescent="0.25">
      <c r="A20" t="s">
        <v>764</v>
      </c>
      <c r="B20">
        <v>-12.8</v>
      </c>
      <c r="C20" t="s">
        <v>385</v>
      </c>
      <c r="D20" t="s">
        <v>388</v>
      </c>
      <c r="E20" t="s">
        <v>41</v>
      </c>
      <c r="F20" t="str">
        <f>VLOOKUP(E20, '[1]POS Categories'!$A$1:$B$999, 2, FALSE)</f>
        <v>Entertainment</v>
      </c>
    </row>
    <row r="21" spans="1:6" x14ac:dyDescent="0.25">
      <c r="A21" t="s">
        <v>764</v>
      </c>
      <c r="B21">
        <v>-1.35</v>
      </c>
      <c r="C21" t="s">
        <v>385</v>
      </c>
      <c r="D21" t="s">
        <v>388</v>
      </c>
      <c r="E21" t="s">
        <v>113</v>
      </c>
      <c r="F21" t="str">
        <f>VLOOKUP(E21, '[1]POS Categories'!$A$1:$B$999, 2, FALSE)</f>
        <v>Entertainment</v>
      </c>
    </row>
    <row r="22" spans="1:6" x14ac:dyDescent="0.25">
      <c r="A22" t="s">
        <v>766</v>
      </c>
      <c r="B22">
        <v>-15.85</v>
      </c>
      <c r="C22" t="s">
        <v>385</v>
      </c>
      <c r="D22" t="s">
        <v>388</v>
      </c>
      <c r="E22" t="s">
        <v>8</v>
      </c>
      <c r="F22" t="str">
        <f>VLOOKUP(E22, '[1]POS Categories'!$A$1:$B$999, 2, FALSE)</f>
        <v>Food</v>
      </c>
    </row>
    <row r="23" spans="1:6" x14ac:dyDescent="0.25">
      <c r="A23" t="s">
        <v>766</v>
      </c>
      <c r="B23">
        <v>-6.08</v>
      </c>
      <c r="C23" t="s">
        <v>385</v>
      </c>
      <c r="D23" t="s">
        <v>388</v>
      </c>
      <c r="E23" t="s">
        <v>154</v>
      </c>
      <c r="F23" t="str">
        <f>VLOOKUP(E23, '[1]POS Categories'!$A$1:$B$999, 2, FALSE)</f>
        <v>Food</v>
      </c>
    </row>
    <row r="24" spans="1:6" x14ac:dyDescent="0.25">
      <c r="A24" t="s">
        <v>766</v>
      </c>
      <c r="B24">
        <v>-25.57</v>
      </c>
      <c r="C24" t="s">
        <v>385</v>
      </c>
      <c r="D24" t="s">
        <v>388</v>
      </c>
      <c r="E24" t="s">
        <v>118</v>
      </c>
      <c r="F24" t="str">
        <f>VLOOKUP(E24, '[1]POS Categories'!$A$1:$B$999, 2, FALSE)</f>
        <v>Food</v>
      </c>
    </row>
    <row r="25" spans="1:6" x14ac:dyDescent="0.25">
      <c r="A25" t="s">
        <v>766</v>
      </c>
      <c r="B25">
        <v>-12.4</v>
      </c>
      <c r="C25" t="s">
        <v>385</v>
      </c>
      <c r="D25" t="s">
        <v>388</v>
      </c>
      <c r="E25" t="s">
        <v>155</v>
      </c>
      <c r="F25" t="str">
        <f>VLOOKUP(E25, '[1]POS Categories'!$A$1:$B$999, 2, FALSE)</f>
        <v>Food</v>
      </c>
    </row>
    <row r="26" spans="1:6" x14ac:dyDescent="0.25">
      <c r="A26" t="s">
        <v>766</v>
      </c>
      <c r="B26">
        <v>-56.78</v>
      </c>
      <c r="C26" t="s">
        <v>385</v>
      </c>
      <c r="D26" t="s">
        <v>388</v>
      </c>
      <c r="E26" t="s">
        <v>411</v>
      </c>
      <c r="F26" t="str">
        <f>VLOOKUP(E26, '[1]POS Categories'!$A$1:$B$999, 2, FALSE)</f>
        <v>Sasktel</v>
      </c>
    </row>
    <row r="27" spans="1:6" x14ac:dyDescent="0.25">
      <c r="A27" t="s">
        <v>767</v>
      </c>
      <c r="B27">
        <v>-35.31</v>
      </c>
      <c r="C27" t="s">
        <v>385</v>
      </c>
      <c r="D27" t="s">
        <v>388</v>
      </c>
      <c r="E27" t="s">
        <v>395</v>
      </c>
      <c r="F27" t="str">
        <f>VLOOKUP(E27, '[1]POS Categories'!$A$1:$B$999, 2, FALSE)</f>
        <v>Vehicle</v>
      </c>
    </row>
    <row r="28" spans="1:6" x14ac:dyDescent="0.25">
      <c r="A28" t="s">
        <v>767</v>
      </c>
      <c r="B28">
        <v>-5.83</v>
      </c>
      <c r="C28" t="s">
        <v>385</v>
      </c>
      <c r="D28" t="s">
        <v>388</v>
      </c>
      <c r="E28" t="s">
        <v>34</v>
      </c>
      <c r="F28" t="str">
        <f>VLOOKUP(E28, '[1]POS Categories'!$A$1:$B$999, 2, FALSE)</f>
        <v>Food</v>
      </c>
    </row>
    <row r="29" spans="1:6" x14ac:dyDescent="0.25">
      <c r="A29" t="s">
        <v>768</v>
      </c>
      <c r="B29">
        <v>-26.95</v>
      </c>
      <c r="C29" t="s">
        <v>385</v>
      </c>
      <c r="D29" t="s">
        <v>388</v>
      </c>
      <c r="E29" t="s">
        <v>33</v>
      </c>
      <c r="F29" t="str">
        <f>VLOOKUP(E29, '[1]POS Categories'!$A$1:$B$999, 2, FALSE)</f>
        <v>Food</v>
      </c>
    </row>
    <row r="30" spans="1:6" x14ac:dyDescent="0.25">
      <c r="A30" t="s">
        <v>769</v>
      </c>
      <c r="B30">
        <v>-1200</v>
      </c>
      <c r="C30" t="s">
        <v>385</v>
      </c>
      <c r="D30" t="s">
        <v>414</v>
      </c>
      <c r="E30" t="s">
        <v>156</v>
      </c>
      <c r="F30" t="str">
        <f>VLOOKUP(E30, '[1]POS Categories'!$A$1:$B$999, 2, FALSE)</f>
        <v>Rent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9"/>
  <sheetViews>
    <sheetView topLeftCell="A17" workbookViewId="0">
      <selection activeCell="F2" sqref="F2"/>
    </sheetView>
  </sheetViews>
  <sheetFormatPr defaultRowHeight="15" x14ac:dyDescent="0.25"/>
  <cols>
    <col min="4" max="4" width="21.5703125" bestFit="1" customWidth="1"/>
    <col min="5" max="5" width="36.140625" bestFit="1" customWidth="1"/>
  </cols>
  <sheetData>
    <row r="1" spans="1:6" x14ac:dyDescent="0.25">
      <c r="A1" t="s">
        <v>770</v>
      </c>
      <c r="B1">
        <v>-14.85</v>
      </c>
      <c r="C1" t="s">
        <v>385</v>
      </c>
      <c r="D1" t="s">
        <v>388</v>
      </c>
      <c r="E1" t="s">
        <v>141</v>
      </c>
      <c r="F1" t="str">
        <f>VLOOKUP(E1, '[1]POS Categories'!$A$1:$B$999, 2, FALSE)</f>
        <v>Food</v>
      </c>
    </row>
    <row r="2" spans="1:6" x14ac:dyDescent="0.25">
      <c r="A2" t="s">
        <v>770</v>
      </c>
      <c r="B2">
        <v>2041</v>
      </c>
      <c r="C2" t="s">
        <v>385</v>
      </c>
      <c r="D2" t="s">
        <v>386</v>
      </c>
      <c r="E2" t="s">
        <v>387</v>
      </c>
      <c r="F2" t="str">
        <f>VLOOKUP(E2, '[1]POS Categories'!$A$1:$B$999, 2, FALSE)</f>
        <v>Job</v>
      </c>
    </row>
    <row r="3" spans="1:6" x14ac:dyDescent="0.25">
      <c r="A3" t="s">
        <v>770</v>
      </c>
      <c r="B3">
        <v>-19.25</v>
      </c>
      <c r="C3" t="s">
        <v>385</v>
      </c>
      <c r="D3" t="s">
        <v>388</v>
      </c>
      <c r="E3" t="s">
        <v>142</v>
      </c>
      <c r="F3" t="str">
        <f>VLOOKUP(E3, '[1]POS Categories'!$A$1:$B$999, 2, FALSE)</f>
        <v>Food</v>
      </c>
    </row>
    <row r="4" spans="1:6" x14ac:dyDescent="0.25">
      <c r="A4" t="s">
        <v>771</v>
      </c>
      <c r="B4">
        <v>-72.349999999999994</v>
      </c>
      <c r="C4" t="s">
        <v>385</v>
      </c>
      <c r="D4" t="s">
        <v>388</v>
      </c>
      <c r="E4" t="s">
        <v>765</v>
      </c>
      <c r="F4" t="str">
        <f>VLOOKUP(E4, '[1]POS Categories'!$A$1:$B$999, 2, FALSE)</f>
        <v>Food</v>
      </c>
    </row>
    <row r="5" spans="1:6" x14ac:dyDescent="0.25">
      <c r="A5" t="s">
        <v>771</v>
      </c>
      <c r="B5">
        <v>-14.76</v>
      </c>
      <c r="C5" t="s">
        <v>385</v>
      </c>
      <c r="D5" t="s">
        <v>388</v>
      </c>
      <c r="E5" t="s">
        <v>143</v>
      </c>
      <c r="F5" t="str">
        <f>VLOOKUP(E5, '[1]POS Categories'!$A$1:$B$999, 2, FALSE)</f>
        <v>Food</v>
      </c>
    </row>
    <row r="6" spans="1:6" x14ac:dyDescent="0.25">
      <c r="A6" t="s">
        <v>771</v>
      </c>
      <c r="B6">
        <v>-26.61</v>
      </c>
      <c r="C6" t="s">
        <v>385</v>
      </c>
      <c r="D6" t="s">
        <v>388</v>
      </c>
      <c r="E6" t="s">
        <v>39</v>
      </c>
      <c r="F6" t="str">
        <f>VLOOKUP(E6, '[1]POS Categories'!$A$1:$B$999, 2, FALSE)</f>
        <v>Home</v>
      </c>
    </row>
    <row r="7" spans="1:6" x14ac:dyDescent="0.25">
      <c r="A7" t="s">
        <v>771</v>
      </c>
      <c r="B7">
        <v>-43.99</v>
      </c>
      <c r="C7" t="s">
        <v>385</v>
      </c>
      <c r="D7" t="s">
        <v>388</v>
      </c>
      <c r="E7" t="s">
        <v>22</v>
      </c>
      <c r="F7" t="str">
        <f>VLOOKUP(E7, '[1]POS Categories'!$A$1:$B$999, 2, FALSE)</f>
        <v>Entertainment</v>
      </c>
    </row>
    <row r="8" spans="1:6" x14ac:dyDescent="0.25">
      <c r="A8" t="s">
        <v>772</v>
      </c>
      <c r="B8">
        <v>-9.5</v>
      </c>
      <c r="C8" t="s">
        <v>385</v>
      </c>
      <c r="D8" t="s">
        <v>388</v>
      </c>
      <c r="E8" t="s">
        <v>144</v>
      </c>
      <c r="F8" t="str">
        <f>VLOOKUP(E8, '[1]POS Categories'!$A$1:$B$999, 2, FALSE)</f>
        <v>Food</v>
      </c>
    </row>
    <row r="9" spans="1:6" x14ac:dyDescent="0.25">
      <c r="A9" t="s">
        <v>773</v>
      </c>
      <c r="B9">
        <v>-310.77</v>
      </c>
      <c r="C9" t="s">
        <v>385</v>
      </c>
      <c r="D9" t="s">
        <v>388</v>
      </c>
      <c r="E9" t="s">
        <v>44</v>
      </c>
      <c r="F9" t="str">
        <f>VLOOKUP(E9, '[1]POS Categories'!$A$1:$B$999, 2, FALSE)</f>
        <v>Home</v>
      </c>
    </row>
    <row r="10" spans="1:6" x14ac:dyDescent="0.25">
      <c r="A10" t="s">
        <v>773</v>
      </c>
      <c r="B10">
        <v>-15.85</v>
      </c>
      <c r="C10" t="s">
        <v>385</v>
      </c>
      <c r="D10" t="s">
        <v>388</v>
      </c>
      <c r="E10" t="s">
        <v>8</v>
      </c>
      <c r="F10" t="str">
        <f>VLOOKUP(E10, '[1]POS Categories'!$A$1:$B$999, 2, FALSE)</f>
        <v>Food</v>
      </c>
    </row>
    <row r="11" spans="1:6" x14ac:dyDescent="0.25">
      <c r="A11" t="s">
        <v>773</v>
      </c>
      <c r="B11">
        <v>-5.54</v>
      </c>
      <c r="C11" t="s">
        <v>385</v>
      </c>
      <c r="D11" t="s">
        <v>388</v>
      </c>
      <c r="E11" t="s">
        <v>696</v>
      </c>
      <c r="F11" t="str">
        <f>VLOOKUP(E11, '[1]POS Categories'!$A$1:$B$999, 2, FALSE)</f>
        <v>Food</v>
      </c>
    </row>
    <row r="12" spans="1:6" x14ac:dyDescent="0.25">
      <c r="A12" t="s">
        <v>773</v>
      </c>
      <c r="B12">
        <v>-22.58</v>
      </c>
      <c r="C12" t="s">
        <v>385</v>
      </c>
      <c r="D12" t="s">
        <v>388</v>
      </c>
      <c r="E12" t="s">
        <v>118</v>
      </c>
      <c r="F12" t="str">
        <f>VLOOKUP(E12, '[1]POS Categories'!$A$1:$B$999, 2, FALSE)</f>
        <v>Food</v>
      </c>
    </row>
    <row r="13" spans="1:6" x14ac:dyDescent="0.25">
      <c r="A13" t="s">
        <v>774</v>
      </c>
      <c r="B13">
        <v>-28.4</v>
      </c>
      <c r="C13" t="s">
        <v>385</v>
      </c>
      <c r="D13" t="s">
        <v>388</v>
      </c>
      <c r="E13" t="s">
        <v>145</v>
      </c>
      <c r="F13" t="str">
        <f>VLOOKUP(E13, '[1]POS Categories'!$A$1:$B$999, 2, FALSE)</f>
        <v>Food</v>
      </c>
    </row>
    <row r="14" spans="1:6" x14ac:dyDescent="0.25">
      <c r="A14" t="s">
        <v>774</v>
      </c>
      <c r="B14">
        <v>-22.83</v>
      </c>
      <c r="C14" t="s">
        <v>385</v>
      </c>
      <c r="D14" t="s">
        <v>388</v>
      </c>
      <c r="E14" t="s">
        <v>146</v>
      </c>
      <c r="F14" t="str">
        <f>VLOOKUP(E14, '[1]POS Categories'!$A$1:$B$999, 2, FALSE)</f>
        <v>Personal</v>
      </c>
    </row>
    <row r="15" spans="1:6" x14ac:dyDescent="0.25">
      <c r="A15" t="s">
        <v>774</v>
      </c>
      <c r="B15">
        <v>-7.97</v>
      </c>
      <c r="C15" t="s">
        <v>385</v>
      </c>
      <c r="D15" t="s">
        <v>388</v>
      </c>
      <c r="E15" t="s">
        <v>408</v>
      </c>
      <c r="F15" t="str">
        <f>VLOOKUP(E15, '[1]POS Categories'!$A$1:$B$999, 2, FALSE)</f>
        <v>Food</v>
      </c>
    </row>
    <row r="16" spans="1:6" x14ac:dyDescent="0.25">
      <c r="A16" t="s">
        <v>774</v>
      </c>
      <c r="B16">
        <v>-19.63</v>
      </c>
      <c r="C16" t="s">
        <v>385</v>
      </c>
      <c r="D16" t="s">
        <v>388</v>
      </c>
      <c r="E16" t="s">
        <v>395</v>
      </c>
      <c r="F16" t="str">
        <f>VLOOKUP(E16, '[1]POS Categories'!$A$1:$B$999, 2, FALSE)</f>
        <v>Vehicle</v>
      </c>
    </row>
    <row r="17" spans="1:6" x14ac:dyDescent="0.25">
      <c r="A17" t="s">
        <v>775</v>
      </c>
      <c r="B17">
        <v>-122.75</v>
      </c>
      <c r="C17" t="s">
        <v>385</v>
      </c>
      <c r="D17" t="s">
        <v>388</v>
      </c>
      <c r="E17" t="s">
        <v>36</v>
      </c>
      <c r="F17" t="str">
        <f>VLOOKUP(E17, '[1]POS Categories'!$A$1:$B$999, 2, FALSE)</f>
        <v>Food</v>
      </c>
    </row>
    <row r="18" spans="1:6" x14ac:dyDescent="0.25">
      <c r="A18" t="s">
        <v>776</v>
      </c>
      <c r="B18">
        <v>-11.2</v>
      </c>
      <c r="C18" t="s">
        <v>385</v>
      </c>
      <c r="D18" t="s">
        <v>388</v>
      </c>
      <c r="E18" t="s">
        <v>147</v>
      </c>
      <c r="F18" t="str">
        <f>VLOOKUP(E18, '[1]POS Categories'!$A$1:$B$999, 2, FALSE)</f>
        <v>Food</v>
      </c>
    </row>
    <row r="19" spans="1:6" x14ac:dyDescent="0.25">
      <c r="A19" t="s">
        <v>776</v>
      </c>
      <c r="B19">
        <v>-28.64</v>
      </c>
      <c r="C19" t="s">
        <v>385</v>
      </c>
      <c r="D19" t="s">
        <v>388</v>
      </c>
      <c r="E19" t="s">
        <v>148</v>
      </c>
      <c r="F19" t="str">
        <f>VLOOKUP(E19, '[1]POS Categories'!$A$1:$B$999, 2, FALSE)</f>
        <v>Personal</v>
      </c>
    </row>
    <row r="20" spans="1:6" x14ac:dyDescent="0.25">
      <c r="A20" t="s">
        <v>777</v>
      </c>
      <c r="B20">
        <v>-17.23</v>
      </c>
      <c r="C20" t="s">
        <v>385</v>
      </c>
      <c r="D20" t="s">
        <v>388</v>
      </c>
      <c r="E20" t="s">
        <v>33</v>
      </c>
      <c r="F20" t="str">
        <f>VLOOKUP(E20, '[1]POS Categories'!$A$1:$B$999, 2, FALSE)</f>
        <v>Food</v>
      </c>
    </row>
    <row r="21" spans="1:6" x14ac:dyDescent="0.25">
      <c r="A21" t="s">
        <v>777</v>
      </c>
      <c r="B21">
        <v>-4.2</v>
      </c>
      <c r="C21" t="s">
        <v>385</v>
      </c>
      <c r="D21" t="s">
        <v>400</v>
      </c>
      <c r="E21" t="s">
        <v>401</v>
      </c>
      <c r="F21" t="str">
        <f>VLOOKUP(E21, '[1]POS Categories'!$A$1:$B$999, 2, FALSE)</f>
        <v>Misc</v>
      </c>
    </row>
    <row r="22" spans="1:6" x14ac:dyDescent="0.25">
      <c r="A22" t="s">
        <v>778</v>
      </c>
      <c r="B22">
        <v>-3.99</v>
      </c>
      <c r="C22" t="s">
        <v>385</v>
      </c>
      <c r="D22" t="s">
        <v>388</v>
      </c>
      <c r="E22" t="s">
        <v>33</v>
      </c>
      <c r="F22" t="str">
        <f>VLOOKUP(E22, '[1]POS Categories'!$A$1:$B$999, 2, FALSE)</f>
        <v>Food</v>
      </c>
    </row>
    <row r="23" spans="1:6" x14ac:dyDescent="0.25">
      <c r="A23" t="s">
        <v>779</v>
      </c>
      <c r="B23">
        <v>2482.88</v>
      </c>
      <c r="C23" t="s">
        <v>385</v>
      </c>
      <c r="D23" t="s">
        <v>386</v>
      </c>
      <c r="E23" t="s">
        <v>387</v>
      </c>
      <c r="F23" t="str">
        <f>VLOOKUP(E23, '[1]POS Categories'!$A$1:$B$999, 2, FALSE)</f>
        <v>Job</v>
      </c>
    </row>
    <row r="24" spans="1:6" x14ac:dyDescent="0.25">
      <c r="A24" t="s">
        <v>780</v>
      </c>
      <c r="B24">
        <v>-56.48</v>
      </c>
      <c r="C24" t="s">
        <v>385</v>
      </c>
      <c r="D24" t="s">
        <v>388</v>
      </c>
      <c r="E24" t="s">
        <v>33</v>
      </c>
      <c r="F24" t="str">
        <f>VLOOKUP(E24, '[1]POS Categories'!$A$1:$B$999, 2, FALSE)</f>
        <v>Food</v>
      </c>
    </row>
    <row r="25" spans="1:6" x14ac:dyDescent="0.25">
      <c r="A25" t="s">
        <v>780</v>
      </c>
      <c r="B25">
        <v>-13.76</v>
      </c>
      <c r="C25" t="s">
        <v>385</v>
      </c>
      <c r="D25" t="s">
        <v>388</v>
      </c>
      <c r="E25" t="s">
        <v>34</v>
      </c>
      <c r="F25" t="str">
        <f>VLOOKUP(E25, '[1]POS Categories'!$A$1:$B$999, 2, FALSE)</f>
        <v>Food</v>
      </c>
    </row>
    <row r="26" spans="1:6" x14ac:dyDescent="0.25">
      <c r="A26" t="s">
        <v>781</v>
      </c>
      <c r="B26">
        <v>-15.85</v>
      </c>
      <c r="C26" t="s">
        <v>385</v>
      </c>
      <c r="D26" t="s">
        <v>388</v>
      </c>
      <c r="E26" t="s">
        <v>8</v>
      </c>
      <c r="F26" t="str">
        <f>VLOOKUP(E26, '[1]POS Categories'!$A$1:$B$999, 2, FALSE)</f>
        <v>Food</v>
      </c>
    </row>
    <row r="27" spans="1:6" x14ac:dyDescent="0.25">
      <c r="A27" t="s">
        <v>782</v>
      </c>
      <c r="B27">
        <v>-24.34</v>
      </c>
      <c r="C27" t="s">
        <v>385</v>
      </c>
      <c r="D27" t="s">
        <v>388</v>
      </c>
      <c r="E27" t="s">
        <v>33</v>
      </c>
      <c r="F27" t="str">
        <f>VLOOKUP(E27, '[1]POS Categories'!$A$1:$B$999, 2, FALSE)</f>
        <v>Food</v>
      </c>
    </row>
    <row r="28" spans="1:6" x14ac:dyDescent="0.25">
      <c r="A28" t="s">
        <v>782</v>
      </c>
      <c r="B28">
        <v>-24.15</v>
      </c>
      <c r="C28" t="s">
        <v>385</v>
      </c>
      <c r="D28" t="s">
        <v>388</v>
      </c>
      <c r="E28" t="s">
        <v>35</v>
      </c>
      <c r="F28" t="str">
        <f>VLOOKUP(E28, '[1]POS Categories'!$A$1:$B$999, 2, FALSE)</f>
        <v>Personal</v>
      </c>
    </row>
    <row r="29" spans="1:6" x14ac:dyDescent="0.25">
      <c r="A29" t="s">
        <v>783</v>
      </c>
      <c r="B29">
        <v>-519.91999999999996</v>
      </c>
      <c r="C29" t="s">
        <v>385</v>
      </c>
      <c r="D29" t="s">
        <v>388</v>
      </c>
      <c r="E29" t="s">
        <v>36</v>
      </c>
      <c r="F29" t="str">
        <f>VLOOKUP(E29, '[1]POS Categories'!$A$1:$B$999, 2, FALSE)</f>
        <v>Food</v>
      </c>
    </row>
    <row r="30" spans="1:6" x14ac:dyDescent="0.25">
      <c r="A30" t="s">
        <v>783</v>
      </c>
      <c r="B30">
        <v>-63</v>
      </c>
      <c r="C30" t="s">
        <v>385</v>
      </c>
      <c r="D30" t="s">
        <v>388</v>
      </c>
      <c r="E30" t="s">
        <v>36</v>
      </c>
      <c r="F30" t="str">
        <f>VLOOKUP(E30, '[1]POS Categories'!$A$1:$B$999, 2, FALSE)</f>
        <v>Food</v>
      </c>
    </row>
    <row r="31" spans="1:6" x14ac:dyDescent="0.25">
      <c r="A31" t="s">
        <v>784</v>
      </c>
      <c r="B31">
        <v>-7.96</v>
      </c>
      <c r="C31" t="s">
        <v>385</v>
      </c>
      <c r="D31" t="s">
        <v>388</v>
      </c>
      <c r="E31" t="s">
        <v>33</v>
      </c>
      <c r="F31" t="str">
        <f>VLOOKUP(E31, '[1]POS Categories'!$A$1:$B$999, 2, FALSE)</f>
        <v>Food</v>
      </c>
    </row>
    <row r="32" spans="1:6" x14ac:dyDescent="0.25">
      <c r="A32" t="s">
        <v>785</v>
      </c>
      <c r="B32">
        <v>-106.73</v>
      </c>
      <c r="C32" t="s">
        <v>385</v>
      </c>
      <c r="D32" t="s">
        <v>388</v>
      </c>
      <c r="E32" t="s">
        <v>411</v>
      </c>
      <c r="F32" t="str">
        <f>VLOOKUP(E32, '[1]POS Categories'!$A$1:$B$999, 2, FALSE)</f>
        <v>Sasktel</v>
      </c>
    </row>
    <row r="33" spans="1:6" x14ac:dyDescent="0.25">
      <c r="A33" t="s">
        <v>785</v>
      </c>
      <c r="B33">
        <v>764.53</v>
      </c>
      <c r="C33" t="s">
        <v>385</v>
      </c>
      <c r="D33" t="s">
        <v>386</v>
      </c>
      <c r="E33" t="s">
        <v>786</v>
      </c>
      <c r="F33" t="str">
        <f>VLOOKUP(E33, '[1]POS Categories'!$A$1:$B$999, 2, FALSE)</f>
        <v>Job</v>
      </c>
    </row>
    <row r="34" spans="1:6" x14ac:dyDescent="0.25">
      <c r="A34" t="s">
        <v>787</v>
      </c>
      <c r="B34">
        <v>-672.5</v>
      </c>
      <c r="C34">
        <v>27</v>
      </c>
      <c r="D34" t="s">
        <v>788</v>
      </c>
      <c r="F34" t="s">
        <v>45</v>
      </c>
    </row>
    <row r="35" spans="1:6" x14ac:dyDescent="0.25">
      <c r="A35" t="s">
        <v>787</v>
      </c>
      <c r="B35">
        <v>-13.21</v>
      </c>
      <c r="C35" t="s">
        <v>385</v>
      </c>
      <c r="D35" t="s">
        <v>388</v>
      </c>
      <c r="E35" t="s">
        <v>37</v>
      </c>
      <c r="F35" t="str">
        <f>VLOOKUP(E35, '[1]POS Categories'!$A$1:$B$999, 2, FALSE)</f>
        <v>Food</v>
      </c>
    </row>
    <row r="36" spans="1:6" x14ac:dyDescent="0.25">
      <c r="A36" t="s">
        <v>789</v>
      </c>
      <c r="B36">
        <v>-2044.46</v>
      </c>
      <c r="C36" t="s">
        <v>385</v>
      </c>
      <c r="D36" t="s">
        <v>388</v>
      </c>
      <c r="E36" t="s">
        <v>38</v>
      </c>
      <c r="F36" t="str">
        <f>VLOOKUP(E36, '[1]POS Categories'!$A$1:$B$999, 2, FALSE)</f>
        <v>Home</v>
      </c>
    </row>
    <row r="37" spans="1:6" x14ac:dyDescent="0.25">
      <c r="A37" t="s">
        <v>790</v>
      </c>
      <c r="B37">
        <v>-23.88</v>
      </c>
      <c r="C37" t="s">
        <v>385</v>
      </c>
      <c r="D37" t="s">
        <v>388</v>
      </c>
      <c r="E37" t="s">
        <v>741</v>
      </c>
      <c r="F37" t="str">
        <f>VLOOKUP(E37, '[1]POS Categories'!$A$1:$B$999, 2, FALSE)</f>
        <v>Food</v>
      </c>
    </row>
    <row r="38" spans="1:6" x14ac:dyDescent="0.25">
      <c r="A38" t="s">
        <v>790</v>
      </c>
      <c r="B38">
        <v>13.3</v>
      </c>
      <c r="C38" t="s">
        <v>385</v>
      </c>
      <c r="D38" t="s">
        <v>427</v>
      </c>
      <c r="E38" t="s">
        <v>741</v>
      </c>
      <c r="F38" t="str">
        <f>VLOOKUP(E38, '[1]POS Categories'!$A$1:$B$999, 2, FALSE)</f>
        <v>Food</v>
      </c>
    </row>
    <row r="39" spans="1:6" x14ac:dyDescent="0.25">
      <c r="A39" t="s">
        <v>790</v>
      </c>
      <c r="B39">
        <v>-66.58</v>
      </c>
      <c r="C39" t="s">
        <v>385</v>
      </c>
      <c r="D39" t="s">
        <v>388</v>
      </c>
      <c r="E39" t="s">
        <v>39</v>
      </c>
      <c r="F39" t="str">
        <f>VLOOKUP(E39, '[1]POS Categories'!$A$1:$B$999, 2, FALSE)</f>
        <v>Home</v>
      </c>
    </row>
    <row r="40" spans="1:6" x14ac:dyDescent="0.25">
      <c r="A40" t="s">
        <v>790</v>
      </c>
      <c r="B40">
        <v>33.28</v>
      </c>
      <c r="C40" t="s">
        <v>385</v>
      </c>
      <c r="D40" t="s">
        <v>427</v>
      </c>
      <c r="E40" t="s">
        <v>39</v>
      </c>
      <c r="F40" t="str">
        <f>VLOOKUP(E40, '[1]POS Categories'!$A$1:$B$999, 2, FALSE)</f>
        <v>Home</v>
      </c>
    </row>
    <row r="41" spans="1:6" x14ac:dyDescent="0.25">
      <c r="A41" t="s">
        <v>790</v>
      </c>
      <c r="B41">
        <v>-55.48</v>
      </c>
      <c r="C41" t="s">
        <v>385</v>
      </c>
      <c r="D41" t="s">
        <v>388</v>
      </c>
      <c r="E41" t="s">
        <v>39</v>
      </c>
      <c r="F41" t="str">
        <f>VLOOKUP(E41, '[1]POS Categories'!$A$1:$B$999, 2, FALSE)</f>
        <v>Home</v>
      </c>
    </row>
    <row r="42" spans="1:6" x14ac:dyDescent="0.25">
      <c r="A42" t="s">
        <v>790</v>
      </c>
      <c r="B42">
        <v>-72.09</v>
      </c>
      <c r="C42" t="s">
        <v>385</v>
      </c>
      <c r="D42" t="s">
        <v>388</v>
      </c>
      <c r="E42" t="s">
        <v>40</v>
      </c>
      <c r="F42" t="str">
        <f>VLOOKUP(E42, '[1]POS Categories'!$A$1:$B$999, 2, FALSE)</f>
        <v>Entertainment</v>
      </c>
    </row>
    <row r="43" spans="1:6" x14ac:dyDescent="0.25">
      <c r="A43" t="s">
        <v>790</v>
      </c>
      <c r="B43">
        <v>-7.3</v>
      </c>
      <c r="C43" t="s">
        <v>385</v>
      </c>
      <c r="D43" t="s">
        <v>388</v>
      </c>
      <c r="E43" t="s">
        <v>408</v>
      </c>
      <c r="F43" t="str">
        <f>VLOOKUP(E43, '[1]POS Categories'!$A$1:$B$999, 2, FALSE)</f>
        <v>Food</v>
      </c>
    </row>
    <row r="44" spans="1:6" x14ac:dyDescent="0.25">
      <c r="A44" t="s">
        <v>790</v>
      </c>
      <c r="B44">
        <v>-150.29</v>
      </c>
      <c r="C44" t="s">
        <v>385</v>
      </c>
      <c r="D44" t="s">
        <v>400</v>
      </c>
      <c r="E44" t="s">
        <v>401</v>
      </c>
      <c r="F44" t="str">
        <f>VLOOKUP(E44, '[1]POS Categories'!$A$1:$B$999, 2, FALSE)</f>
        <v>Misc</v>
      </c>
    </row>
    <row r="45" spans="1:6" x14ac:dyDescent="0.25">
      <c r="A45" t="s">
        <v>790</v>
      </c>
      <c r="B45">
        <v>-13</v>
      </c>
      <c r="C45" t="s">
        <v>385</v>
      </c>
      <c r="D45" t="s">
        <v>388</v>
      </c>
      <c r="E45" t="s">
        <v>41</v>
      </c>
      <c r="F45" t="str">
        <f>VLOOKUP(E45, '[1]POS Categories'!$A$1:$B$999, 2, FALSE)</f>
        <v>Entertainment</v>
      </c>
    </row>
    <row r="46" spans="1:6" x14ac:dyDescent="0.25">
      <c r="A46" t="s">
        <v>791</v>
      </c>
      <c r="B46">
        <v>-48.24</v>
      </c>
      <c r="C46" t="s">
        <v>385</v>
      </c>
      <c r="D46" t="s">
        <v>388</v>
      </c>
      <c r="E46" t="s">
        <v>741</v>
      </c>
      <c r="F46" t="str">
        <f>VLOOKUP(E46, '[1]POS Categories'!$A$1:$B$999, 2, FALSE)</f>
        <v>Food</v>
      </c>
    </row>
    <row r="47" spans="1:6" x14ac:dyDescent="0.25">
      <c r="A47" t="s">
        <v>791</v>
      </c>
      <c r="B47">
        <v>-12.99</v>
      </c>
      <c r="C47" t="s">
        <v>385</v>
      </c>
      <c r="D47" t="s">
        <v>388</v>
      </c>
      <c r="E47" t="s">
        <v>42</v>
      </c>
      <c r="F47" t="str">
        <f>VLOOKUP(E47, '[1]POS Categories'!$A$1:$B$999, 2, FALSE)</f>
        <v>Food</v>
      </c>
    </row>
    <row r="48" spans="1:6" x14ac:dyDescent="0.25">
      <c r="A48" t="s">
        <v>791</v>
      </c>
      <c r="B48">
        <v>-177.56</v>
      </c>
      <c r="C48" t="s">
        <v>385</v>
      </c>
      <c r="D48" t="s">
        <v>388</v>
      </c>
      <c r="E48" t="s">
        <v>43</v>
      </c>
      <c r="F48" t="str">
        <f>VLOOKUP(E48, '[1]POS Categories'!$A$1:$B$999, 2, FALSE)</f>
        <v>Personal</v>
      </c>
    </row>
    <row r="49" spans="1:6" x14ac:dyDescent="0.25">
      <c r="A49" t="s">
        <v>791</v>
      </c>
      <c r="B49">
        <v>-33.26</v>
      </c>
      <c r="C49" t="s">
        <v>385</v>
      </c>
      <c r="D49" t="s">
        <v>388</v>
      </c>
      <c r="E49" t="s">
        <v>44</v>
      </c>
      <c r="F49" t="str">
        <f>VLOOKUP(E49, '[1]POS Categories'!$A$1:$B$999, 2, FALSE)</f>
        <v>Home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8"/>
  <sheetViews>
    <sheetView workbookViewId="0">
      <selection activeCell="F2" sqref="F2"/>
    </sheetView>
  </sheetViews>
  <sheetFormatPr defaultRowHeight="15" x14ac:dyDescent="0.25"/>
  <cols>
    <col min="4" max="4" width="21.5703125" bestFit="1" customWidth="1"/>
    <col min="5" max="5" width="32.7109375" bestFit="1" customWidth="1"/>
  </cols>
  <sheetData>
    <row r="1" spans="1:6" x14ac:dyDescent="0.25">
      <c r="A1" t="s">
        <v>792</v>
      </c>
      <c r="B1">
        <v>-101.85</v>
      </c>
      <c r="C1" t="s">
        <v>385</v>
      </c>
      <c r="D1" t="s">
        <v>388</v>
      </c>
      <c r="E1" t="s">
        <v>452</v>
      </c>
      <c r="F1" t="str">
        <f>VLOOKUP(E1, '[1]POS Categories'!$A$1:$B$999, 2, FALSE)</f>
        <v>Food</v>
      </c>
    </row>
    <row r="2" spans="1:6" x14ac:dyDescent="0.25">
      <c r="A2" t="s">
        <v>792</v>
      </c>
      <c r="B2">
        <v>-14.19</v>
      </c>
      <c r="C2" t="s">
        <v>385</v>
      </c>
      <c r="D2" t="s">
        <v>388</v>
      </c>
      <c r="E2" t="s">
        <v>8</v>
      </c>
      <c r="F2" t="str">
        <f>VLOOKUP(E2, '[1]POS Categories'!$A$1:$B$999, 2, FALSE)</f>
        <v>Food</v>
      </c>
    </row>
    <row r="3" spans="1:6" x14ac:dyDescent="0.25">
      <c r="A3" t="s">
        <v>792</v>
      </c>
      <c r="B3">
        <v>1903.56</v>
      </c>
      <c r="C3" t="s">
        <v>385</v>
      </c>
      <c r="D3" t="s">
        <v>386</v>
      </c>
      <c r="E3" t="s">
        <v>387</v>
      </c>
      <c r="F3" t="str">
        <f>VLOOKUP(E3, '[1]POS Categories'!$A$1:$B$999, 2, FALSE)</f>
        <v>Job</v>
      </c>
    </row>
    <row r="4" spans="1:6" x14ac:dyDescent="0.25">
      <c r="A4" t="s">
        <v>793</v>
      </c>
      <c r="B4">
        <v>-38.49</v>
      </c>
      <c r="C4" t="s">
        <v>385</v>
      </c>
      <c r="D4" t="s">
        <v>388</v>
      </c>
      <c r="E4" t="s">
        <v>794</v>
      </c>
      <c r="F4" t="str">
        <f>VLOOKUP(E4, '[1]POS Categories'!$A$1:$B$999, 2, FALSE)</f>
        <v>Food</v>
      </c>
    </row>
    <row r="5" spans="1:6" x14ac:dyDescent="0.25">
      <c r="A5" t="s">
        <v>795</v>
      </c>
      <c r="B5">
        <v>-115.39</v>
      </c>
      <c r="C5" t="s">
        <v>385</v>
      </c>
      <c r="D5" t="s">
        <v>388</v>
      </c>
      <c r="E5" t="s">
        <v>765</v>
      </c>
      <c r="F5" t="str">
        <f>VLOOKUP(E5, '[1]POS Categories'!$A$1:$B$999, 2, FALSE)</f>
        <v>Food</v>
      </c>
    </row>
    <row r="6" spans="1:6" x14ac:dyDescent="0.25">
      <c r="A6" t="s">
        <v>795</v>
      </c>
      <c r="B6">
        <v>-201.95</v>
      </c>
      <c r="C6" t="s">
        <v>385</v>
      </c>
      <c r="D6" t="s">
        <v>388</v>
      </c>
      <c r="E6" t="s">
        <v>420</v>
      </c>
      <c r="F6" t="str">
        <f>VLOOKUP(E6, '[1]POS Categories'!$A$1:$B$999, 2, FALSE)</f>
        <v>Home</v>
      </c>
    </row>
    <row r="7" spans="1:6" x14ac:dyDescent="0.25">
      <c r="A7" t="s">
        <v>795</v>
      </c>
      <c r="B7">
        <v>-40.119999999999997</v>
      </c>
      <c r="C7" t="s">
        <v>385</v>
      </c>
      <c r="D7" t="s">
        <v>388</v>
      </c>
      <c r="E7" t="s">
        <v>395</v>
      </c>
      <c r="F7" t="str">
        <f>VLOOKUP(E7, '[1]POS Categories'!$A$1:$B$999, 2, FALSE)</f>
        <v>Vehicle</v>
      </c>
    </row>
    <row r="8" spans="1:6" x14ac:dyDescent="0.25">
      <c r="A8" t="s">
        <v>795</v>
      </c>
      <c r="B8">
        <v>-9</v>
      </c>
      <c r="C8" t="s">
        <v>385</v>
      </c>
      <c r="D8" t="s">
        <v>388</v>
      </c>
      <c r="E8" t="s">
        <v>796</v>
      </c>
      <c r="F8" t="str">
        <f>VLOOKUP(E8, '[1]POS Categories'!$A$1:$B$999, 2, FALSE)</f>
        <v>Food</v>
      </c>
    </row>
    <row r="9" spans="1:6" x14ac:dyDescent="0.25">
      <c r="A9" t="s">
        <v>795</v>
      </c>
      <c r="B9">
        <v>-24.05</v>
      </c>
      <c r="C9" t="s">
        <v>385</v>
      </c>
      <c r="D9" t="s">
        <v>388</v>
      </c>
      <c r="E9" t="s">
        <v>463</v>
      </c>
      <c r="F9" t="str">
        <f>VLOOKUP(E9, '[1]POS Categories'!$A$1:$B$999, 2, FALSE)</f>
        <v>Vehicle</v>
      </c>
    </row>
    <row r="10" spans="1:6" x14ac:dyDescent="0.25">
      <c r="A10" t="s">
        <v>797</v>
      </c>
      <c r="B10">
        <v>-411.43</v>
      </c>
      <c r="C10" t="s">
        <v>385</v>
      </c>
      <c r="D10" t="s">
        <v>388</v>
      </c>
      <c r="E10" t="s">
        <v>741</v>
      </c>
      <c r="F10" t="str">
        <f>VLOOKUP(E10, '[1]POS Categories'!$A$1:$B$999, 2, FALSE)</f>
        <v>Food</v>
      </c>
    </row>
    <row r="11" spans="1:6" x14ac:dyDescent="0.25">
      <c r="A11" t="s">
        <v>797</v>
      </c>
      <c r="B11">
        <v>-64.69</v>
      </c>
      <c r="C11" t="s">
        <v>385</v>
      </c>
      <c r="D11" t="s">
        <v>388</v>
      </c>
      <c r="E11" t="s">
        <v>395</v>
      </c>
      <c r="F11" t="str">
        <f>VLOOKUP(E11, '[1]POS Categories'!$A$1:$B$999, 2, FALSE)</f>
        <v>Vehicle</v>
      </c>
    </row>
    <row r="12" spans="1:6" x14ac:dyDescent="0.25">
      <c r="A12" t="s">
        <v>797</v>
      </c>
      <c r="B12">
        <v>-86.83</v>
      </c>
      <c r="C12" t="s">
        <v>385</v>
      </c>
      <c r="D12" t="s">
        <v>388</v>
      </c>
      <c r="E12" t="s">
        <v>423</v>
      </c>
      <c r="F12" t="str">
        <f>VLOOKUP(E12, '[1]POS Categories'!$A$1:$B$999, 2, FALSE)</f>
        <v>Food</v>
      </c>
    </row>
    <row r="13" spans="1:6" x14ac:dyDescent="0.25">
      <c r="A13" t="s">
        <v>797</v>
      </c>
      <c r="B13">
        <v>-25.89</v>
      </c>
      <c r="C13" t="s">
        <v>385</v>
      </c>
      <c r="D13" t="s">
        <v>388</v>
      </c>
      <c r="E13" t="s">
        <v>798</v>
      </c>
      <c r="F13" t="str">
        <f>VLOOKUP(E13, '[1]POS Categories'!$A$1:$B$999, 2, FALSE)</f>
        <v>Vehicle</v>
      </c>
    </row>
    <row r="14" spans="1:6" x14ac:dyDescent="0.25">
      <c r="A14" t="s">
        <v>799</v>
      </c>
      <c r="B14">
        <v>-25.53</v>
      </c>
      <c r="C14" t="s">
        <v>385</v>
      </c>
      <c r="D14" t="s">
        <v>388</v>
      </c>
      <c r="E14" t="s">
        <v>800</v>
      </c>
      <c r="F14" t="str">
        <f>VLOOKUP(E14, '[1]POS Categories'!$A$1:$B$999, 2, FALSE)</f>
        <v>Food</v>
      </c>
    </row>
    <row r="15" spans="1:6" x14ac:dyDescent="0.25">
      <c r="A15" t="s">
        <v>801</v>
      </c>
      <c r="B15">
        <v>480.14</v>
      </c>
      <c r="C15" t="s">
        <v>385</v>
      </c>
      <c r="D15" t="s">
        <v>386</v>
      </c>
      <c r="E15" t="s">
        <v>786</v>
      </c>
      <c r="F15" t="str">
        <f>VLOOKUP(E15, '[1]POS Categories'!$A$1:$B$999, 2, FALSE)</f>
        <v>Job</v>
      </c>
    </row>
    <row r="16" spans="1:6" x14ac:dyDescent="0.25">
      <c r="A16" t="s">
        <v>802</v>
      </c>
      <c r="B16">
        <v>-13.75</v>
      </c>
      <c r="C16" t="s">
        <v>385</v>
      </c>
      <c r="D16" t="s">
        <v>388</v>
      </c>
      <c r="E16" t="s">
        <v>747</v>
      </c>
      <c r="F16" t="str">
        <f>VLOOKUP(E16, '[1]POS Categories'!$A$1:$B$999, 2, FALSE)</f>
        <v>Food</v>
      </c>
    </row>
    <row r="17" spans="1:6" x14ac:dyDescent="0.25">
      <c r="A17" t="s">
        <v>803</v>
      </c>
      <c r="B17">
        <v>-14.51</v>
      </c>
      <c r="C17" t="s">
        <v>385</v>
      </c>
      <c r="D17" t="s">
        <v>388</v>
      </c>
      <c r="E17" t="s">
        <v>804</v>
      </c>
      <c r="F17" t="str">
        <f>VLOOKUP(E17, '[1]POS Categories'!$A$1:$B$999, 2, FALSE)</f>
        <v>Food</v>
      </c>
    </row>
    <row r="18" spans="1:6" x14ac:dyDescent="0.25">
      <c r="A18" t="s">
        <v>805</v>
      </c>
      <c r="B18">
        <v>-27.28</v>
      </c>
      <c r="C18" t="s">
        <v>385</v>
      </c>
      <c r="D18" t="s">
        <v>388</v>
      </c>
      <c r="E18" t="s">
        <v>696</v>
      </c>
      <c r="F18" t="str">
        <f>VLOOKUP(E18, '[1]POS Categories'!$A$1:$B$999, 2, FALSE)</f>
        <v>Food</v>
      </c>
    </row>
    <row r="19" spans="1:6" x14ac:dyDescent="0.25">
      <c r="A19" t="s">
        <v>805</v>
      </c>
      <c r="B19">
        <v>-3.96</v>
      </c>
      <c r="C19" t="s">
        <v>385</v>
      </c>
      <c r="D19" t="s">
        <v>388</v>
      </c>
      <c r="E19" t="s">
        <v>806</v>
      </c>
      <c r="F19" t="str">
        <f>VLOOKUP(E19, '[1]POS Categories'!$A$1:$B$999, 2, FALSE)</f>
        <v>Vehicle</v>
      </c>
    </row>
    <row r="20" spans="1:6" x14ac:dyDescent="0.25">
      <c r="A20" t="s">
        <v>805</v>
      </c>
      <c r="B20">
        <v>-7.2</v>
      </c>
      <c r="C20" t="s">
        <v>385</v>
      </c>
      <c r="D20" t="s">
        <v>388</v>
      </c>
      <c r="E20" t="s">
        <v>597</v>
      </c>
      <c r="F20" t="str">
        <f>VLOOKUP(E20, '[1]POS Categories'!$A$1:$B$999, 2, FALSE)</f>
        <v>Food</v>
      </c>
    </row>
    <row r="21" spans="1:6" x14ac:dyDescent="0.25">
      <c r="A21" t="s">
        <v>805</v>
      </c>
      <c r="B21">
        <v>-12.46</v>
      </c>
      <c r="C21" t="s">
        <v>385</v>
      </c>
      <c r="D21" t="s">
        <v>388</v>
      </c>
      <c r="E21" t="s">
        <v>457</v>
      </c>
      <c r="F21" t="str">
        <f>VLOOKUP(E21, '[1]POS Categories'!$A$1:$B$999, 2, FALSE)</f>
        <v>Food</v>
      </c>
    </row>
    <row r="22" spans="1:6" x14ac:dyDescent="0.25">
      <c r="A22" t="s">
        <v>805</v>
      </c>
      <c r="B22">
        <v>-47.52</v>
      </c>
      <c r="C22" t="s">
        <v>385</v>
      </c>
      <c r="D22" t="s">
        <v>388</v>
      </c>
      <c r="E22" t="s">
        <v>798</v>
      </c>
      <c r="F22" t="str">
        <f>VLOOKUP(E22, '[1]POS Categories'!$A$1:$B$999, 2, FALSE)</f>
        <v>Vehicle</v>
      </c>
    </row>
    <row r="23" spans="1:6" x14ac:dyDescent="0.25">
      <c r="A23" t="s">
        <v>805</v>
      </c>
      <c r="B23">
        <v>-20.62</v>
      </c>
      <c r="C23" t="s">
        <v>385</v>
      </c>
      <c r="D23" t="s">
        <v>388</v>
      </c>
      <c r="E23" t="s">
        <v>696</v>
      </c>
      <c r="F23" t="str">
        <f>VLOOKUP(E23, '[1]POS Categories'!$A$1:$B$999, 2, FALSE)</f>
        <v>Food</v>
      </c>
    </row>
    <row r="24" spans="1:6" x14ac:dyDescent="0.25">
      <c r="A24" t="s">
        <v>807</v>
      </c>
      <c r="B24">
        <v>-14.51</v>
      </c>
      <c r="C24" t="s">
        <v>385</v>
      </c>
      <c r="D24" t="s">
        <v>388</v>
      </c>
      <c r="E24" t="s">
        <v>747</v>
      </c>
      <c r="F24" t="str">
        <f>VLOOKUP(E24, '[1]POS Categories'!$A$1:$B$999, 2, FALSE)</f>
        <v>Food</v>
      </c>
    </row>
    <row r="25" spans="1:6" x14ac:dyDescent="0.25">
      <c r="A25" t="s">
        <v>807</v>
      </c>
      <c r="B25">
        <v>104.79</v>
      </c>
      <c r="C25" t="s">
        <v>385</v>
      </c>
      <c r="D25" t="s">
        <v>467</v>
      </c>
      <c r="E25" t="s">
        <v>637</v>
      </c>
      <c r="F25" t="str">
        <f>VLOOKUP(E25, '[1]POS Categories'!$A$1:$B$999, 2, FALSE)</f>
        <v>Misc</v>
      </c>
    </row>
    <row r="26" spans="1:6" x14ac:dyDescent="0.25">
      <c r="A26" t="s">
        <v>807</v>
      </c>
      <c r="B26">
        <v>-396.27</v>
      </c>
      <c r="C26" t="s">
        <v>385</v>
      </c>
      <c r="D26" t="s">
        <v>400</v>
      </c>
      <c r="E26" t="s">
        <v>401</v>
      </c>
      <c r="F26" t="str">
        <f>VLOOKUP(E26, '[1]POS Categories'!$A$1:$B$999, 2, FALSE)</f>
        <v>Misc</v>
      </c>
    </row>
    <row r="27" spans="1:6" x14ac:dyDescent="0.25">
      <c r="A27" t="s">
        <v>807</v>
      </c>
      <c r="B27">
        <v>-8.08</v>
      </c>
      <c r="C27" t="s">
        <v>385</v>
      </c>
      <c r="D27" t="s">
        <v>388</v>
      </c>
      <c r="E27" t="s">
        <v>457</v>
      </c>
      <c r="F27" t="str">
        <f>VLOOKUP(E27, '[1]POS Categories'!$A$1:$B$999, 2, FALSE)</f>
        <v>Food</v>
      </c>
    </row>
    <row r="28" spans="1:6" x14ac:dyDescent="0.25">
      <c r="A28" t="s">
        <v>807</v>
      </c>
      <c r="B28">
        <v>-210.94</v>
      </c>
      <c r="C28" t="s">
        <v>385</v>
      </c>
      <c r="D28" t="s">
        <v>388</v>
      </c>
      <c r="E28" t="s">
        <v>808</v>
      </c>
      <c r="F28" t="str">
        <f>VLOOKUP(E28, '[1]POS Categories'!$A$1:$B$999, 2, FALSE)</f>
        <v>Vehicle</v>
      </c>
    </row>
    <row r="29" spans="1:6" x14ac:dyDescent="0.25">
      <c r="A29" t="s">
        <v>809</v>
      </c>
      <c r="B29">
        <v>-6.83</v>
      </c>
      <c r="C29" t="s">
        <v>385</v>
      </c>
      <c r="D29" t="s">
        <v>388</v>
      </c>
      <c r="E29" t="s">
        <v>810</v>
      </c>
      <c r="F29" t="str">
        <f>VLOOKUP(E29, '[1]POS Categories'!$A$1:$B$999, 2, FALSE)</f>
        <v>Food</v>
      </c>
    </row>
    <row r="30" spans="1:6" x14ac:dyDescent="0.25">
      <c r="A30" t="s">
        <v>809</v>
      </c>
      <c r="B30">
        <v>-14.97</v>
      </c>
      <c r="C30" t="s">
        <v>385</v>
      </c>
      <c r="D30" t="s">
        <v>388</v>
      </c>
      <c r="E30" t="s">
        <v>811</v>
      </c>
      <c r="F30" t="str">
        <f>VLOOKUP(E30, '[1]POS Categories'!$A$1:$B$999, 2, FALSE)</f>
        <v>Food</v>
      </c>
    </row>
    <row r="31" spans="1:6" x14ac:dyDescent="0.25">
      <c r="A31" t="s">
        <v>812</v>
      </c>
      <c r="B31">
        <v>-62.5</v>
      </c>
      <c r="C31" t="s">
        <v>385</v>
      </c>
      <c r="D31" t="s">
        <v>388</v>
      </c>
      <c r="E31" t="s">
        <v>813</v>
      </c>
      <c r="F31" t="str">
        <f>VLOOKUP(E31, '[1]POS Categories'!$A$1:$B$999, 2, FALSE)</f>
        <v>Food</v>
      </c>
    </row>
    <row r="32" spans="1:6" x14ac:dyDescent="0.25">
      <c r="A32" t="s">
        <v>812</v>
      </c>
      <c r="B32">
        <v>-2.54</v>
      </c>
      <c r="C32" t="s">
        <v>385</v>
      </c>
      <c r="D32" t="s">
        <v>388</v>
      </c>
      <c r="E32" t="s">
        <v>814</v>
      </c>
      <c r="F32" t="str">
        <f>VLOOKUP(E32, '[1]POS Categories'!$A$1:$B$999, 2, FALSE)</f>
        <v>Food</v>
      </c>
    </row>
    <row r="33" spans="1:6" x14ac:dyDescent="0.25">
      <c r="A33" t="s">
        <v>812</v>
      </c>
      <c r="B33">
        <v>-14.72</v>
      </c>
      <c r="C33" t="s">
        <v>385</v>
      </c>
      <c r="D33" t="s">
        <v>388</v>
      </c>
      <c r="E33" t="s">
        <v>815</v>
      </c>
      <c r="F33" t="str">
        <f>VLOOKUP(E33, '[1]POS Categories'!$A$1:$B$999, 2, FALSE)</f>
        <v>Food</v>
      </c>
    </row>
    <row r="34" spans="1:6" x14ac:dyDescent="0.25">
      <c r="A34" t="s">
        <v>812</v>
      </c>
      <c r="B34">
        <v>-6.08</v>
      </c>
      <c r="C34" t="s">
        <v>385</v>
      </c>
      <c r="D34" t="s">
        <v>388</v>
      </c>
      <c r="E34" t="s">
        <v>816</v>
      </c>
      <c r="F34" t="str">
        <f>VLOOKUP(E34, '[1]POS Categories'!$A$1:$B$999, 2, FALSE)</f>
        <v>Food</v>
      </c>
    </row>
    <row r="35" spans="1:6" x14ac:dyDescent="0.25">
      <c r="A35" t="s">
        <v>817</v>
      </c>
      <c r="B35">
        <v>-14.97</v>
      </c>
      <c r="C35" t="s">
        <v>385</v>
      </c>
      <c r="D35" t="s">
        <v>388</v>
      </c>
      <c r="E35" t="s">
        <v>811</v>
      </c>
      <c r="F35" t="str">
        <f>VLOOKUP(E35, '[1]POS Categories'!$A$1:$B$999, 2, FALSE)</f>
        <v>Food</v>
      </c>
    </row>
    <row r="36" spans="1:6" x14ac:dyDescent="0.25">
      <c r="A36" t="s">
        <v>818</v>
      </c>
      <c r="B36">
        <v>-9.85</v>
      </c>
      <c r="C36" t="s">
        <v>385</v>
      </c>
      <c r="D36" t="s">
        <v>388</v>
      </c>
      <c r="E36" t="s">
        <v>819</v>
      </c>
      <c r="F36" t="str">
        <f>VLOOKUP(E36, '[1]POS Categories'!$A$1:$B$999, 2, FALSE)</f>
        <v>Food</v>
      </c>
    </row>
    <row r="37" spans="1:6" x14ac:dyDescent="0.25">
      <c r="A37" t="s">
        <v>818</v>
      </c>
      <c r="B37">
        <v>-12.64</v>
      </c>
      <c r="C37" t="s">
        <v>385</v>
      </c>
      <c r="D37" t="s">
        <v>388</v>
      </c>
      <c r="E37" t="s">
        <v>820</v>
      </c>
      <c r="F37" t="str">
        <f>VLOOKUP(E37, '[1]POS Categories'!$A$1:$B$999, 2, FALSE)</f>
        <v>Food</v>
      </c>
    </row>
    <row r="38" spans="1:6" x14ac:dyDescent="0.25">
      <c r="A38" t="s">
        <v>821</v>
      </c>
      <c r="B38">
        <v>-14.97</v>
      </c>
      <c r="C38" t="s">
        <v>385</v>
      </c>
      <c r="D38" t="s">
        <v>388</v>
      </c>
      <c r="E38" t="s">
        <v>811</v>
      </c>
      <c r="F38" t="str">
        <f>VLOOKUP(E38, '[1]POS Categories'!$A$1:$B$999, 2, FALSE)</f>
        <v>Food</v>
      </c>
    </row>
    <row r="39" spans="1:6" x14ac:dyDescent="0.25">
      <c r="A39" t="s">
        <v>822</v>
      </c>
      <c r="B39">
        <v>-37.92</v>
      </c>
      <c r="C39" t="s">
        <v>385</v>
      </c>
      <c r="D39" t="s">
        <v>388</v>
      </c>
      <c r="E39" t="s">
        <v>694</v>
      </c>
      <c r="F39" t="str">
        <f>VLOOKUP(E39, '[1]POS Categories'!$A$1:$B$999, 2, FALSE)</f>
        <v>Vehicle</v>
      </c>
    </row>
    <row r="40" spans="1:6" x14ac:dyDescent="0.25">
      <c r="A40" t="s">
        <v>823</v>
      </c>
      <c r="B40">
        <v>-6.47</v>
      </c>
      <c r="C40" t="s">
        <v>385</v>
      </c>
      <c r="D40" t="s">
        <v>388</v>
      </c>
      <c r="E40" t="s">
        <v>395</v>
      </c>
      <c r="F40" t="str">
        <f>VLOOKUP(E40, '[1]POS Categories'!$A$1:$B$999, 2, FALSE)</f>
        <v>Vehicle</v>
      </c>
    </row>
    <row r="41" spans="1:6" x14ac:dyDescent="0.25">
      <c r="A41" t="s">
        <v>823</v>
      </c>
      <c r="B41">
        <v>-5.83</v>
      </c>
      <c r="C41" t="s">
        <v>385</v>
      </c>
      <c r="D41" t="s">
        <v>388</v>
      </c>
      <c r="E41" t="s">
        <v>824</v>
      </c>
      <c r="F41" t="str">
        <f>VLOOKUP(E41, '[1]POS Categories'!$A$1:$B$999, 2, FALSE)</f>
        <v>Food</v>
      </c>
    </row>
    <row r="42" spans="1:6" x14ac:dyDescent="0.25">
      <c r="A42" t="s">
        <v>823</v>
      </c>
      <c r="B42">
        <v>-72.38</v>
      </c>
      <c r="C42" t="s">
        <v>385</v>
      </c>
      <c r="D42" t="s">
        <v>388</v>
      </c>
      <c r="E42" t="s">
        <v>586</v>
      </c>
      <c r="F42" t="str">
        <f>VLOOKUP(E42, '[1]POS Categories'!$A$1:$B$999, 2, FALSE)</f>
        <v>Food</v>
      </c>
    </row>
    <row r="43" spans="1:6" x14ac:dyDescent="0.25">
      <c r="A43" t="s">
        <v>823</v>
      </c>
      <c r="B43">
        <v>-6.08</v>
      </c>
      <c r="C43" t="s">
        <v>385</v>
      </c>
      <c r="D43" t="s">
        <v>388</v>
      </c>
      <c r="E43" t="s">
        <v>408</v>
      </c>
      <c r="F43" t="str">
        <f>VLOOKUP(E43, '[1]POS Categories'!$A$1:$B$999, 2, FALSE)</f>
        <v>Food</v>
      </c>
    </row>
    <row r="44" spans="1:6" x14ac:dyDescent="0.25">
      <c r="A44" t="s">
        <v>825</v>
      </c>
      <c r="B44">
        <v>-10.65</v>
      </c>
      <c r="C44" t="s">
        <v>385</v>
      </c>
      <c r="D44" t="s">
        <v>388</v>
      </c>
      <c r="E44" t="s">
        <v>820</v>
      </c>
      <c r="F44" t="str">
        <f>VLOOKUP(E44, '[1]POS Categories'!$A$1:$B$999, 2, FALSE)</f>
        <v>Food</v>
      </c>
    </row>
    <row r="45" spans="1:6" x14ac:dyDescent="0.25">
      <c r="A45" t="s">
        <v>825</v>
      </c>
      <c r="B45">
        <v>-7.3</v>
      </c>
      <c r="C45" t="s">
        <v>385</v>
      </c>
      <c r="D45" t="s">
        <v>388</v>
      </c>
      <c r="E45" t="s">
        <v>816</v>
      </c>
      <c r="F45" t="str">
        <f>VLOOKUP(E45, '[1]POS Categories'!$A$1:$B$999, 2, FALSE)</f>
        <v>Food</v>
      </c>
    </row>
    <row r="46" spans="1:6" x14ac:dyDescent="0.25">
      <c r="A46" t="s">
        <v>825</v>
      </c>
      <c r="B46">
        <v>1763.82</v>
      </c>
      <c r="C46" t="s">
        <v>385</v>
      </c>
      <c r="D46" t="s">
        <v>386</v>
      </c>
      <c r="E46" t="s">
        <v>786</v>
      </c>
      <c r="F46" t="str">
        <f>VLOOKUP(E46, '[1]POS Categories'!$A$1:$B$999, 2, FALSE)</f>
        <v>Job</v>
      </c>
    </row>
    <row r="47" spans="1:6" x14ac:dyDescent="0.25">
      <c r="A47" t="s">
        <v>826</v>
      </c>
      <c r="B47">
        <v>-11.1</v>
      </c>
      <c r="C47" t="s">
        <v>385</v>
      </c>
      <c r="D47" t="s">
        <v>388</v>
      </c>
      <c r="E47" t="s">
        <v>827</v>
      </c>
      <c r="F47" t="str">
        <f>VLOOKUP(E47, '[1]POS Categories'!$A$1:$B$999, 2, FALSE)</f>
        <v>Food</v>
      </c>
    </row>
    <row r="48" spans="1:6" x14ac:dyDescent="0.25">
      <c r="A48" t="s">
        <v>828</v>
      </c>
      <c r="B48">
        <v>-14.97</v>
      </c>
      <c r="C48" t="s">
        <v>385</v>
      </c>
      <c r="D48" t="s">
        <v>388</v>
      </c>
      <c r="E48" t="s">
        <v>811</v>
      </c>
      <c r="F48" t="str">
        <f>VLOOKUP(E48, '[1]POS Categories'!$A$1:$B$999, 2, FALSE)</f>
        <v>Food</v>
      </c>
    </row>
    <row r="49" spans="1:6" x14ac:dyDescent="0.25">
      <c r="A49" t="s">
        <v>828</v>
      </c>
      <c r="B49">
        <v>-60</v>
      </c>
      <c r="C49" t="s">
        <v>385</v>
      </c>
      <c r="D49" t="s">
        <v>388</v>
      </c>
      <c r="E49" t="s">
        <v>829</v>
      </c>
      <c r="F49" t="str">
        <f>VLOOKUP(E49, '[1]POS Categories'!$A$1:$B$999, 2, FALSE)</f>
        <v>Job</v>
      </c>
    </row>
    <row r="50" spans="1:6" x14ac:dyDescent="0.25">
      <c r="A50" t="s">
        <v>828</v>
      </c>
      <c r="B50">
        <v>-56.78</v>
      </c>
      <c r="C50" t="s">
        <v>385</v>
      </c>
      <c r="D50" t="s">
        <v>388</v>
      </c>
      <c r="E50" t="s">
        <v>411</v>
      </c>
      <c r="F50" t="str">
        <f>VLOOKUP(E50, '[1]POS Categories'!$A$1:$B$999, 2, FALSE)</f>
        <v>Sasktel</v>
      </c>
    </row>
    <row r="51" spans="1:6" x14ac:dyDescent="0.25">
      <c r="A51" t="s">
        <v>830</v>
      </c>
      <c r="B51">
        <v>-14.41</v>
      </c>
      <c r="C51" t="s">
        <v>385</v>
      </c>
      <c r="D51" t="s">
        <v>388</v>
      </c>
      <c r="E51" t="s">
        <v>831</v>
      </c>
      <c r="F51" t="str">
        <f>VLOOKUP(E51, '[1]POS Categories'!$A$1:$B$999, 2, FALSE)</f>
        <v>Food</v>
      </c>
    </row>
    <row r="52" spans="1:6" x14ac:dyDescent="0.25">
      <c r="A52" t="s">
        <v>830</v>
      </c>
      <c r="B52">
        <v>-32.909999999999997</v>
      </c>
      <c r="C52" t="s">
        <v>385</v>
      </c>
      <c r="D52" t="s">
        <v>388</v>
      </c>
      <c r="E52" t="s">
        <v>747</v>
      </c>
      <c r="F52" t="str">
        <f>VLOOKUP(E52, '[1]POS Categories'!$A$1:$B$999, 2, FALSE)</f>
        <v>Food</v>
      </c>
    </row>
    <row r="53" spans="1:6" x14ac:dyDescent="0.25">
      <c r="A53" t="s">
        <v>832</v>
      </c>
      <c r="B53">
        <v>-14.51</v>
      </c>
      <c r="C53" t="s">
        <v>385</v>
      </c>
      <c r="D53" t="s">
        <v>388</v>
      </c>
      <c r="E53" t="s">
        <v>747</v>
      </c>
      <c r="F53" t="str">
        <f>VLOOKUP(E53, '[1]POS Categories'!$A$1:$B$999, 2, FALSE)</f>
        <v>Food</v>
      </c>
    </row>
    <row r="54" spans="1:6" x14ac:dyDescent="0.25">
      <c r="A54" t="s">
        <v>833</v>
      </c>
      <c r="B54">
        <v>-38.840000000000003</v>
      </c>
      <c r="C54" t="s">
        <v>385</v>
      </c>
      <c r="D54" t="s">
        <v>388</v>
      </c>
      <c r="E54" t="s">
        <v>834</v>
      </c>
      <c r="F54" t="str">
        <f>VLOOKUP(E54, '[1]POS Categories'!$A$1:$B$999, 2, FALSE)</f>
        <v>Entertainment</v>
      </c>
    </row>
    <row r="55" spans="1:6" x14ac:dyDescent="0.25">
      <c r="A55" t="s">
        <v>833</v>
      </c>
      <c r="B55">
        <v>-10.65</v>
      </c>
      <c r="C55" t="s">
        <v>385</v>
      </c>
      <c r="D55" t="s">
        <v>388</v>
      </c>
      <c r="E55" t="s">
        <v>820</v>
      </c>
      <c r="F55" t="str">
        <f>VLOOKUP(E55, '[1]POS Categories'!$A$1:$B$999, 2, FALSE)</f>
        <v>Food</v>
      </c>
    </row>
    <row r="56" spans="1:6" x14ac:dyDescent="0.25">
      <c r="A56" t="s">
        <v>833</v>
      </c>
      <c r="B56">
        <v>-12.78</v>
      </c>
      <c r="C56" t="s">
        <v>385</v>
      </c>
      <c r="D56" t="s">
        <v>388</v>
      </c>
      <c r="E56" t="s">
        <v>835</v>
      </c>
      <c r="F56" t="str">
        <f>VLOOKUP(E56, '[1]POS Categories'!$A$1:$B$999, 2, FALSE)</f>
        <v>Entertainment</v>
      </c>
    </row>
    <row r="57" spans="1:6" x14ac:dyDescent="0.25">
      <c r="A57" t="s">
        <v>836</v>
      </c>
      <c r="B57">
        <v>-14.97</v>
      </c>
      <c r="C57" t="s">
        <v>385</v>
      </c>
      <c r="D57" t="s">
        <v>388</v>
      </c>
      <c r="E57" t="s">
        <v>811</v>
      </c>
      <c r="F57" t="str">
        <f>VLOOKUP(E57, '[1]POS Categories'!$A$1:$B$999, 2, FALSE)</f>
        <v>Food</v>
      </c>
    </row>
    <row r="58" spans="1:6" x14ac:dyDescent="0.25">
      <c r="A58" t="s">
        <v>836</v>
      </c>
      <c r="B58">
        <v>-105</v>
      </c>
      <c r="C58" t="s">
        <v>385</v>
      </c>
      <c r="D58" t="s">
        <v>388</v>
      </c>
      <c r="E58" t="s">
        <v>837</v>
      </c>
      <c r="F58" t="s">
        <v>6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7"/>
  <sheetViews>
    <sheetView workbookViewId="0">
      <selection activeCell="F2" sqref="F2"/>
    </sheetView>
  </sheetViews>
  <sheetFormatPr defaultRowHeight="15" x14ac:dyDescent="0.25"/>
  <cols>
    <col min="4" max="4" width="18.140625" bestFit="1" customWidth="1"/>
    <col min="5" max="5" width="36.140625" bestFit="1" customWidth="1"/>
  </cols>
  <sheetData>
    <row r="1" spans="1:6" x14ac:dyDescent="0.25">
      <c r="A1" t="s">
        <v>838</v>
      </c>
      <c r="B1">
        <v>-21.27</v>
      </c>
      <c r="C1" t="s">
        <v>385</v>
      </c>
      <c r="D1" t="s">
        <v>388</v>
      </c>
      <c r="E1" t="s">
        <v>696</v>
      </c>
      <c r="F1" t="str">
        <f>VLOOKUP(E1, '[1]POS Categories'!$A$1:$B$999, 2, FALSE)</f>
        <v>Food</v>
      </c>
    </row>
    <row r="2" spans="1:6" x14ac:dyDescent="0.25">
      <c r="A2" t="s">
        <v>838</v>
      </c>
      <c r="B2">
        <v>-22.28</v>
      </c>
      <c r="C2" t="s">
        <v>385</v>
      </c>
      <c r="D2" t="s">
        <v>388</v>
      </c>
      <c r="E2" t="s">
        <v>12</v>
      </c>
      <c r="F2" t="str">
        <f>VLOOKUP(E2, '[1]POS Categories'!$A$1:$B$999, 2, FALSE)</f>
        <v>Food</v>
      </c>
    </row>
    <row r="3" spans="1:6" x14ac:dyDescent="0.25">
      <c r="A3" t="s">
        <v>839</v>
      </c>
      <c r="B3">
        <v>-40.94</v>
      </c>
      <c r="C3" t="s">
        <v>385</v>
      </c>
      <c r="D3" t="s">
        <v>388</v>
      </c>
      <c r="E3" t="s">
        <v>13</v>
      </c>
      <c r="F3" t="str">
        <f>VLOOKUP(E3, '[1]POS Categories'!$A$1:$B$999, 2, FALSE)</f>
        <v>Food</v>
      </c>
    </row>
    <row r="4" spans="1:6" x14ac:dyDescent="0.25">
      <c r="A4" t="s">
        <v>839</v>
      </c>
      <c r="B4">
        <v>-9.1</v>
      </c>
      <c r="C4" t="s">
        <v>385</v>
      </c>
      <c r="D4" t="s">
        <v>388</v>
      </c>
      <c r="E4" t="s">
        <v>14</v>
      </c>
      <c r="F4" t="str">
        <f>VLOOKUP(E4, '[1]POS Categories'!$A$1:$B$999, 2, FALSE)</f>
        <v>Vehicle</v>
      </c>
    </row>
    <row r="5" spans="1:6" x14ac:dyDescent="0.25">
      <c r="A5" t="s">
        <v>840</v>
      </c>
      <c r="B5">
        <v>-102.64</v>
      </c>
      <c r="C5" t="s">
        <v>385</v>
      </c>
      <c r="D5" t="s">
        <v>388</v>
      </c>
      <c r="E5" t="s">
        <v>15</v>
      </c>
      <c r="F5" t="str">
        <f>VLOOKUP(E5, '[1]POS Categories'!$A$1:$B$999, 2, FALSE)</f>
        <v>Food</v>
      </c>
    </row>
    <row r="6" spans="1:6" x14ac:dyDescent="0.25">
      <c r="A6" t="s">
        <v>841</v>
      </c>
      <c r="B6">
        <v>-82.95</v>
      </c>
      <c r="C6" t="s">
        <v>385</v>
      </c>
      <c r="D6" t="s">
        <v>388</v>
      </c>
      <c r="E6" t="s">
        <v>16</v>
      </c>
      <c r="F6" t="str">
        <f>VLOOKUP(E6, '[1]POS Categories'!$A$1:$B$999, 2, FALSE)</f>
        <v>Personal</v>
      </c>
    </row>
    <row r="7" spans="1:6" x14ac:dyDescent="0.25">
      <c r="A7" t="s">
        <v>841</v>
      </c>
      <c r="B7">
        <v>-4.2</v>
      </c>
      <c r="C7" t="s">
        <v>385</v>
      </c>
      <c r="D7" t="s">
        <v>388</v>
      </c>
      <c r="E7" t="s">
        <v>17</v>
      </c>
      <c r="F7" t="str">
        <f>VLOOKUP(E7, '[1]POS Categories'!$A$1:$B$999, 2, FALSE)</f>
        <v>Food</v>
      </c>
    </row>
    <row r="8" spans="1:6" x14ac:dyDescent="0.25">
      <c r="A8" t="s">
        <v>841</v>
      </c>
      <c r="B8">
        <v>-31.49</v>
      </c>
      <c r="C8" t="s">
        <v>385</v>
      </c>
      <c r="D8" t="s">
        <v>388</v>
      </c>
      <c r="E8" t="s">
        <v>18</v>
      </c>
      <c r="F8" t="str">
        <f>VLOOKUP(E8, '[1]POS Categories'!$A$1:$B$999, 2, FALSE)</f>
        <v>Personal</v>
      </c>
    </row>
    <row r="9" spans="1:6" x14ac:dyDescent="0.25">
      <c r="A9" t="s">
        <v>841</v>
      </c>
      <c r="B9">
        <v>-94.49</v>
      </c>
      <c r="C9" t="s">
        <v>385</v>
      </c>
      <c r="D9" t="s">
        <v>388</v>
      </c>
      <c r="E9" t="s">
        <v>19</v>
      </c>
      <c r="F9" t="str">
        <f>VLOOKUP(E9, '[1]POS Categories'!$A$1:$B$999, 2, FALSE)</f>
        <v>Personal</v>
      </c>
    </row>
    <row r="10" spans="1:6" x14ac:dyDescent="0.25">
      <c r="A10" t="s">
        <v>841</v>
      </c>
      <c r="B10">
        <v>1763.82</v>
      </c>
      <c r="C10" t="s">
        <v>385</v>
      </c>
      <c r="D10" t="s">
        <v>386</v>
      </c>
      <c r="E10" t="s">
        <v>786</v>
      </c>
      <c r="F10" t="str">
        <f>VLOOKUP(E10, '[1]POS Categories'!$A$1:$B$999, 2, FALSE)</f>
        <v>Job</v>
      </c>
    </row>
    <row r="11" spans="1:6" x14ac:dyDescent="0.25">
      <c r="A11" t="s">
        <v>842</v>
      </c>
      <c r="B11">
        <v>-101.38</v>
      </c>
      <c r="C11" t="s">
        <v>385</v>
      </c>
      <c r="D11" t="s">
        <v>388</v>
      </c>
      <c r="E11" t="s">
        <v>20</v>
      </c>
      <c r="F11" t="str">
        <f>VLOOKUP(E11, '[1]POS Categories'!$A$1:$B$999, 2, FALSE)</f>
        <v>Food</v>
      </c>
    </row>
    <row r="12" spans="1:6" x14ac:dyDescent="0.25">
      <c r="A12" t="s">
        <v>843</v>
      </c>
      <c r="B12">
        <v>-21.68</v>
      </c>
      <c r="C12" t="s">
        <v>385</v>
      </c>
      <c r="D12" t="s">
        <v>388</v>
      </c>
      <c r="E12" t="s">
        <v>21</v>
      </c>
      <c r="F12" t="str">
        <f>VLOOKUP(E12, '[1]POS Categories'!$A$1:$B$999, 2, FALSE)</f>
        <v>Food</v>
      </c>
    </row>
    <row r="13" spans="1:6" x14ac:dyDescent="0.25">
      <c r="A13" t="s">
        <v>843</v>
      </c>
      <c r="B13">
        <v>-71.25</v>
      </c>
      <c r="C13" t="s">
        <v>385</v>
      </c>
      <c r="D13" t="s">
        <v>388</v>
      </c>
      <c r="E13" t="s">
        <v>22</v>
      </c>
      <c r="F13" t="str">
        <f>VLOOKUP(E13, '[1]POS Categories'!$A$1:$B$999, 2, FALSE)</f>
        <v>Entertainment</v>
      </c>
    </row>
    <row r="14" spans="1:6" x14ac:dyDescent="0.25">
      <c r="A14" t="s">
        <v>844</v>
      </c>
      <c r="B14">
        <v>-14.85</v>
      </c>
      <c r="C14" t="s">
        <v>385</v>
      </c>
      <c r="D14" t="s">
        <v>388</v>
      </c>
      <c r="E14" t="s">
        <v>804</v>
      </c>
      <c r="F14" t="str">
        <f>VLOOKUP(E14, '[1]POS Categories'!$A$1:$B$999, 2, FALSE)</f>
        <v>Food</v>
      </c>
    </row>
    <row r="15" spans="1:6" x14ac:dyDescent="0.25">
      <c r="A15" t="s">
        <v>845</v>
      </c>
      <c r="B15">
        <v>-83.99</v>
      </c>
      <c r="C15" t="s">
        <v>385</v>
      </c>
      <c r="D15" t="s">
        <v>388</v>
      </c>
      <c r="E15" t="s">
        <v>23</v>
      </c>
      <c r="F15" t="str">
        <f>VLOOKUP(E15, '[1]POS Categories'!$A$1:$B$999, 2, FALSE)</f>
        <v>Entertainment</v>
      </c>
    </row>
    <row r="16" spans="1:6" x14ac:dyDescent="0.25">
      <c r="A16" t="s">
        <v>845</v>
      </c>
      <c r="B16">
        <v>-22.04</v>
      </c>
      <c r="C16" t="s">
        <v>385</v>
      </c>
      <c r="D16" t="s">
        <v>388</v>
      </c>
      <c r="E16" t="s">
        <v>23</v>
      </c>
      <c r="F16" t="str">
        <f>VLOOKUP(E16, '[1]POS Categories'!$A$1:$B$999, 2, FALSE)</f>
        <v>Entertainment</v>
      </c>
    </row>
    <row r="17" spans="1:6" x14ac:dyDescent="0.25">
      <c r="A17" t="s">
        <v>846</v>
      </c>
      <c r="B17">
        <v>-9.5299999999999994</v>
      </c>
      <c r="C17" t="s">
        <v>385</v>
      </c>
      <c r="D17" t="s">
        <v>388</v>
      </c>
      <c r="E17" t="s">
        <v>24</v>
      </c>
      <c r="F17" t="str">
        <f>VLOOKUP(E17, '[1]POS Categories'!$A$1:$B$999, 2, FALSE)</f>
        <v>Food</v>
      </c>
    </row>
    <row r="18" spans="1:6" x14ac:dyDescent="0.25">
      <c r="A18" t="s">
        <v>846</v>
      </c>
      <c r="B18">
        <v>-74.75</v>
      </c>
      <c r="C18" t="s">
        <v>385</v>
      </c>
      <c r="D18" t="s">
        <v>388</v>
      </c>
      <c r="E18" t="s">
        <v>25</v>
      </c>
      <c r="F18" t="str">
        <f>VLOOKUP(E18, '[1]POS Categories'!$A$1:$B$999, 2, FALSE)</f>
        <v>Food</v>
      </c>
    </row>
    <row r="19" spans="1:6" x14ac:dyDescent="0.25">
      <c r="A19" t="s">
        <v>847</v>
      </c>
      <c r="B19">
        <v>-14.51</v>
      </c>
      <c r="C19" t="s">
        <v>385</v>
      </c>
      <c r="D19" t="s">
        <v>388</v>
      </c>
      <c r="E19" t="s">
        <v>747</v>
      </c>
      <c r="F19" t="str">
        <f>VLOOKUP(E19, '[1]POS Categories'!$A$1:$B$999, 2, FALSE)</f>
        <v>Food</v>
      </c>
    </row>
    <row r="20" spans="1:6" x14ac:dyDescent="0.25">
      <c r="A20" t="s">
        <v>848</v>
      </c>
      <c r="B20">
        <v>-25.53</v>
      </c>
      <c r="C20" t="s">
        <v>385</v>
      </c>
      <c r="D20" t="s">
        <v>388</v>
      </c>
      <c r="E20" t="s">
        <v>800</v>
      </c>
      <c r="F20" t="str">
        <f>VLOOKUP(E20, '[1]POS Categories'!$A$1:$B$999, 2, FALSE)</f>
        <v>Food</v>
      </c>
    </row>
    <row r="21" spans="1:6" x14ac:dyDescent="0.25">
      <c r="A21" t="s">
        <v>849</v>
      </c>
      <c r="B21">
        <v>1763.82</v>
      </c>
      <c r="C21" t="s">
        <v>385</v>
      </c>
      <c r="D21" t="s">
        <v>386</v>
      </c>
      <c r="E21" t="s">
        <v>786</v>
      </c>
      <c r="F21" t="str">
        <f>VLOOKUP(E21, '[1]POS Categories'!$A$1:$B$999, 2, FALSE)</f>
        <v>Job</v>
      </c>
    </row>
    <row r="22" spans="1:6" x14ac:dyDescent="0.25">
      <c r="A22" t="s">
        <v>850</v>
      </c>
      <c r="B22">
        <v>-30.61</v>
      </c>
      <c r="C22" t="s">
        <v>385</v>
      </c>
      <c r="D22" t="s">
        <v>388</v>
      </c>
      <c r="E22" t="s">
        <v>26</v>
      </c>
      <c r="F22" t="str">
        <f>VLOOKUP(E22, '[1]POS Categories'!$A$1:$B$999, 2, FALSE)</f>
        <v>Food</v>
      </c>
    </row>
    <row r="23" spans="1:6" x14ac:dyDescent="0.25">
      <c r="A23" t="s">
        <v>851</v>
      </c>
      <c r="B23">
        <v>-26.26</v>
      </c>
      <c r="C23" t="s">
        <v>385</v>
      </c>
      <c r="D23" t="s">
        <v>388</v>
      </c>
      <c r="E23" t="s">
        <v>747</v>
      </c>
      <c r="F23" t="str">
        <f>VLOOKUP(E23, '[1]POS Categories'!$A$1:$B$999, 2, FALSE)</f>
        <v>Food</v>
      </c>
    </row>
    <row r="24" spans="1:6" x14ac:dyDescent="0.25">
      <c r="A24" t="s">
        <v>851</v>
      </c>
      <c r="B24">
        <v>-13.99</v>
      </c>
      <c r="C24" t="s">
        <v>385</v>
      </c>
      <c r="D24" t="s">
        <v>388</v>
      </c>
      <c r="E24" t="s">
        <v>27</v>
      </c>
      <c r="F24" t="str">
        <f>VLOOKUP(E24, '[1]POS Categories'!$A$1:$B$999, 2, FALSE)</f>
        <v>Entertainment</v>
      </c>
    </row>
    <row r="25" spans="1:6" x14ac:dyDescent="0.25">
      <c r="A25" t="s">
        <v>851</v>
      </c>
      <c r="B25">
        <v>-26.26</v>
      </c>
      <c r="C25" t="s">
        <v>385</v>
      </c>
      <c r="D25" t="s">
        <v>388</v>
      </c>
      <c r="E25" t="s">
        <v>804</v>
      </c>
      <c r="F25" t="str">
        <f>VLOOKUP(E25, '[1]POS Categories'!$A$1:$B$999, 2, FALSE)</f>
        <v>Food</v>
      </c>
    </row>
    <row r="26" spans="1:6" x14ac:dyDescent="0.25">
      <c r="A26" t="s">
        <v>852</v>
      </c>
      <c r="B26">
        <v>-56.78</v>
      </c>
      <c r="C26" t="s">
        <v>385</v>
      </c>
      <c r="D26" t="s">
        <v>388</v>
      </c>
      <c r="E26" t="s">
        <v>411</v>
      </c>
      <c r="F26" t="str">
        <f>VLOOKUP(E26, '[1]POS Categories'!$A$1:$B$999, 2, FALSE)</f>
        <v>Sasktel</v>
      </c>
    </row>
    <row r="27" spans="1:6" x14ac:dyDescent="0.25">
      <c r="A27" t="s">
        <v>853</v>
      </c>
      <c r="B27">
        <v>-28.39</v>
      </c>
      <c r="C27" t="s">
        <v>385</v>
      </c>
      <c r="D27" t="s">
        <v>388</v>
      </c>
      <c r="E27" t="s">
        <v>696</v>
      </c>
      <c r="F27" t="str">
        <f>VLOOKUP(E27, '[1]POS Categories'!$A$1:$B$999, 2, FALSE)</f>
        <v>Food</v>
      </c>
    </row>
    <row r="28" spans="1:6" x14ac:dyDescent="0.25">
      <c r="A28" t="s">
        <v>854</v>
      </c>
      <c r="B28">
        <v>-106.27</v>
      </c>
      <c r="C28" t="s">
        <v>385</v>
      </c>
      <c r="D28" t="s">
        <v>388</v>
      </c>
      <c r="E28" t="s">
        <v>28</v>
      </c>
      <c r="F28" t="str">
        <f>VLOOKUP(E28, '[1]POS Categories'!$A$1:$B$999, 2, FALSE)</f>
        <v>Food</v>
      </c>
    </row>
    <row r="29" spans="1:6" x14ac:dyDescent="0.25">
      <c r="A29" t="s">
        <v>854</v>
      </c>
      <c r="B29">
        <v>-21.16</v>
      </c>
      <c r="C29" t="s">
        <v>385</v>
      </c>
      <c r="D29" t="s">
        <v>388</v>
      </c>
      <c r="E29" t="s">
        <v>747</v>
      </c>
      <c r="F29" t="str">
        <f>VLOOKUP(E29, '[1]POS Categories'!$A$1:$B$999, 2, FALSE)</f>
        <v>Food</v>
      </c>
    </row>
    <row r="30" spans="1:6" x14ac:dyDescent="0.25">
      <c r="A30" t="s">
        <v>855</v>
      </c>
      <c r="B30">
        <v>-17.95</v>
      </c>
      <c r="C30" t="s">
        <v>385</v>
      </c>
      <c r="D30" t="s">
        <v>388</v>
      </c>
      <c r="E30" t="s">
        <v>696</v>
      </c>
      <c r="F30" t="str">
        <f>VLOOKUP(E30, '[1]POS Categories'!$A$1:$B$999, 2, FALSE)</f>
        <v>Food</v>
      </c>
    </row>
    <row r="31" spans="1:6" x14ac:dyDescent="0.25">
      <c r="A31" t="s">
        <v>855</v>
      </c>
      <c r="B31">
        <v>-21.99</v>
      </c>
      <c r="C31" t="s">
        <v>385</v>
      </c>
      <c r="D31" t="s">
        <v>388</v>
      </c>
      <c r="E31" t="s">
        <v>22</v>
      </c>
      <c r="F31" t="str">
        <f>VLOOKUP(E31, '[1]POS Categories'!$A$1:$B$999, 2, FALSE)</f>
        <v>Entertainment</v>
      </c>
    </row>
    <row r="32" spans="1:6" x14ac:dyDescent="0.25">
      <c r="A32" t="s">
        <v>856</v>
      </c>
      <c r="B32">
        <v>-5</v>
      </c>
      <c r="C32" t="s">
        <v>385</v>
      </c>
      <c r="D32" t="s">
        <v>388</v>
      </c>
      <c r="E32" t="s">
        <v>29</v>
      </c>
      <c r="F32" t="str">
        <f>VLOOKUP(E32, '[1]POS Categories'!$A$1:$B$999, 2, FALSE)</f>
        <v>Entertainment</v>
      </c>
    </row>
    <row r="33" spans="1:6" x14ac:dyDescent="0.25">
      <c r="A33" t="s">
        <v>856</v>
      </c>
      <c r="B33">
        <v>-105</v>
      </c>
      <c r="C33" t="s">
        <v>385</v>
      </c>
      <c r="D33" t="s">
        <v>388</v>
      </c>
      <c r="E33" t="s">
        <v>837</v>
      </c>
      <c r="F33" t="str">
        <f>VLOOKUP(E33, '[1]POS Categories'!$A$1:$B$999, 2, FALSE)</f>
        <v>Food</v>
      </c>
    </row>
    <row r="34" spans="1:6" x14ac:dyDescent="0.25">
      <c r="A34" t="s">
        <v>856</v>
      </c>
      <c r="B34">
        <v>-67.17</v>
      </c>
      <c r="C34" t="s">
        <v>385</v>
      </c>
      <c r="D34" t="s">
        <v>388</v>
      </c>
      <c r="E34" t="s">
        <v>30</v>
      </c>
      <c r="F34" t="str">
        <f>VLOOKUP(E34, '[1]POS Categories'!$A$1:$B$999, 2, FALSE)</f>
        <v>Entertainment</v>
      </c>
    </row>
    <row r="35" spans="1:6" x14ac:dyDescent="0.25">
      <c r="A35" t="s">
        <v>856</v>
      </c>
      <c r="B35">
        <v>0.44</v>
      </c>
      <c r="C35" t="s">
        <v>385</v>
      </c>
      <c r="D35" t="s">
        <v>430</v>
      </c>
      <c r="E35" t="s">
        <v>31</v>
      </c>
      <c r="F35" t="str">
        <f>VLOOKUP(E35, '[1]POS Categories'!$A$1:$B$999, 2, FALSE)</f>
        <v>Entertainment</v>
      </c>
    </row>
    <row r="36" spans="1:6" x14ac:dyDescent="0.25">
      <c r="A36" t="s">
        <v>856</v>
      </c>
      <c r="B36">
        <v>-0.44</v>
      </c>
      <c r="C36" t="s">
        <v>385</v>
      </c>
      <c r="D36" t="s">
        <v>388</v>
      </c>
      <c r="E36" t="s">
        <v>31</v>
      </c>
      <c r="F36" t="str">
        <f>VLOOKUP(E36, '[1]POS Categories'!$A$1:$B$999, 2, FALSE)</f>
        <v>Entertainment</v>
      </c>
    </row>
    <row r="37" spans="1:6" x14ac:dyDescent="0.25">
      <c r="A37" t="s">
        <v>856</v>
      </c>
      <c r="B37">
        <v>-39.65</v>
      </c>
      <c r="C37" t="s">
        <v>385</v>
      </c>
      <c r="D37" t="s">
        <v>388</v>
      </c>
      <c r="E37" t="s">
        <v>32</v>
      </c>
      <c r="F37" t="str">
        <f>VLOOKUP(E37, '[1]POS Categories'!$A$1:$B$999, 2, FALSE)</f>
        <v>Food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5"/>
  <sheetViews>
    <sheetView workbookViewId="0">
      <selection activeCell="F2" sqref="F2"/>
    </sheetView>
  </sheetViews>
  <sheetFormatPr defaultRowHeight="15" x14ac:dyDescent="0.25"/>
  <cols>
    <col min="5" max="5" width="36.140625" bestFit="1" customWidth="1"/>
  </cols>
  <sheetData>
    <row r="1" spans="1:6" x14ac:dyDescent="0.25">
      <c r="A1" t="s">
        <v>857</v>
      </c>
      <c r="B1">
        <v>-85.09</v>
      </c>
      <c r="C1" t="s">
        <v>385</v>
      </c>
      <c r="D1" t="s">
        <v>388</v>
      </c>
      <c r="E1" t="s">
        <v>25</v>
      </c>
      <c r="F1" t="str">
        <f>VLOOKUP(E1, '[1]POS Categories'!$A$1:$B$999, 2, FALSE)</f>
        <v>Food</v>
      </c>
    </row>
    <row r="2" spans="1:6" x14ac:dyDescent="0.25">
      <c r="A2" t="s">
        <v>857</v>
      </c>
      <c r="B2">
        <v>-10.72</v>
      </c>
      <c r="C2" t="s">
        <v>385</v>
      </c>
      <c r="D2" t="s">
        <v>388</v>
      </c>
      <c r="E2" t="s">
        <v>457</v>
      </c>
      <c r="F2" t="str">
        <f>VLOOKUP(E2, '[1]POS Categories'!$A$1:$B$999, 2, FALSE)</f>
        <v>Food</v>
      </c>
    </row>
    <row r="3" spans="1:6" x14ac:dyDescent="0.25">
      <c r="A3" t="s">
        <v>857</v>
      </c>
      <c r="B3">
        <v>-44.1</v>
      </c>
      <c r="C3" t="s">
        <v>385</v>
      </c>
      <c r="D3" t="s">
        <v>388</v>
      </c>
      <c r="E3" t="s">
        <v>798</v>
      </c>
      <c r="F3" t="str">
        <f>VLOOKUP(E3, '[1]POS Categories'!$A$1:$B$999, 2, FALSE)</f>
        <v>Vehicle</v>
      </c>
    </row>
    <row r="4" spans="1:6" x14ac:dyDescent="0.25">
      <c r="A4" t="s">
        <v>858</v>
      </c>
      <c r="B4">
        <v>-44.65</v>
      </c>
      <c r="C4" t="s">
        <v>385</v>
      </c>
      <c r="D4" t="s">
        <v>388</v>
      </c>
      <c r="E4" t="s">
        <v>747</v>
      </c>
      <c r="F4" t="str">
        <f>VLOOKUP(E4, '[1]POS Categories'!$A$1:$B$999, 2, FALSE)</f>
        <v>Food</v>
      </c>
    </row>
    <row r="5" spans="1:6" x14ac:dyDescent="0.25">
      <c r="A5" t="s">
        <v>858</v>
      </c>
      <c r="B5">
        <v>1763.82</v>
      </c>
      <c r="C5" t="s">
        <v>385</v>
      </c>
      <c r="D5" t="s">
        <v>386</v>
      </c>
      <c r="E5" t="s">
        <v>786</v>
      </c>
      <c r="F5" t="str">
        <f>VLOOKUP(E5, '[1]POS Categories'!$A$1:$B$999, 2, FALSE)</f>
        <v>Job</v>
      </c>
    </row>
    <row r="6" spans="1:6" x14ac:dyDescent="0.25">
      <c r="A6" t="s">
        <v>859</v>
      </c>
      <c r="B6">
        <v>-14.85</v>
      </c>
      <c r="C6" t="s">
        <v>385</v>
      </c>
      <c r="D6" t="s">
        <v>388</v>
      </c>
      <c r="E6" t="s">
        <v>804</v>
      </c>
      <c r="F6" t="str">
        <f>VLOOKUP(E6, '[1]POS Categories'!$A$1:$B$999, 2, FALSE)</f>
        <v>Food</v>
      </c>
    </row>
    <row r="7" spans="1:6" x14ac:dyDescent="0.25">
      <c r="A7" t="s">
        <v>860</v>
      </c>
      <c r="B7">
        <v>-5.24</v>
      </c>
      <c r="C7" t="s">
        <v>385</v>
      </c>
      <c r="D7" t="s">
        <v>388</v>
      </c>
      <c r="E7" t="s">
        <v>23</v>
      </c>
      <c r="F7" t="str">
        <f>VLOOKUP(E7, '[1]POS Categories'!$A$1:$B$999, 2, FALSE)</f>
        <v>Entertainment</v>
      </c>
    </row>
    <row r="8" spans="1:6" x14ac:dyDescent="0.25">
      <c r="A8" t="s">
        <v>860</v>
      </c>
      <c r="B8">
        <v>-43.28</v>
      </c>
      <c r="C8" t="s">
        <v>385</v>
      </c>
      <c r="D8" t="s">
        <v>388</v>
      </c>
      <c r="E8" t="s">
        <v>46</v>
      </c>
      <c r="F8" t="str">
        <f>VLOOKUP(E8, '[1]POS Categories'!$A$1:$B$999, 2, FALSE)</f>
        <v>Entertainment</v>
      </c>
    </row>
    <row r="9" spans="1:6" x14ac:dyDescent="0.25">
      <c r="A9" t="s">
        <v>861</v>
      </c>
      <c r="B9">
        <v>-10</v>
      </c>
      <c r="C9" t="s">
        <v>385</v>
      </c>
      <c r="D9" t="s">
        <v>388</v>
      </c>
      <c r="E9" t="s">
        <v>47</v>
      </c>
      <c r="F9" t="str">
        <f>VLOOKUP(E9, '[1]POS Categories'!$A$1:$B$999, 2, FALSE)</f>
        <v>Entertainment</v>
      </c>
    </row>
    <row r="10" spans="1:6" x14ac:dyDescent="0.25">
      <c r="A10" t="s">
        <v>861</v>
      </c>
      <c r="B10">
        <v>-27.28</v>
      </c>
      <c r="C10" t="s">
        <v>385</v>
      </c>
      <c r="D10" t="s">
        <v>388</v>
      </c>
      <c r="E10" t="s">
        <v>696</v>
      </c>
      <c r="F10" t="str">
        <f>VLOOKUP(E10, '[1]POS Categories'!$A$1:$B$999, 2, FALSE)</f>
        <v>Food</v>
      </c>
    </row>
    <row r="11" spans="1:6" x14ac:dyDescent="0.25">
      <c r="A11" t="s">
        <v>861</v>
      </c>
      <c r="B11">
        <v>-14.85</v>
      </c>
      <c r="C11" t="s">
        <v>385</v>
      </c>
      <c r="D11" t="s">
        <v>388</v>
      </c>
      <c r="E11" t="s">
        <v>804</v>
      </c>
      <c r="F11" t="str">
        <f>VLOOKUP(E11, '[1]POS Categories'!$A$1:$B$999, 2, FALSE)</f>
        <v>Food</v>
      </c>
    </row>
    <row r="12" spans="1:6" x14ac:dyDescent="0.25">
      <c r="A12" t="s">
        <v>862</v>
      </c>
      <c r="B12">
        <v>-62.81</v>
      </c>
      <c r="C12" t="s">
        <v>385</v>
      </c>
      <c r="D12" t="s">
        <v>388</v>
      </c>
      <c r="E12" t="s">
        <v>48</v>
      </c>
      <c r="F12" t="str">
        <f>VLOOKUP(E12, '[1]POS Categories'!$A$1:$B$999, 2, FALSE)</f>
        <v>Food</v>
      </c>
    </row>
    <row r="13" spans="1:6" x14ac:dyDescent="0.25">
      <c r="A13" t="s">
        <v>863</v>
      </c>
      <c r="B13">
        <v>-46.64</v>
      </c>
      <c r="C13" t="s">
        <v>385</v>
      </c>
      <c r="D13" t="s">
        <v>388</v>
      </c>
      <c r="E13" t="s">
        <v>804</v>
      </c>
      <c r="F13" t="str">
        <f>VLOOKUP(E13, '[1]POS Categories'!$A$1:$B$999, 2, FALSE)</f>
        <v>Food</v>
      </c>
    </row>
    <row r="14" spans="1:6" x14ac:dyDescent="0.25">
      <c r="A14" t="s">
        <v>864</v>
      </c>
      <c r="B14">
        <v>-25.05</v>
      </c>
      <c r="C14" t="s">
        <v>385</v>
      </c>
      <c r="D14" t="s">
        <v>388</v>
      </c>
      <c r="E14" t="s">
        <v>747</v>
      </c>
      <c r="F14" t="str">
        <f>VLOOKUP(E14, '[1]POS Categories'!$A$1:$B$999, 2, FALSE)</f>
        <v>Food</v>
      </c>
    </row>
    <row r="15" spans="1:6" x14ac:dyDescent="0.25">
      <c r="A15" t="s">
        <v>864</v>
      </c>
      <c r="B15">
        <v>-14.86</v>
      </c>
      <c r="C15" t="s">
        <v>385</v>
      </c>
      <c r="D15" t="s">
        <v>388</v>
      </c>
      <c r="E15" t="s">
        <v>12</v>
      </c>
      <c r="F15" t="str">
        <f>VLOOKUP(E15, '[1]POS Categories'!$A$1:$B$999, 2, FALSE)</f>
        <v>Food</v>
      </c>
    </row>
    <row r="16" spans="1:6" x14ac:dyDescent="0.25">
      <c r="A16" t="s">
        <v>864</v>
      </c>
      <c r="B16">
        <v>-9.76</v>
      </c>
      <c r="C16" t="s">
        <v>385</v>
      </c>
      <c r="D16" t="s">
        <v>388</v>
      </c>
      <c r="E16" t="s">
        <v>696</v>
      </c>
      <c r="F16" t="str">
        <f>VLOOKUP(E16, '[1]POS Categories'!$A$1:$B$999, 2, FALSE)</f>
        <v>Food</v>
      </c>
    </row>
    <row r="17" spans="1:6" x14ac:dyDescent="0.25">
      <c r="A17" t="s">
        <v>865</v>
      </c>
      <c r="B17">
        <v>1763.82</v>
      </c>
      <c r="C17" t="s">
        <v>385</v>
      </c>
      <c r="D17" t="s">
        <v>386</v>
      </c>
      <c r="E17" t="s">
        <v>786</v>
      </c>
      <c r="F17" t="str">
        <f>VLOOKUP(E17, '[1]POS Categories'!$A$1:$B$999, 2, FALSE)</f>
        <v>Job</v>
      </c>
    </row>
    <row r="18" spans="1:6" x14ac:dyDescent="0.25">
      <c r="A18" t="s">
        <v>866</v>
      </c>
      <c r="B18">
        <v>-64.16</v>
      </c>
      <c r="C18" t="s">
        <v>385</v>
      </c>
      <c r="D18" t="s">
        <v>388</v>
      </c>
      <c r="E18" t="s">
        <v>32</v>
      </c>
      <c r="F18" t="str">
        <f>VLOOKUP(E18, '[1]POS Categories'!$A$1:$B$999, 2, FALSE)</f>
        <v>Food</v>
      </c>
    </row>
    <row r="19" spans="1:6" x14ac:dyDescent="0.25">
      <c r="A19" t="s">
        <v>866</v>
      </c>
      <c r="B19">
        <v>-44.65</v>
      </c>
      <c r="C19" t="s">
        <v>385</v>
      </c>
      <c r="D19" t="s">
        <v>388</v>
      </c>
      <c r="E19" t="s">
        <v>747</v>
      </c>
      <c r="F19" t="str">
        <f>VLOOKUP(E19, '[1]POS Categories'!$A$1:$B$999, 2, FALSE)</f>
        <v>Food</v>
      </c>
    </row>
    <row r="20" spans="1:6" x14ac:dyDescent="0.25">
      <c r="A20" t="s">
        <v>867</v>
      </c>
      <c r="B20">
        <v>-26.26</v>
      </c>
      <c r="C20" t="s">
        <v>385</v>
      </c>
      <c r="D20" t="s">
        <v>388</v>
      </c>
      <c r="E20" t="s">
        <v>804</v>
      </c>
      <c r="F20" t="str">
        <f>VLOOKUP(E20, '[1]POS Categories'!$A$1:$B$999, 2, FALSE)</f>
        <v>Food</v>
      </c>
    </row>
    <row r="21" spans="1:6" x14ac:dyDescent="0.25">
      <c r="A21" t="s">
        <v>868</v>
      </c>
      <c r="B21">
        <v>-56.78</v>
      </c>
      <c r="C21" t="s">
        <v>385</v>
      </c>
      <c r="D21" t="s">
        <v>388</v>
      </c>
      <c r="E21" t="s">
        <v>411</v>
      </c>
      <c r="F21" t="str">
        <f>VLOOKUP(E21, '[1]POS Categories'!$A$1:$B$999, 2, FALSE)</f>
        <v>Sasktel</v>
      </c>
    </row>
    <row r="22" spans="1:6" x14ac:dyDescent="0.25">
      <c r="A22" t="s">
        <v>869</v>
      </c>
      <c r="B22">
        <v>-26.26</v>
      </c>
      <c r="C22" t="s">
        <v>385</v>
      </c>
      <c r="D22" t="s">
        <v>388</v>
      </c>
      <c r="E22" t="s">
        <v>804</v>
      </c>
      <c r="F22" t="str">
        <f>VLOOKUP(E22, '[1]POS Categories'!$A$1:$B$999, 2, FALSE)</f>
        <v>Food</v>
      </c>
    </row>
    <row r="23" spans="1:6" x14ac:dyDescent="0.25">
      <c r="A23" t="s">
        <v>870</v>
      </c>
      <c r="B23">
        <v>-105</v>
      </c>
      <c r="C23" t="s">
        <v>385</v>
      </c>
      <c r="D23" t="s">
        <v>388</v>
      </c>
      <c r="E23" t="s">
        <v>837</v>
      </c>
      <c r="F23" t="str">
        <f>VLOOKUP(E23, '[1]POS Categories'!$A$1:$B$999, 2, FALSE)</f>
        <v>Food</v>
      </c>
    </row>
    <row r="24" spans="1:6" x14ac:dyDescent="0.25">
      <c r="A24" t="s">
        <v>871</v>
      </c>
      <c r="B24">
        <v>-45.55</v>
      </c>
      <c r="C24" t="s">
        <v>385</v>
      </c>
      <c r="D24" t="s">
        <v>388</v>
      </c>
      <c r="E24" t="s">
        <v>22</v>
      </c>
      <c r="F24" t="str">
        <f>VLOOKUP(E24, '[1]POS Categories'!$A$1:$B$999, 2, FALSE)</f>
        <v>Entertainment</v>
      </c>
    </row>
    <row r="25" spans="1:6" x14ac:dyDescent="0.25">
      <c r="A25" t="s">
        <v>871</v>
      </c>
      <c r="B25">
        <v>-48.84</v>
      </c>
      <c r="C25" t="s">
        <v>385</v>
      </c>
      <c r="D25" t="s">
        <v>388</v>
      </c>
      <c r="E25" t="s">
        <v>800</v>
      </c>
      <c r="F25" t="str">
        <f>VLOOKUP(E25, '[1]POS Categories'!$A$1:$B$999, 2, FALSE)</f>
        <v>Food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"/>
  <sheetViews>
    <sheetView workbookViewId="0">
      <selection activeCell="F2" sqref="F2"/>
    </sheetView>
  </sheetViews>
  <sheetFormatPr defaultRowHeight="15" x14ac:dyDescent="0.25"/>
  <cols>
    <col min="3" max="3" width="10.42578125" customWidth="1"/>
    <col min="5" max="5" width="36.140625" bestFit="1" customWidth="1"/>
  </cols>
  <sheetData>
    <row r="1" spans="1:6" x14ac:dyDescent="0.25">
      <c r="A1" t="s">
        <v>872</v>
      </c>
      <c r="B1">
        <v>1763.82</v>
      </c>
      <c r="C1" t="s">
        <v>385</v>
      </c>
      <c r="D1" t="s">
        <v>386</v>
      </c>
      <c r="E1" t="s">
        <v>786</v>
      </c>
      <c r="F1" t="str">
        <f>VLOOKUP(E1, '[1]POS Categories'!$A$1:$B$999, 2, FALSE)</f>
        <v>Job</v>
      </c>
    </row>
    <row r="2" spans="1:6" x14ac:dyDescent="0.25">
      <c r="A2" t="s">
        <v>873</v>
      </c>
      <c r="B2">
        <v>-8.56</v>
      </c>
      <c r="C2" t="s">
        <v>385</v>
      </c>
      <c r="D2" t="s">
        <v>388</v>
      </c>
      <c r="E2" t="s">
        <v>25</v>
      </c>
      <c r="F2" t="str">
        <f>VLOOKUP(E2, '[1]POS Categories'!$A$1:$B$999, 2, FALSE)</f>
        <v>Food</v>
      </c>
    </row>
    <row r="3" spans="1:6" x14ac:dyDescent="0.25">
      <c r="A3" t="s">
        <v>874</v>
      </c>
      <c r="B3">
        <v>-21.05</v>
      </c>
      <c r="C3" t="s">
        <v>385</v>
      </c>
      <c r="D3" t="s">
        <v>388</v>
      </c>
      <c r="E3" t="s">
        <v>747</v>
      </c>
      <c r="F3" t="str">
        <f>VLOOKUP(E3, '[1]POS Categories'!$A$1:$B$999, 2, FALSE)</f>
        <v>Food</v>
      </c>
    </row>
    <row r="4" spans="1:6" x14ac:dyDescent="0.25">
      <c r="A4" t="s">
        <v>874</v>
      </c>
      <c r="B4">
        <v>-5.24</v>
      </c>
      <c r="C4" t="s">
        <v>385</v>
      </c>
      <c r="D4" t="s">
        <v>388</v>
      </c>
      <c r="E4" t="s">
        <v>23</v>
      </c>
      <c r="F4" t="str">
        <f>VLOOKUP(E4, '[1]POS Categories'!$A$1:$B$999, 2, FALSE)</f>
        <v>Entertainment</v>
      </c>
    </row>
    <row r="5" spans="1:6" x14ac:dyDescent="0.25">
      <c r="A5" t="s">
        <v>874</v>
      </c>
      <c r="B5">
        <v>34.11</v>
      </c>
      <c r="C5" t="s">
        <v>385</v>
      </c>
      <c r="D5" t="s">
        <v>430</v>
      </c>
      <c r="E5" t="s">
        <v>22</v>
      </c>
      <c r="F5" t="str">
        <f>VLOOKUP(E5, '[1]POS Categories'!$A$1:$B$999, 2, FALSE)</f>
        <v>Entertainment</v>
      </c>
    </row>
    <row r="6" spans="1:6" x14ac:dyDescent="0.25">
      <c r="A6" t="s">
        <v>874</v>
      </c>
      <c r="B6">
        <v>-34.11</v>
      </c>
      <c r="C6" t="s">
        <v>385</v>
      </c>
      <c r="D6" t="s">
        <v>388</v>
      </c>
      <c r="E6" t="s">
        <v>22</v>
      </c>
      <c r="F6" t="str">
        <f>VLOOKUP(E6, '[1]POS Categories'!$A$1:$B$999, 2, FALSE)</f>
        <v>Entertainment</v>
      </c>
    </row>
    <row r="7" spans="1:6" x14ac:dyDescent="0.25">
      <c r="A7" t="s">
        <v>875</v>
      </c>
      <c r="B7">
        <v>-22.79</v>
      </c>
      <c r="C7" t="s">
        <v>385</v>
      </c>
      <c r="D7" t="s">
        <v>388</v>
      </c>
      <c r="E7" t="s">
        <v>49</v>
      </c>
      <c r="F7" t="str">
        <f>VLOOKUP(E7, '[1]POS Categories'!$A$1:$B$999, 2, FALSE)</f>
        <v>Entertainment</v>
      </c>
    </row>
    <row r="8" spans="1:6" x14ac:dyDescent="0.25">
      <c r="A8" t="s">
        <v>876</v>
      </c>
      <c r="B8">
        <v>-19.510000000000002</v>
      </c>
      <c r="C8" t="s">
        <v>385</v>
      </c>
      <c r="D8" t="s">
        <v>388</v>
      </c>
      <c r="E8" t="s">
        <v>696</v>
      </c>
      <c r="F8" t="str">
        <f>VLOOKUP(E8, '[1]POS Categories'!$A$1:$B$999, 2, FALSE)</f>
        <v>Food</v>
      </c>
    </row>
    <row r="9" spans="1:6" x14ac:dyDescent="0.25">
      <c r="A9" t="s">
        <v>877</v>
      </c>
      <c r="B9">
        <v>318.76</v>
      </c>
      <c r="C9" t="s">
        <v>385</v>
      </c>
      <c r="D9" t="s">
        <v>467</v>
      </c>
      <c r="E9" t="s">
        <v>637</v>
      </c>
      <c r="F9" t="str">
        <f>VLOOKUP(E9, '[1]POS Categories'!$A$1:$B$999, 2, FALSE)</f>
        <v>Misc</v>
      </c>
    </row>
    <row r="10" spans="1:6" x14ac:dyDescent="0.25">
      <c r="A10" t="s">
        <v>877</v>
      </c>
      <c r="B10">
        <v>197.25</v>
      </c>
      <c r="C10" t="s">
        <v>385</v>
      </c>
      <c r="D10" t="s">
        <v>467</v>
      </c>
      <c r="E10" t="s">
        <v>637</v>
      </c>
      <c r="F10" t="str">
        <f>VLOOKUP(E10, '[1]POS Categories'!$A$1:$B$999, 2, FALSE)</f>
        <v>Misc</v>
      </c>
    </row>
    <row r="11" spans="1:6" x14ac:dyDescent="0.25">
      <c r="A11" t="s">
        <v>877</v>
      </c>
      <c r="B11">
        <v>4267.46</v>
      </c>
      <c r="C11" t="s">
        <v>385</v>
      </c>
      <c r="D11" t="s">
        <v>467</v>
      </c>
      <c r="E11" t="s">
        <v>637</v>
      </c>
      <c r="F11" t="s">
        <v>1</v>
      </c>
    </row>
    <row r="12" spans="1:6" x14ac:dyDescent="0.25">
      <c r="A12" t="s">
        <v>878</v>
      </c>
      <c r="B12">
        <v>1763.82</v>
      </c>
      <c r="C12" t="s">
        <v>385</v>
      </c>
      <c r="D12" t="s">
        <v>386</v>
      </c>
      <c r="E12" t="s">
        <v>786</v>
      </c>
      <c r="F12" t="str">
        <f>VLOOKUP(E12, '[1]POS Categories'!$A$1:$B$999, 2, FALSE)</f>
        <v>Job</v>
      </c>
    </row>
    <row r="13" spans="1:6" x14ac:dyDescent="0.25">
      <c r="A13" t="s">
        <v>879</v>
      </c>
      <c r="B13">
        <v>-26.26</v>
      </c>
      <c r="C13" t="s">
        <v>385</v>
      </c>
      <c r="D13" t="s">
        <v>388</v>
      </c>
      <c r="E13" t="s">
        <v>747</v>
      </c>
      <c r="F13" t="str">
        <f>VLOOKUP(E13, '[1]POS Categories'!$A$1:$B$999, 2, FALSE)</f>
        <v>Food</v>
      </c>
    </row>
    <row r="14" spans="1:6" x14ac:dyDescent="0.25">
      <c r="A14" t="s">
        <v>880</v>
      </c>
      <c r="B14">
        <v>-56.78</v>
      </c>
      <c r="C14" t="s">
        <v>385</v>
      </c>
      <c r="D14" t="s">
        <v>388</v>
      </c>
      <c r="E14" t="s">
        <v>411</v>
      </c>
      <c r="F14" t="str">
        <f>VLOOKUP(E14, '[1]POS Categories'!$A$1:$B$999, 2, FALSE)</f>
        <v>Sasktel</v>
      </c>
    </row>
    <row r="15" spans="1:6" x14ac:dyDescent="0.25">
      <c r="A15" t="s">
        <v>881</v>
      </c>
      <c r="B15">
        <v>-115.97</v>
      </c>
      <c r="C15" t="s">
        <v>385</v>
      </c>
      <c r="D15" t="s">
        <v>388</v>
      </c>
      <c r="E15" t="s">
        <v>24</v>
      </c>
      <c r="F15" t="str">
        <f>VLOOKUP(E15, '[1]POS Categories'!$A$1:$B$999, 2, FALSE)</f>
        <v>Food</v>
      </c>
    </row>
    <row r="16" spans="1:6" x14ac:dyDescent="0.25">
      <c r="A16" t="s">
        <v>882</v>
      </c>
      <c r="B16">
        <v>-1.83</v>
      </c>
      <c r="C16" t="s">
        <v>385</v>
      </c>
      <c r="D16" t="s">
        <v>388</v>
      </c>
      <c r="E16" t="s">
        <v>50</v>
      </c>
      <c r="F16" t="str">
        <f>VLOOKUP(E16, '[1]POS Categories'!$A$1:$B$999, 2, FALSE)</f>
        <v>Entertainment</v>
      </c>
    </row>
    <row r="17" spans="1:6" x14ac:dyDescent="0.25">
      <c r="A17" t="s">
        <v>882</v>
      </c>
      <c r="B17">
        <v>1744.19</v>
      </c>
      <c r="C17" t="s">
        <v>385</v>
      </c>
      <c r="D17" t="s">
        <v>386</v>
      </c>
      <c r="E17" t="s">
        <v>786</v>
      </c>
      <c r="F17" t="str">
        <f>VLOOKUP(E17, '[1]POS Categories'!$A$1:$B$999, 2, FALSE)</f>
        <v>Job</v>
      </c>
    </row>
    <row r="18" spans="1:6" x14ac:dyDescent="0.25">
      <c r="A18" t="s">
        <v>883</v>
      </c>
      <c r="B18">
        <v>-105</v>
      </c>
      <c r="C18" t="s">
        <v>385</v>
      </c>
      <c r="D18" t="s">
        <v>388</v>
      </c>
      <c r="E18" t="s">
        <v>837</v>
      </c>
      <c r="F18" t="str">
        <f>VLOOKUP(E18, '[1]POS Categories'!$A$1:$B$999, 2, FALSE)</f>
        <v>Food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0"/>
  <sheetViews>
    <sheetView workbookViewId="0">
      <selection activeCell="F2" sqref="F2"/>
    </sheetView>
  </sheetViews>
  <sheetFormatPr defaultRowHeight="15" x14ac:dyDescent="0.25"/>
  <cols>
    <col min="5" max="5" width="36.140625" bestFit="1" customWidth="1"/>
  </cols>
  <sheetData>
    <row r="1" spans="1:6" x14ac:dyDescent="0.25">
      <c r="A1" t="s">
        <v>884</v>
      </c>
      <c r="B1">
        <v>-13.49</v>
      </c>
      <c r="C1" t="s">
        <v>385</v>
      </c>
      <c r="D1" t="s">
        <v>388</v>
      </c>
      <c r="E1" t="s">
        <v>22</v>
      </c>
      <c r="F1" t="str">
        <f>VLOOKUP(E1, '[1]POS Categories'!$A$1:$B$999, 2, FALSE)</f>
        <v>Entertainment</v>
      </c>
    </row>
    <row r="2" spans="1:6" x14ac:dyDescent="0.25">
      <c r="A2" t="s">
        <v>885</v>
      </c>
      <c r="B2">
        <v>-5.24</v>
      </c>
      <c r="C2" t="s">
        <v>385</v>
      </c>
      <c r="D2" t="s">
        <v>388</v>
      </c>
      <c r="E2" t="s">
        <v>23</v>
      </c>
      <c r="F2" t="str">
        <f>VLOOKUP(E2, '[1]POS Categories'!$A$1:$B$999, 2, FALSE)</f>
        <v>Entertainment</v>
      </c>
    </row>
    <row r="3" spans="1:6" x14ac:dyDescent="0.25">
      <c r="A3" t="s">
        <v>886</v>
      </c>
      <c r="B3">
        <v>-31.48</v>
      </c>
      <c r="C3" t="s">
        <v>385</v>
      </c>
      <c r="D3" t="s">
        <v>388</v>
      </c>
      <c r="E3" t="s">
        <v>696</v>
      </c>
      <c r="F3" t="str">
        <f>VLOOKUP(E3, '[1]POS Categories'!$A$1:$B$999, 2, FALSE)</f>
        <v>Food</v>
      </c>
    </row>
    <row r="4" spans="1:6" x14ac:dyDescent="0.25">
      <c r="A4" t="s">
        <v>886</v>
      </c>
      <c r="B4">
        <v>-54</v>
      </c>
      <c r="C4" t="s">
        <v>385</v>
      </c>
      <c r="D4" t="s">
        <v>388</v>
      </c>
      <c r="E4" t="s">
        <v>49</v>
      </c>
      <c r="F4" t="str">
        <f>VLOOKUP(E4, '[1]POS Categories'!$A$1:$B$999, 2, FALSE)</f>
        <v>Entertainment</v>
      </c>
    </row>
    <row r="5" spans="1:6" x14ac:dyDescent="0.25">
      <c r="A5" t="s">
        <v>887</v>
      </c>
      <c r="B5">
        <v>-25.53</v>
      </c>
      <c r="C5" t="s">
        <v>385</v>
      </c>
      <c r="D5" t="s">
        <v>388</v>
      </c>
      <c r="E5" t="s">
        <v>800</v>
      </c>
      <c r="F5" t="str">
        <f>VLOOKUP(E5, '[1]POS Categories'!$A$1:$B$999, 2, FALSE)</f>
        <v>Food</v>
      </c>
    </row>
    <row r="6" spans="1:6" x14ac:dyDescent="0.25">
      <c r="A6" t="s">
        <v>887</v>
      </c>
      <c r="B6">
        <v>1735.61</v>
      </c>
      <c r="C6" t="s">
        <v>385</v>
      </c>
      <c r="D6" t="s">
        <v>386</v>
      </c>
      <c r="E6" t="s">
        <v>786</v>
      </c>
      <c r="F6" t="str">
        <f>VLOOKUP(E6, '[1]POS Categories'!$A$1:$B$999, 2, FALSE)</f>
        <v>Job</v>
      </c>
    </row>
    <row r="7" spans="1:6" x14ac:dyDescent="0.25">
      <c r="A7" t="s">
        <v>888</v>
      </c>
      <c r="B7">
        <v>-22.61</v>
      </c>
      <c r="C7" t="s">
        <v>385</v>
      </c>
      <c r="D7" t="s">
        <v>388</v>
      </c>
      <c r="E7" t="s">
        <v>696</v>
      </c>
      <c r="F7" t="str">
        <f>VLOOKUP(E7, '[1]POS Categories'!$A$1:$B$999, 2, FALSE)</f>
        <v>Food</v>
      </c>
    </row>
    <row r="8" spans="1:6" x14ac:dyDescent="0.25">
      <c r="A8" t="s">
        <v>888</v>
      </c>
      <c r="B8">
        <v>-39.99</v>
      </c>
      <c r="C8" t="s">
        <v>385</v>
      </c>
      <c r="D8" t="s">
        <v>388</v>
      </c>
      <c r="E8" t="s">
        <v>22</v>
      </c>
      <c r="F8" t="str">
        <f>VLOOKUP(E8, '[1]POS Categories'!$A$1:$B$999, 2, FALSE)</f>
        <v>Entertainment</v>
      </c>
    </row>
    <row r="9" spans="1:6" x14ac:dyDescent="0.25">
      <c r="A9" t="s">
        <v>889</v>
      </c>
      <c r="B9">
        <v>-14.86</v>
      </c>
      <c r="C9" t="s">
        <v>385</v>
      </c>
      <c r="D9" t="s">
        <v>388</v>
      </c>
      <c r="E9" t="s">
        <v>811</v>
      </c>
      <c r="F9" t="str">
        <f>VLOOKUP(E9, '[1]POS Categories'!$A$1:$B$999, 2, FALSE)</f>
        <v>Food</v>
      </c>
    </row>
    <row r="10" spans="1:6" x14ac:dyDescent="0.25">
      <c r="A10" t="s">
        <v>890</v>
      </c>
      <c r="B10">
        <v>-5.54</v>
      </c>
      <c r="C10" t="s">
        <v>385</v>
      </c>
      <c r="D10" t="s">
        <v>388</v>
      </c>
      <c r="E10" t="s">
        <v>51</v>
      </c>
      <c r="F10" t="str">
        <f>VLOOKUP(E10, '[1]POS Categories'!$A$1:$B$999, 2, FALSE)</f>
        <v>Home</v>
      </c>
    </row>
    <row r="11" spans="1:6" x14ac:dyDescent="0.25">
      <c r="A11" t="s">
        <v>891</v>
      </c>
      <c r="B11">
        <v>-26.26</v>
      </c>
      <c r="C11" t="s">
        <v>385</v>
      </c>
      <c r="D11" t="s">
        <v>388</v>
      </c>
      <c r="E11" t="s">
        <v>747</v>
      </c>
      <c r="F11" t="str">
        <f>VLOOKUP(E11, '[1]POS Categories'!$A$1:$B$999, 2, FALSE)</f>
        <v>Food</v>
      </c>
    </row>
    <row r="12" spans="1:6" x14ac:dyDescent="0.25">
      <c r="A12" t="s">
        <v>892</v>
      </c>
      <c r="B12">
        <v>-14.2</v>
      </c>
      <c r="C12" t="s">
        <v>385</v>
      </c>
      <c r="D12" t="s">
        <v>388</v>
      </c>
      <c r="E12" t="s">
        <v>827</v>
      </c>
      <c r="F12" t="str">
        <f>VLOOKUP(E12, '[1]POS Categories'!$A$1:$B$999, 2, FALSE)</f>
        <v>Food</v>
      </c>
    </row>
    <row r="13" spans="1:6" x14ac:dyDescent="0.25">
      <c r="A13" t="s">
        <v>893</v>
      </c>
      <c r="B13">
        <v>-14.19</v>
      </c>
      <c r="C13" t="s">
        <v>385</v>
      </c>
      <c r="D13" t="s">
        <v>388</v>
      </c>
      <c r="E13" t="s">
        <v>820</v>
      </c>
      <c r="F13" t="str">
        <f>VLOOKUP(E13, '[1]POS Categories'!$A$1:$B$999, 2, FALSE)</f>
        <v>Food</v>
      </c>
    </row>
    <row r="14" spans="1:6" x14ac:dyDescent="0.25">
      <c r="A14" t="s">
        <v>894</v>
      </c>
      <c r="B14">
        <v>-11.41</v>
      </c>
      <c r="C14" t="s">
        <v>385</v>
      </c>
      <c r="D14" t="s">
        <v>388</v>
      </c>
      <c r="E14" t="s">
        <v>831</v>
      </c>
      <c r="F14" t="str">
        <f>VLOOKUP(E14, '[1]POS Categories'!$A$1:$B$999, 2, FALSE)</f>
        <v>Food</v>
      </c>
    </row>
    <row r="15" spans="1:6" x14ac:dyDescent="0.25">
      <c r="A15" t="s">
        <v>895</v>
      </c>
      <c r="B15">
        <v>-14.86</v>
      </c>
      <c r="C15" t="s">
        <v>385</v>
      </c>
      <c r="D15" t="s">
        <v>388</v>
      </c>
      <c r="E15" t="s">
        <v>811</v>
      </c>
      <c r="F15" t="str">
        <f>VLOOKUP(E15, '[1]POS Categories'!$A$1:$B$999, 2, FALSE)</f>
        <v>Food</v>
      </c>
    </row>
    <row r="16" spans="1:6" x14ac:dyDescent="0.25">
      <c r="A16" t="s">
        <v>895</v>
      </c>
      <c r="B16">
        <v>-11.37</v>
      </c>
      <c r="C16" t="s">
        <v>385</v>
      </c>
      <c r="D16" t="s">
        <v>388</v>
      </c>
      <c r="E16" t="s">
        <v>25</v>
      </c>
      <c r="F16" t="str">
        <f>VLOOKUP(E16, '[1]POS Categories'!$A$1:$B$999, 2, FALSE)</f>
        <v>Food</v>
      </c>
    </row>
    <row r="17" spans="1:6" x14ac:dyDescent="0.25">
      <c r="A17" t="s">
        <v>895</v>
      </c>
      <c r="B17">
        <v>-65.94</v>
      </c>
      <c r="C17" t="s">
        <v>385</v>
      </c>
      <c r="D17" t="s">
        <v>388</v>
      </c>
      <c r="E17" t="s">
        <v>411</v>
      </c>
      <c r="F17" t="str">
        <f>VLOOKUP(E17, '[1]POS Categories'!$A$1:$B$999, 2, FALSE)</f>
        <v>Sasktel</v>
      </c>
    </row>
    <row r="18" spans="1:6" x14ac:dyDescent="0.25">
      <c r="A18" t="s">
        <v>896</v>
      </c>
      <c r="B18">
        <v>-14.86</v>
      </c>
      <c r="C18" t="s">
        <v>385</v>
      </c>
      <c r="D18" t="s">
        <v>388</v>
      </c>
      <c r="E18" t="s">
        <v>811</v>
      </c>
      <c r="F18" t="str">
        <f>VLOOKUP(E18, '[1]POS Categories'!$A$1:$B$999, 2, FALSE)</f>
        <v>Food</v>
      </c>
    </row>
    <row r="19" spans="1:6" x14ac:dyDescent="0.25">
      <c r="A19" t="s">
        <v>897</v>
      </c>
      <c r="B19">
        <v>-3.69</v>
      </c>
      <c r="C19" t="s">
        <v>385</v>
      </c>
      <c r="D19" t="s">
        <v>388</v>
      </c>
      <c r="E19" t="s">
        <v>25</v>
      </c>
      <c r="F19" t="str">
        <f>VLOOKUP(E19, '[1]POS Categories'!$A$1:$B$999, 2, FALSE)</f>
        <v>Food</v>
      </c>
    </row>
    <row r="20" spans="1:6" x14ac:dyDescent="0.25">
      <c r="A20" t="s">
        <v>897</v>
      </c>
      <c r="B20">
        <v>2.78</v>
      </c>
      <c r="C20" t="s">
        <v>385</v>
      </c>
      <c r="D20" t="s">
        <v>427</v>
      </c>
      <c r="E20" t="s">
        <v>694</v>
      </c>
      <c r="F20" t="str">
        <f>VLOOKUP(E20, '[1]POS Categories'!$A$1:$B$999, 2, FALSE)</f>
        <v>Vehicle</v>
      </c>
    </row>
    <row r="21" spans="1:6" x14ac:dyDescent="0.25">
      <c r="A21" t="s">
        <v>897</v>
      </c>
      <c r="B21">
        <v>-7.2</v>
      </c>
      <c r="C21" t="s">
        <v>385</v>
      </c>
      <c r="D21" t="s">
        <v>388</v>
      </c>
      <c r="E21" t="s">
        <v>694</v>
      </c>
      <c r="F21" t="str">
        <f>VLOOKUP(E21, '[1]POS Categories'!$A$1:$B$999, 2, FALSE)</f>
        <v>Vehicle</v>
      </c>
    </row>
    <row r="22" spans="1:6" x14ac:dyDescent="0.25">
      <c r="A22" t="s">
        <v>897</v>
      </c>
      <c r="B22">
        <v>-11.2</v>
      </c>
      <c r="C22" t="s">
        <v>385</v>
      </c>
      <c r="D22" t="s">
        <v>388</v>
      </c>
      <c r="E22" t="s">
        <v>820</v>
      </c>
      <c r="F22" t="str">
        <f>VLOOKUP(E22, '[1]POS Categories'!$A$1:$B$999, 2, FALSE)</f>
        <v>Food</v>
      </c>
    </row>
    <row r="23" spans="1:6" x14ac:dyDescent="0.25">
      <c r="A23" t="s">
        <v>897</v>
      </c>
      <c r="B23">
        <v>1735.61</v>
      </c>
      <c r="C23" t="s">
        <v>385</v>
      </c>
      <c r="D23" t="s">
        <v>386</v>
      </c>
      <c r="E23" t="s">
        <v>786</v>
      </c>
      <c r="F23" t="str">
        <f>VLOOKUP(E23, '[1]POS Categories'!$A$1:$B$999, 2, FALSE)</f>
        <v>Job</v>
      </c>
    </row>
    <row r="24" spans="1:6" x14ac:dyDescent="0.25">
      <c r="A24" t="s">
        <v>898</v>
      </c>
      <c r="B24">
        <v>-14.2</v>
      </c>
      <c r="C24" t="s">
        <v>385</v>
      </c>
      <c r="D24" t="s">
        <v>388</v>
      </c>
      <c r="E24" t="s">
        <v>827</v>
      </c>
      <c r="F24" t="str">
        <f>VLOOKUP(E24, '[1]POS Categories'!$A$1:$B$999, 2, FALSE)</f>
        <v>Food</v>
      </c>
    </row>
    <row r="25" spans="1:6" x14ac:dyDescent="0.25">
      <c r="A25" t="s">
        <v>899</v>
      </c>
      <c r="B25">
        <v>-11.08</v>
      </c>
      <c r="C25" t="s">
        <v>385</v>
      </c>
      <c r="D25" t="s">
        <v>388</v>
      </c>
      <c r="E25" t="s">
        <v>819</v>
      </c>
      <c r="F25" t="str">
        <f>VLOOKUP(E25, '[1]POS Categories'!$A$1:$B$999, 2, FALSE)</f>
        <v>Food</v>
      </c>
    </row>
    <row r="26" spans="1:6" x14ac:dyDescent="0.25">
      <c r="A26" t="s">
        <v>899</v>
      </c>
      <c r="B26">
        <v>-14.86</v>
      </c>
      <c r="C26" t="s">
        <v>385</v>
      </c>
      <c r="D26" t="s">
        <v>388</v>
      </c>
      <c r="E26" t="s">
        <v>811</v>
      </c>
      <c r="F26" t="str">
        <f>VLOOKUP(E26, '[1]POS Categories'!$A$1:$B$999, 2, FALSE)</f>
        <v>Food</v>
      </c>
    </row>
    <row r="27" spans="1:6" x14ac:dyDescent="0.25">
      <c r="A27" t="s">
        <v>899</v>
      </c>
      <c r="B27">
        <v>-44.45</v>
      </c>
      <c r="C27" t="s">
        <v>385</v>
      </c>
      <c r="D27" t="s">
        <v>388</v>
      </c>
      <c r="E27" t="s">
        <v>52</v>
      </c>
      <c r="F27" t="str">
        <f>VLOOKUP(E27, '[1]POS Categories'!$A$1:$B$999, 2, FALSE)</f>
        <v>Entertainment</v>
      </c>
    </row>
    <row r="28" spans="1:6" x14ac:dyDescent="0.25">
      <c r="A28" t="s">
        <v>900</v>
      </c>
      <c r="B28">
        <v>-12.85</v>
      </c>
      <c r="C28" t="s">
        <v>385</v>
      </c>
      <c r="D28" t="s">
        <v>388</v>
      </c>
      <c r="E28" t="s">
        <v>820</v>
      </c>
      <c r="F28" t="str">
        <f>VLOOKUP(E28, '[1]POS Categories'!$A$1:$B$999, 2, FALSE)</f>
        <v>Food</v>
      </c>
    </row>
    <row r="29" spans="1:6" x14ac:dyDescent="0.25">
      <c r="A29" t="s">
        <v>900</v>
      </c>
      <c r="B29">
        <v>-105</v>
      </c>
      <c r="C29" t="s">
        <v>385</v>
      </c>
      <c r="D29" t="s">
        <v>388</v>
      </c>
      <c r="E29" t="s">
        <v>837</v>
      </c>
      <c r="F29" t="str">
        <f>VLOOKUP(E29, '[1]POS Categories'!$A$1:$B$999, 2, FALSE)</f>
        <v>Food</v>
      </c>
    </row>
    <row r="30" spans="1:6" x14ac:dyDescent="0.25">
      <c r="A30" t="s">
        <v>900</v>
      </c>
      <c r="B30">
        <v>-2.4700000000000002</v>
      </c>
      <c r="C30" t="s">
        <v>385</v>
      </c>
      <c r="D30" t="s">
        <v>388</v>
      </c>
      <c r="E30" t="s">
        <v>53</v>
      </c>
      <c r="F30" t="str">
        <f>VLOOKUP(E30, '[1]POS Categories'!$A$1:$B$999, 2, FALSE)</f>
        <v>Bills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2"/>
  <sheetViews>
    <sheetView workbookViewId="0">
      <selection activeCell="F2" sqref="F2"/>
    </sheetView>
  </sheetViews>
  <sheetFormatPr defaultRowHeight="15" x14ac:dyDescent="0.25"/>
  <cols>
    <col min="5" max="5" width="35.28515625" bestFit="1" customWidth="1"/>
  </cols>
  <sheetData>
    <row r="1" spans="1:6" x14ac:dyDescent="0.25">
      <c r="A1" t="s">
        <v>901</v>
      </c>
      <c r="B1">
        <v>-20.75</v>
      </c>
      <c r="C1" t="s">
        <v>385</v>
      </c>
      <c r="D1" t="s">
        <v>388</v>
      </c>
      <c r="E1" t="s">
        <v>55</v>
      </c>
      <c r="F1" t="str">
        <f>VLOOKUP(E1, '[1]POS Categories'!$A$1:$B$999, 2, FALSE)</f>
        <v>Food</v>
      </c>
    </row>
    <row r="2" spans="1:6" x14ac:dyDescent="0.25">
      <c r="A2" t="s">
        <v>901</v>
      </c>
      <c r="B2">
        <v>-68.89</v>
      </c>
      <c r="C2" t="s">
        <v>385</v>
      </c>
      <c r="D2" t="s">
        <v>388</v>
      </c>
      <c r="E2" t="s">
        <v>56</v>
      </c>
      <c r="F2" t="str">
        <f>VLOOKUP(E2, '[1]POS Categories'!$A$1:$B$999, 2, FALSE)</f>
        <v>Entertainment</v>
      </c>
    </row>
    <row r="3" spans="1:6" x14ac:dyDescent="0.25">
      <c r="A3" t="s">
        <v>902</v>
      </c>
      <c r="B3">
        <v>-7.98</v>
      </c>
      <c r="C3" t="s">
        <v>385</v>
      </c>
      <c r="D3" t="s">
        <v>388</v>
      </c>
      <c r="E3" t="s">
        <v>57</v>
      </c>
      <c r="F3" t="str">
        <f>VLOOKUP(E3, '[1]POS Categories'!$A$1:$B$999, 2, FALSE)</f>
        <v>Food</v>
      </c>
    </row>
    <row r="4" spans="1:6" x14ac:dyDescent="0.25">
      <c r="A4" t="s">
        <v>902</v>
      </c>
      <c r="B4">
        <v>-14.19</v>
      </c>
      <c r="C4" t="s">
        <v>385</v>
      </c>
      <c r="D4" t="s">
        <v>388</v>
      </c>
      <c r="E4" t="s">
        <v>820</v>
      </c>
      <c r="F4" t="str">
        <f>VLOOKUP(E4, '[1]POS Categories'!$A$1:$B$999, 2, FALSE)</f>
        <v>Food</v>
      </c>
    </row>
    <row r="5" spans="1:6" x14ac:dyDescent="0.25">
      <c r="A5" t="s">
        <v>903</v>
      </c>
      <c r="B5">
        <v>-14.86</v>
      </c>
      <c r="C5" t="s">
        <v>385</v>
      </c>
      <c r="D5" t="s">
        <v>388</v>
      </c>
      <c r="E5" t="s">
        <v>811</v>
      </c>
      <c r="F5" t="str">
        <f>VLOOKUP(E5, '[1]POS Categories'!$A$1:$B$999, 2, FALSE)</f>
        <v>Food</v>
      </c>
    </row>
    <row r="6" spans="1:6" x14ac:dyDescent="0.25">
      <c r="A6" t="s">
        <v>904</v>
      </c>
      <c r="B6">
        <v>-5.24</v>
      </c>
      <c r="C6" t="s">
        <v>385</v>
      </c>
      <c r="D6" t="s">
        <v>388</v>
      </c>
      <c r="E6" t="s">
        <v>23</v>
      </c>
      <c r="F6" t="str">
        <f>VLOOKUP(E6, '[1]POS Categories'!$A$1:$B$999, 2, FALSE)</f>
        <v>Entertainment</v>
      </c>
    </row>
    <row r="7" spans="1:6" x14ac:dyDescent="0.25">
      <c r="A7" t="s">
        <v>904</v>
      </c>
      <c r="B7">
        <v>-13.4</v>
      </c>
      <c r="C7" t="s">
        <v>385</v>
      </c>
      <c r="D7" t="s">
        <v>388</v>
      </c>
      <c r="E7" t="s">
        <v>820</v>
      </c>
      <c r="F7" t="str">
        <f>VLOOKUP(E7, '[1]POS Categories'!$A$1:$B$999, 2, FALSE)</f>
        <v>Food</v>
      </c>
    </row>
    <row r="8" spans="1:6" x14ac:dyDescent="0.25">
      <c r="A8" t="s">
        <v>905</v>
      </c>
      <c r="B8">
        <v>-14.86</v>
      </c>
      <c r="C8" t="s">
        <v>385</v>
      </c>
      <c r="D8" t="s">
        <v>388</v>
      </c>
      <c r="E8" t="s">
        <v>811</v>
      </c>
      <c r="F8" t="str">
        <f>VLOOKUP(E8, '[1]POS Categories'!$A$1:$B$999, 2, FALSE)</f>
        <v>Food</v>
      </c>
    </row>
    <row r="9" spans="1:6" x14ac:dyDescent="0.25">
      <c r="A9" t="s">
        <v>906</v>
      </c>
      <c r="B9">
        <v>-5.2</v>
      </c>
      <c r="C9" t="s">
        <v>385</v>
      </c>
      <c r="D9" t="s">
        <v>388</v>
      </c>
      <c r="E9" t="s">
        <v>819</v>
      </c>
      <c r="F9" t="str">
        <f>VLOOKUP(E9, '[1]POS Categories'!$A$1:$B$999, 2, FALSE)</f>
        <v>Food</v>
      </c>
    </row>
    <row r="10" spans="1:6" x14ac:dyDescent="0.25">
      <c r="A10" t="s">
        <v>906</v>
      </c>
      <c r="B10">
        <v>-14.86</v>
      </c>
      <c r="C10" t="s">
        <v>385</v>
      </c>
      <c r="D10" t="s">
        <v>388</v>
      </c>
      <c r="E10" t="s">
        <v>811</v>
      </c>
      <c r="F10" t="str">
        <f>VLOOKUP(E10, '[1]POS Categories'!$A$1:$B$999, 2, FALSE)</f>
        <v>Food</v>
      </c>
    </row>
    <row r="11" spans="1:6" x14ac:dyDescent="0.25">
      <c r="A11" t="s">
        <v>907</v>
      </c>
      <c r="B11">
        <v>-17.87</v>
      </c>
      <c r="C11" t="s">
        <v>385</v>
      </c>
      <c r="D11" t="s">
        <v>388</v>
      </c>
      <c r="E11" t="s">
        <v>810</v>
      </c>
      <c r="F11" t="str">
        <f>VLOOKUP(E11, '[1]POS Categories'!$A$1:$B$999, 2, FALSE)</f>
        <v>Food</v>
      </c>
    </row>
    <row r="12" spans="1:6" x14ac:dyDescent="0.25">
      <c r="A12" t="s">
        <v>907</v>
      </c>
      <c r="B12">
        <v>1735.61</v>
      </c>
      <c r="C12" t="s">
        <v>385</v>
      </c>
      <c r="D12" t="s">
        <v>386</v>
      </c>
      <c r="E12" t="s">
        <v>786</v>
      </c>
      <c r="F12" t="str">
        <f>VLOOKUP(E12, '[1]POS Categories'!$A$1:$B$999, 2, FALSE)</f>
        <v>Job</v>
      </c>
    </row>
    <row r="13" spans="1:6" x14ac:dyDescent="0.25">
      <c r="A13" t="s">
        <v>908</v>
      </c>
      <c r="B13">
        <v>-12.75</v>
      </c>
      <c r="C13" t="s">
        <v>385</v>
      </c>
      <c r="D13" t="s">
        <v>388</v>
      </c>
      <c r="E13" t="s">
        <v>827</v>
      </c>
      <c r="F13" t="str">
        <f>VLOOKUP(E13, '[1]POS Categories'!$A$1:$B$999, 2, FALSE)</f>
        <v>Food</v>
      </c>
    </row>
    <row r="14" spans="1:6" x14ac:dyDescent="0.25">
      <c r="A14" t="s">
        <v>908</v>
      </c>
      <c r="B14">
        <v>-6.08</v>
      </c>
      <c r="C14" t="s">
        <v>385</v>
      </c>
      <c r="D14" t="s">
        <v>388</v>
      </c>
      <c r="E14" t="s">
        <v>816</v>
      </c>
      <c r="F14" t="str">
        <f>VLOOKUP(E14, '[1]POS Categories'!$A$1:$B$999, 2, FALSE)</f>
        <v>Food</v>
      </c>
    </row>
    <row r="15" spans="1:6" x14ac:dyDescent="0.25">
      <c r="A15" t="s">
        <v>909</v>
      </c>
      <c r="B15">
        <v>-25.05</v>
      </c>
      <c r="C15" t="s">
        <v>385</v>
      </c>
      <c r="D15" t="s">
        <v>388</v>
      </c>
      <c r="E15" t="s">
        <v>58</v>
      </c>
      <c r="F15" t="str">
        <f>VLOOKUP(E15, '[1]POS Categories'!$A$1:$B$999, 2, FALSE)</f>
        <v>Personal</v>
      </c>
    </row>
    <row r="16" spans="1:6" x14ac:dyDescent="0.25">
      <c r="A16" t="s">
        <v>910</v>
      </c>
      <c r="B16">
        <v>1</v>
      </c>
      <c r="C16" t="s">
        <v>385</v>
      </c>
      <c r="D16" t="s">
        <v>430</v>
      </c>
      <c r="E16" t="s">
        <v>59</v>
      </c>
      <c r="F16" t="str">
        <f>VLOOKUP(E16, '[1]POS Categories'!$A$1:$B$999, 2, FALSE)</f>
        <v>Entertainment</v>
      </c>
    </row>
    <row r="17" spans="1:6" x14ac:dyDescent="0.25">
      <c r="A17" t="s">
        <v>910</v>
      </c>
      <c r="B17">
        <v>-79.989999999999995</v>
      </c>
      <c r="C17" t="s">
        <v>385</v>
      </c>
      <c r="D17" t="s">
        <v>388</v>
      </c>
      <c r="E17" t="s">
        <v>59</v>
      </c>
      <c r="F17" t="str">
        <f>VLOOKUP(E17, '[1]POS Categories'!$A$1:$B$999, 2, FALSE)</f>
        <v>Entertainment</v>
      </c>
    </row>
    <row r="18" spans="1:6" x14ac:dyDescent="0.25">
      <c r="A18" t="s">
        <v>910</v>
      </c>
      <c r="B18">
        <v>-1</v>
      </c>
      <c r="C18" t="s">
        <v>385</v>
      </c>
      <c r="D18" t="s">
        <v>388</v>
      </c>
      <c r="E18" t="s">
        <v>59</v>
      </c>
      <c r="F18" t="str">
        <f>VLOOKUP(E18, '[1]POS Categories'!$A$1:$B$999, 2, FALSE)</f>
        <v>Entertainment</v>
      </c>
    </row>
    <row r="19" spans="1:6" x14ac:dyDescent="0.25">
      <c r="A19" t="s">
        <v>910</v>
      </c>
      <c r="B19">
        <v>197.25</v>
      </c>
      <c r="C19" t="s">
        <v>385</v>
      </c>
      <c r="D19" t="s">
        <v>467</v>
      </c>
      <c r="E19" t="s">
        <v>637</v>
      </c>
      <c r="F19" t="str">
        <f>VLOOKUP(E19, '[1]POS Categories'!$A$1:$B$999, 2, FALSE)</f>
        <v>Misc</v>
      </c>
    </row>
    <row r="20" spans="1:6" x14ac:dyDescent="0.25">
      <c r="A20" t="s">
        <v>910</v>
      </c>
      <c r="B20">
        <v>-1.79</v>
      </c>
      <c r="C20" t="s">
        <v>385</v>
      </c>
      <c r="D20" t="s">
        <v>400</v>
      </c>
      <c r="E20" t="s">
        <v>401</v>
      </c>
      <c r="F20" t="str">
        <f>VLOOKUP(E20, '[1]POS Categories'!$A$1:$B$999, 2, FALSE)</f>
        <v>Misc</v>
      </c>
    </row>
    <row r="21" spans="1:6" x14ac:dyDescent="0.25">
      <c r="A21" t="s">
        <v>911</v>
      </c>
      <c r="B21">
        <v>-14.86</v>
      </c>
      <c r="C21" t="s">
        <v>385</v>
      </c>
      <c r="D21" t="s">
        <v>388</v>
      </c>
      <c r="E21" t="s">
        <v>811</v>
      </c>
      <c r="F21" t="str">
        <f>VLOOKUP(E21, '[1]POS Categories'!$A$1:$B$999, 2, FALSE)</f>
        <v>Food</v>
      </c>
    </row>
    <row r="22" spans="1:6" x14ac:dyDescent="0.25">
      <c r="A22" t="s">
        <v>912</v>
      </c>
      <c r="B22">
        <v>-13.98</v>
      </c>
      <c r="C22" t="s">
        <v>385</v>
      </c>
      <c r="D22" t="s">
        <v>388</v>
      </c>
      <c r="E22" t="s">
        <v>820</v>
      </c>
      <c r="F22" t="str">
        <f>VLOOKUP(E22, '[1]POS Categories'!$A$1:$B$999, 2, FALSE)</f>
        <v>Food</v>
      </c>
    </row>
    <row r="23" spans="1:6" x14ac:dyDescent="0.25">
      <c r="A23" t="s">
        <v>913</v>
      </c>
      <c r="B23">
        <v>-10.97</v>
      </c>
      <c r="C23" t="s">
        <v>385</v>
      </c>
      <c r="D23" t="s">
        <v>388</v>
      </c>
      <c r="E23" t="s">
        <v>831</v>
      </c>
      <c r="F23" t="str">
        <f>VLOOKUP(E23, '[1]POS Categories'!$A$1:$B$999, 2, FALSE)</f>
        <v>Food</v>
      </c>
    </row>
    <row r="24" spans="1:6" x14ac:dyDescent="0.25">
      <c r="A24" t="s">
        <v>913</v>
      </c>
      <c r="B24">
        <v>-3.75</v>
      </c>
      <c r="C24" t="s">
        <v>385</v>
      </c>
      <c r="D24" t="s">
        <v>388</v>
      </c>
      <c r="E24" t="s">
        <v>816</v>
      </c>
      <c r="F24" t="str">
        <f>VLOOKUP(E24, '[1]POS Categories'!$A$1:$B$999, 2, FALSE)</f>
        <v>Food</v>
      </c>
    </row>
    <row r="25" spans="1:6" x14ac:dyDescent="0.25">
      <c r="A25" t="s">
        <v>914</v>
      </c>
      <c r="B25">
        <v>-14.19</v>
      </c>
      <c r="C25" t="s">
        <v>385</v>
      </c>
      <c r="D25" t="s">
        <v>388</v>
      </c>
      <c r="E25" t="s">
        <v>820</v>
      </c>
      <c r="F25" t="str">
        <f>VLOOKUP(E25, '[1]POS Categories'!$A$1:$B$999, 2, FALSE)</f>
        <v>Food</v>
      </c>
    </row>
    <row r="26" spans="1:6" x14ac:dyDescent="0.25">
      <c r="A26" t="s">
        <v>915</v>
      </c>
      <c r="B26">
        <v>-14.86</v>
      </c>
      <c r="C26" t="s">
        <v>385</v>
      </c>
      <c r="D26" t="s">
        <v>388</v>
      </c>
      <c r="E26" t="s">
        <v>811</v>
      </c>
      <c r="F26" t="str">
        <f>VLOOKUP(E26, '[1]POS Categories'!$A$1:$B$999, 2, FALSE)</f>
        <v>Food</v>
      </c>
    </row>
    <row r="27" spans="1:6" x14ac:dyDescent="0.25">
      <c r="A27" t="s">
        <v>916</v>
      </c>
      <c r="B27">
        <v>-21.89</v>
      </c>
      <c r="C27" t="s">
        <v>385</v>
      </c>
      <c r="D27" t="s">
        <v>388</v>
      </c>
      <c r="E27" t="s">
        <v>57</v>
      </c>
      <c r="F27" t="str">
        <f>VLOOKUP(E27, '[1]POS Categories'!$A$1:$B$999, 2, FALSE)</f>
        <v>Food</v>
      </c>
    </row>
    <row r="28" spans="1:6" x14ac:dyDescent="0.25">
      <c r="A28" t="s">
        <v>917</v>
      </c>
      <c r="B28">
        <v>-49.38</v>
      </c>
      <c r="C28" t="s">
        <v>385</v>
      </c>
      <c r="D28" t="s">
        <v>388</v>
      </c>
      <c r="E28" t="s">
        <v>798</v>
      </c>
      <c r="F28" t="str">
        <f>VLOOKUP(E28, '[1]POS Categories'!$A$1:$B$999, 2, FALSE)</f>
        <v>Vehicle</v>
      </c>
    </row>
    <row r="29" spans="1:6" x14ac:dyDescent="0.25">
      <c r="A29" t="s">
        <v>917</v>
      </c>
      <c r="B29">
        <v>-10.97</v>
      </c>
      <c r="C29" t="s">
        <v>385</v>
      </c>
      <c r="D29" t="s">
        <v>388</v>
      </c>
      <c r="E29" t="s">
        <v>831</v>
      </c>
      <c r="F29" t="str">
        <f>VLOOKUP(E29, '[1]POS Categories'!$A$1:$B$999, 2, FALSE)</f>
        <v>Food</v>
      </c>
    </row>
    <row r="30" spans="1:6" x14ac:dyDescent="0.25">
      <c r="A30" t="s">
        <v>917</v>
      </c>
      <c r="B30">
        <v>-3.75</v>
      </c>
      <c r="C30" t="s">
        <v>385</v>
      </c>
      <c r="D30" t="s">
        <v>388</v>
      </c>
      <c r="E30" t="s">
        <v>816</v>
      </c>
      <c r="F30" t="str">
        <f>VLOOKUP(E30, '[1]POS Categories'!$A$1:$B$999, 2, FALSE)</f>
        <v>Food</v>
      </c>
    </row>
    <row r="31" spans="1:6" x14ac:dyDescent="0.25">
      <c r="A31" t="s">
        <v>918</v>
      </c>
      <c r="B31">
        <v>-11.2</v>
      </c>
      <c r="C31" t="s">
        <v>385</v>
      </c>
      <c r="D31" t="s">
        <v>388</v>
      </c>
      <c r="E31" t="s">
        <v>820</v>
      </c>
      <c r="F31" t="str">
        <f>VLOOKUP(E31, '[1]POS Categories'!$A$1:$B$999, 2, FALSE)</f>
        <v>Food</v>
      </c>
    </row>
    <row r="32" spans="1:6" x14ac:dyDescent="0.25">
      <c r="A32" t="s">
        <v>918</v>
      </c>
      <c r="B32">
        <v>1735.61</v>
      </c>
      <c r="C32" t="s">
        <v>385</v>
      </c>
      <c r="D32" t="s">
        <v>386</v>
      </c>
      <c r="E32" t="s">
        <v>786</v>
      </c>
      <c r="F32" t="str">
        <f>VLOOKUP(E32, '[1]POS Categories'!$A$1:$B$999, 2, FALSE)</f>
        <v>Job</v>
      </c>
    </row>
    <row r="33" spans="1:6" x14ac:dyDescent="0.25">
      <c r="A33" t="s">
        <v>919</v>
      </c>
      <c r="B33">
        <v>-14.19</v>
      </c>
      <c r="C33" t="s">
        <v>385</v>
      </c>
      <c r="D33" t="s">
        <v>388</v>
      </c>
      <c r="E33" t="s">
        <v>820</v>
      </c>
      <c r="F33" t="str">
        <f>VLOOKUP(E33, '[1]POS Categories'!$A$1:$B$999, 2, FALSE)</f>
        <v>Food</v>
      </c>
    </row>
    <row r="34" spans="1:6" x14ac:dyDescent="0.25">
      <c r="A34" t="s">
        <v>919</v>
      </c>
      <c r="B34">
        <v>0</v>
      </c>
      <c r="C34" t="s">
        <v>385</v>
      </c>
      <c r="D34" t="s">
        <v>743</v>
      </c>
      <c r="E34" t="s">
        <v>60</v>
      </c>
      <c r="F34" t="str">
        <f>VLOOKUP(E34, '[1]POS Categories'!$A$1:$B$999, 2, FALSE)</f>
        <v>Personal</v>
      </c>
    </row>
    <row r="35" spans="1:6" x14ac:dyDescent="0.25">
      <c r="A35" t="s">
        <v>919</v>
      </c>
      <c r="B35">
        <v>-30</v>
      </c>
      <c r="C35" t="s">
        <v>385</v>
      </c>
      <c r="D35" t="s">
        <v>466</v>
      </c>
      <c r="E35" t="s">
        <v>61</v>
      </c>
      <c r="F35" t="str">
        <f>VLOOKUP(E35, '[1]POS Categories'!$A$1:$B$999, 2, FALSE)</f>
        <v>Personal</v>
      </c>
    </row>
    <row r="36" spans="1:6" x14ac:dyDescent="0.25">
      <c r="A36" t="s">
        <v>920</v>
      </c>
      <c r="B36">
        <v>-5.2</v>
      </c>
      <c r="C36" t="s">
        <v>385</v>
      </c>
      <c r="D36" t="s">
        <v>388</v>
      </c>
      <c r="E36" t="s">
        <v>819</v>
      </c>
      <c r="F36" t="str">
        <f>VLOOKUP(E36, '[1]POS Categories'!$A$1:$B$999, 2, FALSE)</f>
        <v>Food</v>
      </c>
    </row>
    <row r="37" spans="1:6" x14ac:dyDescent="0.25">
      <c r="A37" t="s">
        <v>920</v>
      </c>
      <c r="B37">
        <v>-10.97</v>
      </c>
      <c r="C37" t="s">
        <v>385</v>
      </c>
      <c r="D37" t="s">
        <v>388</v>
      </c>
      <c r="E37" t="s">
        <v>831</v>
      </c>
      <c r="F37" t="str">
        <f>VLOOKUP(E37, '[1]POS Categories'!$A$1:$B$999, 2, FALSE)</f>
        <v>Food</v>
      </c>
    </row>
    <row r="38" spans="1:6" x14ac:dyDescent="0.25">
      <c r="A38" t="s">
        <v>920</v>
      </c>
      <c r="B38">
        <v>-105</v>
      </c>
      <c r="C38" t="s">
        <v>385</v>
      </c>
      <c r="D38" t="s">
        <v>388</v>
      </c>
      <c r="E38" t="s">
        <v>837</v>
      </c>
      <c r="F38" t="str">
        <f>VLOOKUP(E38, '[1]POS Categories'!$A$1:$B$999, 2, FALSE)</f>
        <v>Food</v>
      </c>
    </row>
    <row r="39" spans="1:6" x14ac:dyDescent="0.25">
      <c r="A39" t="s">
        <v>920</v>
      </c>
      <c r="B39">
        <v>-0.4</v>
      </c>
      <c r="C39" t="s">
        <v>385</v>
      </c>
      <c r="D39" t="s">
        <v>388</v>
      </c>
      <c r="E39" t="s">
        <v>816</v>
      </c>
      <c r="F39" t="str">
        <f>VLOOKUP(E39, '[1]POS Categories'!$A$1:$B$999, 2, FALSE)</f>
        <v>Food</v>
      </c>
    </row>
    <row r="40" spans="1:6" x14ac:dyDescent="0.25">
      <c r="A40" t="s">
        <v>920</v>
      </c>
      <c r="B40">
        <v>-46.9</v>
      </c>
      <c r="C40" t="s">
        <v>385</v>
      </c>
      <c r="D40" t="s">
        <v>388</v>
      </c>
      <c r="E40" t="s">
        <v>62</v>
      </c>
      <c r="F40" t="str">
        <f>VLOOKUP(E40, '[1]POS Categories'!$A$1:$B$999, 2, FALSE)</f>
        <v>Entertainment</v>
      </c>
    </row>
    <row r="41" spans="1:6" x14ac:dyDescent="0.25">
      <c r="A41" t="s">
        <v>921</v>
      </c>
      <c r="B41">
        <v>-14.51</v>
      </c>
      <c r="C41" t="s">
        <v>385</v>
      </c>
      <c r="D41" t="s">
        <v>388</v>
      </c>
      <c r="E41" t="s">
        <v>747</v>
      </c>
      <c r="F41" t="str">
        <f>VLOOKUP(E41, '[1]POS Categories'!$A$1:$B$999, 2, FALSE)</f>
        <v>Food</v>
      </c>
    </row>
    <row r="42" spans="1:6" x14ac:dyDescent="0.25">
      <c r="A42" t="s">
        <v>921</v>
      </c>
      <c r="B42">
        <v>-105</v>
      </c>
      <c r="C42" t="s">
        <v>385</v>
      </c>
      <c r="D42" t="s">
        <v>388</v>
      </c>
      <c r="E42" t="s">
        <v>53</v>
      </c>
      <c r="F42" t="str">
        <f>VLOOKUP(E42, '[1]POS Categories'!$A$1:$B$999, 2, FALSE)</f>
        <v>Bills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5"/>
  <sheetViews>
    <sheetView workbookViewId="0">
      <selection activeCell="F2" sqref="F2"/>
    </sheetView>
  </sheetViews>
  <sheetFormatPr defaultRowHeight="15" x14ac:dyDescent="0.25"/>
  <cols>
    <col min="4" max="4" width="21.5703125" bestFit="1" customWidth="1"/>
    <col min="5" max="5" width="35.28515625" bestFit="1" customWidth="1"/>
  </cols>
  <sheetData>
    <row r="1" spans="1:6" x14ac:dyDescent="0.25">
      <c r="A1" t="s">
        <v>922</v>
      </c>
      <c r="B1">
        <v>-13.31</v>
      </c>
      <c r="C1" t="s">
        <v>385</v>
      </c>
      <c r="D1" t="s">
        <v>388</v>
      </c>
      <c r="E1" t="s">
        <v>811</v>
      </c>
      <c r="F1" t="str">
        <f>VLOOKUP(E1, '[1]POS Categories'!$A$1:$B$999, 2, FALSE)</f>
        <v>Food</v>
      </c>
    </row>
    <row r="2" spans="1:6" x14ac:dyDescent="0.25">
      <c r="A2" t="s">
        <v>922</v>
      </c>
      <c r="B2">
        <v>-44.39</v>
      </c>
      <c r="C2" t="s">
        <v>385</v>
      </c>
      <c r="D2" t="s">
        <v>388</v>
      </c>
      <c r="E2" t="s">
        <v>64</v>
      </c>
      <c r="F2" t="str">
        <f>VLOOKUP(E2, '[1]POS Categories'!$A$1:$B$999, 2, FALSE)</f>
        <v>Entertainment</v>
      </c>
    </row>
    <row r="3" spans="1:6" x14ac:dyDescent="0.25">
      <c r="A3" t="s">
        <v>923</v>
      </c>
      <c r="B3">
        <v>-12.75</v>
      </c>
      <c r="C3" t="s">
        <v>385</v>
      </c>
      <c r="D3" t="s">
        <v>388</v>
      </c>
      <c r="E3" t="s">
        <v>827</v>
      </c>
      <c r="F3" t="str">
        <f>VLOOKUP(E3, '[1]POS Categories'!$A$1:$B$999, 2, FALSE)</f>
        <v>Food</v>
      </c>
    </row>
    <row r="4" spans="1:6" x14ac:dyDescent="0.25">
      <c r="A4" t="s">
        <v>924</v>
      </c>
      <c r="B4">
        <v>-26.26</v>
      </c>
      <c r="C4" t="s">
        <v>385</v>
      </c>
      <c r="D4" t="s">
        <v>388</v>
      </c>
      <c r="E4" t="s">
        <v>747</v>
      </c>
      <c r="F4" t="str">
        <f>VLOOKUP(E4, '[1]POS Categories'!$A$1:$B$999, 2, FALSE)</f>
        <v>Food</v>
      </c>
    </row>
    <row r="5" spans="1:6" x14ac:dyDescent="0.25">
      <c r="A5" t="s">
        <v>924</v>
      </c>
      <c r="B5">
        <v>-11.09</v>
      </c>
      <c r="C5" t="s">
        <v>385</v>
      </c>
      <c r="D5" t="s">
        <v>388</v>
      </c>
      <c r="E5" t="s">
        <v>51</v>
      </c>
      <c r="F5" t="str">
        <f>VLOOKUP(E5, '[1]POS Categories'!$A$1:$B$999, 2, FALSE)</f>
        <v>Home</v>
      </c>
    </row>
    <row r="6" spans="1:6" x14ac:dyDescent="0.25">
      <c r="A6" t="s">
        <v>924</v>
      </c>
      <c r="B6">
        <v>-17.72</v>
      </c>
      <c r="C6" t="s">
        <v>385</v>
      </c>
      <c r="D6" t="s">
        <v>388</v>
      </c>
      <c r="E6" t="s">
        <v>28</v>
      </c>
      <c r="F6" t="str">
        <f>VLOOKUP(E6, '[1]POS Categories'!$A$1:$B$999, 2, FALSE)</f>
        <v>Food</v>
      </c>
    </row>
    <row r="7" spans="1:6" x14ac:dyDescent="0.25">
      <c r="A7" t="s">
        <v>924</v>
      </c>
      <c r="B7">
        <v>-13.4</v>
      </c>
      <c r="C7" t="s">
        <v>385</v>
      </c>
      <c r="D7" t="s">
        <v>388</v>
      </c>
      <c r="E7" t="s">
        <v>820</v>
      </c>
      <c r="F7" t="str">
        <f>VLOOKUP(E7, '[1]POS Categories'!$A$1:$B$999, 2, FALSE)</f>
        <v>Food</v>
      </c>
    </row>
    <row r="8" spans="1:6" x14ac:dyDescent="0.25">
      <c r="A8" t="s">
        <v>925</v>
      </c>
      <c r="B8">
        <v>-5.24</v>
      </c>
      <c r="C8" t="s">
        <v>385</v>
      </c>
      <c r="D8" t="s">
        <v>388</v>
      </c>
      <c r="E8" t="s">
        <v>23</v>
      </c>
      <c r="F8" t="str">
        <f>VLOOKUP(E8, '[1]POS Categories'!$A$1:$B$999, 2, FALSE)</f>
        <v>Entertainment</v>
      </c>
    </row>
    <row r="9" spans="1:6" x14ac:dyDescent="0.25">
      <c r="A9" t="s">
        <v>925</v>
      </c>
      <c r="B9">
        <v>-10.31</v>
      </c>
      <c r="C9" t="s">
        <v>385</v>
      </c>
      <c r="D9" t="s">
        <v>388</v>
      </c>
      <c r="E9" t="s">
        <v>831</v>
      </c>
      <c r="F9" t="str">
        <f>VLOOKUP(E9, '[1]POS Categories'!$A$1:$B$999, 2, FALSE)</f>
        <v>Food</v>
      </c>
    </row>
    <row r="10" spans="1:6" x14ac:dyDescent="0.25">
      <c r="A10" t="s">
        <v>925</v>
      </c>
      <c r="B10">
        <v>-48.59</v>
      </c>
      <c r="C10" t="s">
        <v>385</v>
      </c>
      <c r="D10" t="s">
        <v>388</v>
      </c>
      <c r="E10" t="s">
        <v>65</v>
      </c>
      <c r="F10" t="str">
        <f>VLOOKUP(E10, '[1]POS Categories'!$A$1:$B$999, 2, FALSE)</f>
        <v>Vehicle</v>
      </c>
    </row>
    <row r="11" spans="1:6" x14ac:dyDescent="0.25">
      <c r="A11" t="s">
        <v>925</v>
      </c>
      <c r="B11">
        <v>-3.49</v>
      </c>
      <c r="C11" t="s">
        <v>385</v>
      </c>
      <c r="D11" t="s">
        <v>388</v>
      </c>
      <c r="E11" t="s">
        <v>49</v>
      </c>
      <c r="F11" t="str">
        <f>VLOOKUP(E11, '[1]POS Categories'!$A$1:$B$999, 2, FALSE)</f>
        <v>Entertainment</v>
      </c>
    </row>
    <row r="12" spans="1:6" x14ac:dyDescent="0.25">
      <c r="A12" t="s">
        <v>926</v>
      </c>
      <c r="B12">
        <v>-22.61</v>
      </c>
      <c r="C12" t="s">
        <v>385</v>
      </c>
      <c r="D12" t="s">
        <v>388</v>
      </c>
      <c r="E12" t="s">
        <v>696</v>
      </c>
      <c r="F12" t="str">
        <f>VLOOKUP(E12, '[1]POS Categories'!$A$1:$B$999, 2, FALSE)</f>
        <v>Food</v>
      </c>
    </row>
    <row r="13" spans="1:6" x14ac:dyDescent="0.25">
      <c r="A13" t="s">
        <v>926</v>
      </c>
      <c r="B13">
        <v>-814.24</v>
      </c>
      <c r="C13" t="s">
        <v>385</v>
      </c>
      <c r="D13" t="s">
        <v>388</v>
      </c>
      <c r="E13" t="s">
        <v>66</v>
      </c>
      <c r="F13" t="s">
        <v>7</v>
      </c>
    </row>
    <row r="14" spans="1:6" x14ac:dyDescent="0.25">
      <c r="A14" t="s">
        <v>927</v>
      </c>
      <c r="B14">
        <v>-13.4</v>
      </c>
      <c r="C14" t="s">
        <v>385</v>
      </c>
      <c r="D14" t="s">
        <v>388</v>
      </c>
      <c r="E14" t="s">
        <v>820</v>
      </c>
      <c r="F14" t="str">
        <f>VLOOKUP(E14, '[1]POS Categories'!$A$1:$B$999, 2, FALSE)</f>
        <v>Food</v>
      </c>
    </row>
    <row r="15" spans="1:6" x14ac:dyDescent="0.25">
      <c r="A15" t="s">
        <v>928</v>
      </c>
      <c r="B15">
        <v>-13.31</v>
      </c>
      <c r="C15" t="s">
        <v>385</v>
      </c>
      <c r="D15" t="s">
        <v>388</v>
      </c>
      <c r="E15" t="s">
        <v>811</v>
      </c>
      <c r="F15" t="str">
        <f>VLOOKUP(E15, '[1]POS Categories'!$A$1:$B$999, 2, FALSE)</f>
        <v>Food</v>
      </c>
    </row>
    <row r="16" spans="1:6" x14ac:dyDescent="0.25">
      <c r="A16" t="s">
        <v>928</v>
      </c>
      <c r="B16">
        <v>1735.61</v>
      </c>
      <c r="C16" t="s">
        <v>385</v>
      </c>
      <c r="D16" t="s">
        <v>386</v>
      </c>
      <c r="E16" t="s">
        <v>786</v>
      </c>
      <c r="F16" t="str">
        <f>VLOOKUP(E16, '[1]POS Categories'!$A$1:$B$999, 2, FALSE)</f>
        <v>Job</v>
      </c>
    </row>
    <row r="17" spans="1:6" x14ac:dyDescent="0.25">
      <c r="A17" t="s">
        <v>929</v>
      </c>
      <c r="B17">
        <v>-13.53</v>
      </c>
      <c r="C17" t="s">
        <v>385</v>
      </c>
      <c r="D17" t="s">
        <v>388</v>
      </c>
      <c r="E17" t="s">
        <v>831</v>
      </c>
      <c r="F17" t="str">
        <f>VLOOKUP(E17, '[1]POS Categories'!$A$1:$B$999, 2, FALSE)</f>
        <v>Food</v>
      </c>
    </row>
    <row r="18" spans="1:6" x14ac:dyDescent="0.25">
      <c r="A18" t="s">
        <v>930</v>
      </c>
      <c r="B18">
        <v>-6.43</v>
      </c>
      <c r="C18" t="s">
        <v>385</v>
      </c>
      <c r="D18" t="s">
        <v>388</v>
      </c>
      <c r="E18" t="s">
        <v>819</v>
      </c>
      <c r="F18" t="str">
        <f>VLOOKUP(E18, '[1]POS Categories'!$A$1:$B$999, 2, FALSE)</f>
        <v>Food</v>
      </c>
    </row>
    <row r="19" spans="1:6" x14ac:dyDescent="0.25">
      <c r="A19" t="s">
        <v>930</v>
      </c>
      <c r="B19">
        <v>-14.86</v>
      </c>
      <c r="C19" t="s">
        <v>385</v>
      </c>
      <c r="D19" t="s">
        <v>388</v>
      </c>
      <c r="E19" t="s">
        <v>811</v>
      </c>
      <c r="F19" t="str">
        <f>VLOOKUP(E19, '[1]POS Categories'!$A$1:$B$999, 2, FALSE)</f>
        <v>Food</v>
      </c>
    </row>
    <row r="20" spans="1:6" x14ac:dyDescent="0.25">
      <c r="A20" t="s">
        <v>930</v>
      </c>
      <c r="B20">
        <v>-6.58</v>
      </c>
      <c r="C20" t="s">
        <v>385</v>
      </c>
      <c r="D20" t="s">
        <v>388</v>
      </c>
      <c r="E20" t="s">
        <v>57</v>
      </c>
      <c r="F20" t="str">
        <f>VLOOKUP(E20, '[1]POS Categories'!$A$1:$B$999, 2, FALSE)</f>
        <v>Food</v>
      </c>
    </row>
    <row r="21" spans="1:6" x14ac:dyDescent="0.25">
      <c r="A21" t="s">
        <v>931</v>
      </c>
      <c r="B21">
        <v>-4.21</v>
      </c>
      <c r="C21" t="s">
        <v>385</v>
      </c>
      <c r="D21" t="s">
        <v>388</v>
      </c>
      <c r="E21" t="s">
        <v>57</v>
      </c>
      <c r="F21" t="str">
        <f>VLOOKUP(E21, '[1]POS Categories'!$A$1:$B$999, 2, FALSE)</f>
        <v>Food</v>
      </c>
    </row>
    <row r="22" spans="1:6" x14ac:dyDescent="0.25">
      <c r="A22" t="s">
        <v>931</v>
      </c>
      <c r="B22">
        <v>-8.19</v>
      </c>
      <c r="C22" t="s">
        <v>385</v>
      </c>
      <c r="D22" t="s">
        <v>388</v>
      </c>
      <c r="E22" t="s">
        <v>696</v>
      </c>
      <c r="F22" t="str">
        <f>VLOOKUP(E22, '[1]POS Categories'!$A$1:$B$999, 2, FALSE)</f>
        <v>Food</v>
      </c>
    </row>
    <row r="23" spans="1:6" x14ac:dyDescent="0.25">
      <c r="A23" t="s">
        <v>932</v>
      </c>
      <c r="B23">
        <v>-14.19</v>
      </c>
      <c r="C23" t="s">
        <v>385</v>
      </c>
      <c r="D23" t="s">
        <v>388</v>
      </c>
      <c r="E23" t="s">
        <v>820</v>
      </c>
      <c r="F23" t="str">
        <f>VLOOKUP(E23, '[1]POS Categories'!$A$1:$B$999, 2, FALSE)</f>
        <v>Food</v>
      </c>
    </row>
    <row r="24" spans="1:6" x14ac:dyDescent="0.25">
      <c r="A24" t="s">
        <v>933</v>
      </c>
      <c r="B24">
        <v>-624.37</v>
      </c>
      <c r="C24" t="s">
        <v>385</v>
      </c>
      <c r="D24" t="s">
        <v>400</v>
      </c>
      <c r="E24" t="s">
        <v>401</v>
      </c>
      <c r="F24" t="str">
        <f>VLOOKUP(E24, '[1]POS Categories'!$A$1:$B$999, 2, FALSE)</f>
        <v>Misc</v>
      </c>
    </row>
    <row r="25" spans="1:6" x14ac:dyDescent="0.25">
      <c r="A25" t="s">
        <v>933</v>
      </c>
      <c r="B25">
        <v>-14</v>
      </c>
      <c r="C25" t="s">
        <v>385</v>
      </c>
      <c r="D25" t="s">
        <v>388</v>
      </c>
      <c r="E25" t="s">
        <v>67</v>
      </c>
      <c r="F25" t="str">
        <f>VLOOKUP(E25, '[1]POS Categories'!$A$1:$B$999, 2, FALSE)</f>
        <v>Misc</v>
      </c>
    </row>
    <row r="26" spans="1:6" x14ac:dyDescent="0.25">
      <c r="A26" t="s">
        <v>933</v>
      </c>
      <c r="B26">
        <v>-13.31</v>
      </c>
      <c r="C26" t="s">
        <v>385</v>
      </c>
      <c r="D26" t="s">
        <v>388</v>
      </c>
      <c r="E26" t="s">
        <v>811</v>
      </c>
      <c r="F26" t="str">
        <f>VLOOKUP(E26, '[1]POS Categories'!$A$1:$B$999, 2, FALSE)</f>
        <v>Food</v>
      </c>
    </row>
    <row r="27" spans="1:6" x14ac:dyDescent="0.25">
      <c r="A27" t="s">
        <v>934</v>
      </c>
      <c r="B27">
        <v>-13.4</v>
      </c>
      <c r="C27" t="s">
        <v>385</v>
      </c>
      <c r="D27" t="s">
        <v>388</v>
      </c>
      <c r="E27" t="s">
        <v>820</v>
      </c>
      <c r="F27" t="str">
        <f>VLOOKUP(E27, '[1]POS Categories'!$A$1:$B$999, 2, FALSE)</f>
        <v>Food</v>
      </c>
    </row>
    <row r="28" spans="1:6" x14ac:dyDescent="0.25">
      <c r="A28" t="s">
        <v>935</v>
      </c>
      <c r="B28">
        <v>-28.35</v>
      </c>
      <c r="C28" t="s">
        <v>385</v>
      </c>
      <c r="D28" t="s">
        <v>388</v>
      </c>
      <c r="E28" t="s">
        <v>800</v>
      </c>
      <c r="F28" t="str">
        <f>VLOOKUP(E28, '[1]POS Categories'!$A$1:$B$999, 2, FALSE)</f>
        <v>Food</v>
      </c>
    </row>
    <row r="29" spans="1:6" x14ac:dyDescent="0.25">
      <c r="A29" t="s">
        <v>935</v>
      </c>
      <c r="B29">
        <v>-10.31</v>
      </c>
      <c r="C29" t="s">
        <v>385</v>
      </c>
      <c r="D29" t="s">
        <v>388</v>
      </c>
      <c r="E29" t="s">
        <v>831</v>
      </c>
      <c r="F29" t="str">
        <f>VLOOKUP(E29, '[1]POS Categories'!$A$1:$B$999, 2, FALSE)</f>
        <v>Food</v>
      </c>
    </row>
    <row r="30" spans="1:6" x14ac:dyDescent="0.25">
      <c r="A30" t="s">
        <v>936</v>
      </c>
      <c r="B30">
        <v>-4.55</v>
      </c>
      <c r="C30" t="s">
        <v>385</v>
      </c>
      <c r="D30" t="s">
        <v>388</v>
      </c>
      <c r="E30" t="s">
        <v>49</v>
      </c>
      <c r="F30" t="str">
        <f>VLOOKUP(E30, '[1]POS Categories'!$A$1:$B$999, 2, FALSE)</f>
        <v>Entertainment</v>
      </c>
    </row>
    <row r="31" spans="1:6" x14ac:dyDescent="0.25">
      <c r="A31" t="s">
        <v>936</v>
      </c>
      <c r="B31">
        <v>-49.06</v>
      </c>
      <c r="C31" t="s">
        <v>385</v>
      </c>
      <c r="D31" t="s">
        <v>388</v>
      </c>
      <c r="E31" t="s">
        <v>798</v>
      </c>
      <c r="F31" t="str">
        <f>VLOOKUP(E31, '[1]POS Categories'!$A$1:$B$999, 2, FALSE)</f>
        <v>Vehicle</v>
      </c>
    </row>
    <row r="32" spans="1:6" x14ac:dyDescent="0.25">
      <c r="A32" t="s">
        <v>936</v>
      </c>
      <c r="B32">
        <v>-14.86</v>
      </c>
      <c r="C32" t="s">
        <v>385</v>
      </c>
      <c r="D32" t="s">
        <v>388</v>
      </c>
      <c r="E32" t="s">
        <v>811</v>
      </c>
      <c r="F32" t="str">
        <f>VLOOKUP(E32, '[1]POS Categories'!$A$1:$B$999, 2, FALSE)</f>
        <v>Food</v>
      </c>
    </row>
    <row r="33" spans="1:6" x14ac:dyDescent="0.25">
      <c r="A33" t="s">
        <v>937</v>
      </c>
      <c r="B33">
        <v>-12.2</v>
      </c>
      <c r="C33" t="s">
        <v>385</v>
      </c>
      <c r="D33" t="s">
        <v>388</v>
      </c>
      <c r="E33" t="s">
        <v>68</v>
      </c>
      <c r="F33" t="str">
        <f>VLOOKUP(E33, '[1]POS Categories'!$A$1:$B$999, 2, FALSE)</f>
        <v>Entertainment</v>
      </c>
    </row>
    <row r="34" spans="1:6" x14ac:dyDescent="0.25">
      <c r="A34" t="s">
        <v>937</v>
      </c>
      <c r="B34">
        <v>-13.04</v>
      </c>
      <c r="C34" t="s">
        <v>385</v>
      </c>
      <c r="D34" t="s">
        <v>388</v>
      </c>
      <c r="E34" t="s">
        <v>49</v>
      </c>
      <c r="F34" t="str">
        <f>VLOOKUP(E34, '[1]POS Categories'!$A$1:$B$999, 2, FALSE)</f>
        <v>Entertainment</v>
      </c>
    </row>
    <row r="35" spans="1:6" x14ac:dyDescent="0.25">
      <c r="A35" t="s">
        <v>938</v>
      </c>
      <c r="B35">
        <v>-10.31</v>
      </c>
      <c r="C35" t="s">
        <v>385</v>
      </c>
      <c r="D35" t="s">
        <v>388</v>
      </c>
      <c r="E35" t="s">
        <v>831</v>
      </c>
      <c r="F35" t="str">
        <f>VLOOKUP(E35, '[1]POS Categories'!$A$1:$B$999, 2, FALSE)</f>
        <v>Food</v>
      </c>
    </row>
    <row r="36" spans="1:6" x14ac:dyDescent="0.25">
      <c r="A36" t="s">
        <v>939</v>
      </c>
      <c r="B36">
        <v>-14.86</v>
      </c>
      <c r="C36" t="s">
        <v>385</v>
      </c>
      <c r="D36" t="s">
        <v>388</v>
      </c>
      <c r="E36" t="s">
        <v>811</v>
      </c>
      <c r="F36" t="str">
        <f>VLOOKUP(E36, '[1]POS Categories'!$A$1:$B$999, 2, FALSE)</f>
        <v>Food</v>
      </c>
    </row>
    <row r="37" spans="1:6" x14ac:dyDescent="0.25">
      <c r="A37" t="s">
        <v>939</v>
      </c>
      <c r="B37">
        <v>1581.11</v>
      </c>
      <c r="C37" t="s">
        <v>385</v>
      </c>
      <c r="D37" t="s">
        <v>386</v>
      </c>
      <c r="E37" t="s">
        <v>786</v>
      </c>
      <c r="F37" t="str">
        <f>VLOOKUP(E37, '[1]POS Categories'!$A$1:$B$999, 2, FALSE)</f>
        <v>Job</v>
      </c>
    </row>
    <row r="38" spans="1:6" x14ac:dyDescent="0.25">
      <c r="A38" t="s">
        <v>940</v>
      </c>
      <c r="B38">
        <v>-14.19</v>
      </c>
      <c r="C38" t="s">
        <v>385</v>
      </c>
      <c r="D38" t="s">
        <v>388</v>
      </c>
      <c r="E38" t="s">
        <v>820</v>
      </c>
      <c r="F38" t="str">
        <f>VLOOKUP(E38, '[1]POS Categories'!$A$1:$B$999, 2, FALSE)</f>
        <v>Food</v>
      </c>
    </row>
    <row r="39" spans="1:6" x14ac:dyDescent="0.25">
      <c r="A39" t="s">
        <v>941</v>
      </c>
      <c r="B39">
        <v>-12.75</v>
      </c>
      <c r="C39" t="s">
        <v>385</v>
      </c>
      <c r="D39" t="s">
        <v>388</v>
      </c>
      <c r="E39" t="s">
        <v>827</v>
      </c>
      <c r="F39" t="str">
        <f>VLOOKUP(E39, '[1]POS Categories'!$A$1:$B$999, 2, FALSE)</f>
        <v>Food</v>
      </c>
    </row>
    <row r="40" spans="1:6" x14ac:dyDescent="0.25">
      <c r="A40" t="s">
        <v>942</v>
      </c>
      <c r="B40">
        <v>-12.07</v>
      </c>
      <c r="C40" t="s">
        <v>385</v>
      </c>
      <c r="D40" t="s">
        <v>388</v>
      </c>
      <c r="E40" t="s">
        <v>811</v>
      </c>
      <c r="F40" t="str">
        <f>VLOOKUP(E40, '[1]POS Categories'!$A$1:$B$999, 2, FALSE)</f>
        <v>Food</v>
      </c>
    </row>
    <row r="41" spans="1:6" x14ac:dyDescent="0.25">
      <c r="A41" t="s">
        <v>942</v>
      </c>
      <c r="B41">
        <v>-7.87</v>
      </c>
      <c r="C41" t="s">
        <v>385</v>
      </c>
      <c r="D41" t="s">
        <v>388</v>
      </c>
      <c r="E41" t="s">
        <v>831</v>
      </c>
      <c r="F41" t="str">
        <f>VLOOKUP(E41, '[1]POS Categories'!$A$1:$B$999, 2, FALSE)</f>
        <v>Food</v>
      </c>
    </row>
    <row r="42" spans="1:6" x14ac:dyDescent="0.25">
      <c r="A42" t="s">
        <v>943</v>
      </c>
      <c r="B42">
        <v>-13.4</v>
      </c>
      <c r="C42" t="s">
        <v>385</v>
      </c>
      <c r="D42" t="s">
        <v>388</v>
      </c>
      <c r="E42" t="s">
        <v>820</v>
      </c>
      <c r="F42" t="str">
        <f>VLOOKUP(E42, '[1]POS Categories'!$A$1:$B$999, 2, FALSE)</f>
        <v>Food</v>
      </c>
    </row>
    <row r="43" spans="1:6" x14ac:dyDescent="0.25">
      <c r="A43" t="s">
        <v>943</v>
      </c>
      <c r="B43">
        <v>-46.03</v>
      </c>
      <c r="C43" t="s">
        <v>385</v>
      </c>
      <c r="D43" t="s">
        <v>388</v>
      </c>
      <c r="E43" t="s">
        <v>62</v>
      </c>
      <c r="F43" t="str">
        <f>VLOOKUP(E43, '[1]POS Categories'!$A$1:$B$999, 2, FALSE)</f>
        <v>Entertainment</v>
      </c>
    </row>
    <row r="44" spans="1:6" x14ac:dyDescent="0.25">
      <c r="A44" t="s">
        <v>944</v>
      </c>
      <c r="B44">
        <v>-15.41</v>
      </c>
      <c r="C44" t="s">
        <v>385</v>
      </c>
      <c r="D44" t="s">
        <v>388</v>
      </c>
      <c r="E44" t="s">
        <v>811</v>
      </c>
      <c r="F44" t="str">
        <f>VLOOKUP(E44, '[1]POS Categories'!$A$1:$B$999, 2, FALSE)</f>
        <v>Food</v>
      </c>
    </row>
    <row r="45" spans="1:6" x14ac:dyDescent="0.25">
      <c r="A45" t="s">
        <v>944</v>
      </c>
      <c r="B45">
        <v>-105</v>
      </c>
      <c r="C45" t="s">
        <v>385</v>
      </c>
      <c r="D45" t="s">
        <v>388</v>
      </c>
      <c r="E45" t="s">
        <v>53</v>
      </c>
      <c r="F45" t="str">
        <f>VLOOKUP(E45, '[1]POS Categories'!$A$1:$B$999, 2, FALSE)</f>
        <v>Bills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1"/>
  <sheetViews>
    <sheetView topLeftCell="A33" workbookViewId="0">
      <selection activeCell="G22" sqref="G22"/>
    </sheetView>
  </sheetViews>
  <sheetFormatPr defaultRowHeight="15" x14ac:dyDescent="0.25"/>
  <cols>
    <col min="5" max="5" width="36.140625" bestFit="1" customWidth="1"/>
  </cols>
  <sheetData>
    <row r="1" spans="1:6" x14ac:dyDescent="0.25">
      <c r="A1" t="s">
        <v>945</v>
      </c>
      <c r="B1">
        <v>-6.43</v>
      </c>
      <c r="C1" t="s">
        <v>385</v>
      </c>
      <c r="D1" t="s">
        <v>388</v>
      </c>
      <c r="E1" t="s">
        <v>69</v>
      </c>
      <c r="F1" t="str">
        <f>VLOOKUP(E1, '[1]POS Categories'!$A$1:$B$999, 2, FALSE)</f>
        <v>Food</v>
      </c>
    </row>
    <row r="2" spans="1:6" x14ac:dyDescent="0.25">
      <c r="A2" t="s">
        <v>946</v>
      </c>
      <c r="B2">
        <v>-26.26</v>
      </c>
      <c r="C2" t="s">
        <v>385</v>
      </c>
      <c r="D2" t="s">
        <v>388</v>
      </c>
      <c r="E2" t="s">
        <v>747</v>
      </c>
      <c r="F2" t="str">
        <f>VLOOKUP(E2, '[1]POS Categories'!$A$1:$B$999, 2, FALSE)</f>
        <v>Food</v>
      </c>
    </row>
    <row r="3" spans="1:6" x14ac:dyDescent="0.25">
      <c r="A3" t="s">
        <v>946</v>
      </c>
      <c r="B3">
        <v>100</v>
      </c>
      <c r="C3" t="s">
        <v>385</v>
      </c>
      <c r="D3" t="s">
        <v>467</v>
      </c>
      <c r="E3" t="s">
        <v>637</v>
      </c>
      <c r="F3" t="str">
        <f>VLOOKUP(E3, '[1]POS Categories'!$A$1:$B$999, 2, FALSE)</f>
        <v>Misc</v>
      </c>
    </row>
    <row r="4" spans="1:6" x14ac:dyDescent="0.25">
      <c r="A4" t="s">
        <v>947</v>
      </c>
      <c r="B4">
        <v>-22.6</v>
      </c>
      <c r="C4" t="s">
        <v>385</v>
      </c>
      <c r="D4" t="s">
        <v>388</v>
      </c>
      <c r="E4" t="s">
        <v>804</v>
      </c>
      <c r="F4" t="str">
        <f>VLOOKUP(E4, '[1]POS Categories'!$A$1:$B$999, 2, FALSE)</f>
        <v>Food</v>
      </c>
    </row>
    <row r="5" spans="1:6" x14ac:dyDescent="0.25">
      <c r="A5" t="s">
        <v>948</v>
      </c>
      <c r="B5">
        <v>-117.18</v>
      </c>
      <c r="C5" t="s">
        <v>385</v>
      </c>
      <c r="D5" t="s">
        <v>388</v>
      </c>
      <c r="E5" t="s">
        <v>70</v>
      </c>
      <c r="F5" t="str">
        <f>VLOOKUP(E5, '[1]POS Categories'!$A$1:$B$999, 2, FALSE)</f>
        <v>Home</v>
      </c>
    </row>
    <row r="6" spans="1:6" x14ac:dyDescent="0.25">
      <c r="A6" t="s">
        <v>948</v>
      </c>
      <c r="B6">
        <v>1684.63</v>
      </c>
      <c r="C6" t="s">
        <v>385</v>
      </c>
      <c r="D6" t="s">
        <v>386</v>
      </c>
      <c r="E6" t="s">
        <v>786</v>
      </c>
      <c r="F6" t="str">
        <f>VLOOKUP(E6, '[1]POS Categories'!$A$1:$B$999, 2, FALSE)</f>
        <v>Job</v>
      </c>
    </row>
    <row r="7" spans="1:6" x14ac:dyDescent="0.25">
      <c r="A7" t="s">
        <v>949</v>
      </c>
      <c r="B7">
        <v>400</v>
      </c>
      <c r="C7" t="s">
        <v>385</v>
      </c>
      <c r="D7" t="s">
        <v>950</v>
      </c>
      <c r="E7" t="s">
        <v>71</v>
      </c>
      <c r="F7" t="str">
        <f>VLOOKUP(E7, '[1]POS Categories'!$A$1:$B$999, 2, FALSE)</f>
        <v>Bills</v>
      </c>
    </row>
    <row r="8" spans="1:6" x14ac:dyDescent="0.25">
      <c r="A8" t="s">
        <v>949</v>
      </c>
      <c r="B8">
        <v>-1.7</v>
      </c>
      <c r="C8" t="s">
        <v>385</v>
      </c>
      <c r="D8" t="s">
        <v>388</v>
      </c>
      <c r="E8" t="s">
        <v>49</v>
      </c>
      <c r="F8" t="str">
        <f>VLOOKUP(E8, '[1]POS Categories'!$A$1:$B$999, 2, FALSE)</f>
        <v>Entertainment</v>
      </c>
    </row>
    <row r="9" spans="1:6" x14ac:dyDescent="0.25">
      <c r="A9" t="s">
        <v>951</v>
      </c>
      <c r="B9">
        <v>100</v>
      </c>
      <c r="C9" t="s">
        <v>385</v>
      </c>
      <c r="D9" t="s">
        <v>950</v>
      </c>
      <c r="E9" t="s">
        <v>71</v>
      </c>
      <c r="F9" t="str">
        <f>VLOOKUP(E9, '[1]POS Categories'!$A$1:$B$999, 2, FALSE)</f>
        <v>Bills</v>
      </c>
    </row>
    <row r="10" spans="1:6" x14ac:dyDescent="0.25">
      <c r="A10" t="s">
        <v>952</v>
      </c>
      <c r="B10">
        <v>-14.86</v>
      </c>
      <c r="C10" t="s">
        <v>385</v>
      </c>
      <c r="D10" t="s">
        <v>388</v>
      </c>
      <c r="E10" t="s">
        <v>811</v>
      </c>
      <c r="F10" t="str">
        <f>VLOOKUP(E10, '[1]POS Categories'!$A$1:$B$999, 2, FALSE)</f>
        <v>Food</v>
      </c>
    </row>
    <row r="11" spans="1:6" x14ac:dyDescent="0.25">
      <c r="A11" t="s">
        <v>953</v>
      </c>
      <c r="B11">
        <v>-5.76</v>
      </c>
      <c r="C11" t="s">
        <v>385</v>
      </c>
      <c r="D11" t="s">
        <v>388</v>
      </c>
      <c r="E11" t="s">
        <v>819</v>
      </c>
      <c r="F11" t="str">
        <f>VLOOKUP(E11, '[1]POS Categories'!$A$1:$B$999, 2, FALSE)</f>
        <v>Food</v>
      </c>
    </row>
    <row r="12" spans="1:6" x14ac:dyDescent="0.25">
      <c r="A12" t="s">
        <v>953</v>
      </c>
      <c r="B12">
        <v>-10.31</v>
      </c>
      <c r="C12" t="s">
        <v>385</v>
      </c>
      <c r="D12" t="s">
        <v>388</v>
      </c>
      <c r="E12" t="s">
        <v>831</v>
      </c>
      <c r="F12" t="str">
        <f>VLOOKUP(E12, '[1]POS Categories'!$A$1:$B$999, 2, FALSE)</f>
        <v>Food</v>
      </c>
    </row>
    <row r="13" spans="1:6" x14ac:dyDescent="0.25">
      <c r="A13" t="s">
        <v>953</v>
      </c>
      <c r="B13">
        <v>-6.08</v>
      </c>
      <c r="C13" t="s">
        <v>385</v>
      </c>
      <c r="D13" t="s">
        <v>388</v>
      </c>
      <c r="E13" t="s">
        <v>816</v>
      </c>
      <c r="F13" t="str">
        <f>VLOOKUP(E13, '[1]POS Categories'!$A$1:$B$999, 2, FALSE)</f>
        <v>Food</v>
      </c>
    </row>
    <row r="14" spans="1:6" x14ac:dyDescent="0.25">
      <c r="A14" t="s">
        <v>954</v>
      </c>
      <c r="B14">
        <v>-457.71</v>
      </c>
      <c r="C14" t="s">
        <v>385</v>
      </c>
      <c r="D14" t="s">
        <v>400</v>
      </c>
      <c r="E14" t="s">
        <v>401</v>
      </c>
      <c r="F14" t="str">
        <f>VLOOKUP(E14, '[1]POS Categories'!$A$1:$B$999, 2, FALSE)</f>
        <v>Misc</v>
      </c>
    </row>
    <row r="15" spans="1:6" x14ac:dyDescent="0.25">
      <c r="A15" t="s">
        <v>954</v>
      </c>
      <c r="B15">
        <v>-44.6</v>
      </c>
      <c r="C15" t="s">
        <v>385</v>
      </c>
      <c r="D15" t="s">
        <v>388</v>
      </c>
      <c r="E15" t="s">
        <v>72</v>
      </c>
      <c r="F15" t="str">
        <f>VLOOKUP(E15, '[1]POS Categories'!$A$1:$B$999, 2, FALSE)</f>
        <v>Entertainment</v>
      </c>
    </row>
    <row r="16" spans="1:6" x14ac:dyDescent="0.25">
      <c r="A16" t="s">
        <v>954</v>
      </c>
      <c r="B16">
        <v>-12.75</v>
      </c>
      <c r="C16" t="s">
        <v>385</v>
      </c>
      <c r="D16" t="s">
        <v>388</v>
      </c>
      <c r="E16" t="s">
        <v>827</v>
      </c>
      <c r="F16" t="str">
        <f>VLOOKUP(E16, '[1]POS Categories'!$A$1:$B$999, 2, FALSE)</f>
        <v>Food</v>
      </c>
    </row>
    <row r="17" spans="1:6" x14ac:dyDescent="0.25">
      <c r="A17" t="s">
        <v>955</v>
      </c>
      <c r="B17">
        <v>-14.86</v>
      </c>
      <c r="C17" t="s">
        <v>385</v>
      </c>
      <c r="D17" t="s">
        <v>388</v>
      </c>
      <c r="E17" t="s">
        <v>811</v>
      </c>
      <c r="F17" t="str">
        <f>VLOOKUP(E17, '[1]POS Categories'!$A$1:$B$999, 2, FALSE)</f>
        <v>Food</v>
      </c>
    </row>
    <row r="18" spans="1:6" x14ac:dyDescent="0.25">
      <c r="A18" t="s">
        <v>955</v>
      </c>
      <c r="B18">
        <v>-34.01</v>
      </c>
      <c r="C18" t="s">
        <v>385</v>
      </c>
      <c r="D18" t="s">
        <v>388</v>
      </c>
      <c r="E18" t="s">
        <v>57</v>
      </c>
      <c r="F18" t="str">
        <f>VLOOKUP(E18, '[1]POS Categories'!$A$1:$B$999, 2, FALSE)</f>
        <v>Food</v>
      </c>
    </row>
    <row r="19" spans="1:6" x14ac:dyDescent="0.25">
      <c r="A19" t="s">
        <v>955</v>
      </c>
      <c r="B19">
        <v>-40.03</v>
      </c>
      <c r="C19" t="s">
        <v>385</v>
      </c>
      <c r="D19" t="s">
        <v>388</v>
      </c>
      <c r="E19" t="s">
        <v>73</v>
      </c>
      <c r="F19" t="str">
        <f>VLOOKUP(E19, '[1]POS Categories'!$A$1:$B$999, 2, FALSE)</f>
        <v>Food</v>
      </c>
    </row>
    <row r="20" spans="1:6" x14ac:dyDescent="0.25">
      <c r="A20" t="s">
        <v>956</v>
      </c>
      <c r="B20">
        <v>-39.99</v>
      </c>
      <c r="C20" t="s">
        <v>385</v>
      </c>
      <c r="D20" t="s">
        <v>388</v>
      </c>
      <c r="E20" t="s">
        <v>74</v>
      </c>
      <c r="F20" t="str">
        <f>VLOOKUP(E20, '[1]POS Categories'!$A$1:$B$999, 2, FALSE)</f>
        <v>Entertainment</v>
      </c>
    </row>
    <row r="21" spans="1:6" x14ac:dyDescent="0.25">
      <c r="A21" t="s">
        <v>956</v>
      </c>
      <c r="B21">
        <v>-12.85</v>
      </c>
      <c r="C21" t="s">
        <v>385</v>
      </c>
      <c r="D21" t="s">
        <v>388</v>
      </c>
      <c r="E21" t="s">
        <v>804</v>
      </c>
      <c r="F21" t="str">
        <f>VLOOKUP(E21, '[1]POS Categories'!$A$1:$B$999, 2, FALSE)</f>
        <v>Food</v>
      </c>
    </row>
    <row r="22" spans="1:6" x14ac:dyDescent="0.25">
      <c r="A22" t="s">
        <v>956</v>
      </c>
      <c r="B22">
        <v>-100</v>
      </c>
      <c r="C22" t="s">
        <v>385</v>
      </c>
      <c r="D22" t="s">
        <v>957</v>
      </c>
      <c r="F22" t="s">
        <v>45</v>
      </c>
    </row>
    <row r="23" spans="1:6" x14ac:dyDescent="0.25">
      <c r="A23" t="s">
        <v>958</v>
      </c>
      <c r="B23">
        <v>-47.08</v>
      </c>
      <c r="C23" t="s">
        <v>385</v>
      </c>
      <c r="D23" t="s">
        <v>388</v>
      </c>
      <c r="E23" t="s">
        <v>75</v>
      </c>
      <c r="F23" t="str">
        <f>VLOOKUP(E23, '[1]POS Categories'!$A$1:$B$999, 2, FALSE)</f>
        <v>Vehicle</v>
      </c>
    </row>
    <row r="24" spans="1:6" x14ac:dyDescent="0.25">
      <c r="A24" t="s">
        <v>958</v>
      </c>
      <c r="B24">
        <v>-21.4</v>
      </c>
      <c r="C24" t="s">
        <v>385</v>
      </c>
      <c r="D24" t="s">
        <v>388</v>
      </c>
      <c r="E24" t="s">
        <v>76</v>
      </c>
      <c r="F24" t="str">
        <f>VLOOKUP(E24, '[1]POS Categories'!$A$1:$B$999, 2, FALSE)</f>
        <v>Food</v>
      </c>
    </row>
    <row r="25" spans="1:6" x14ac:dyDescent="0.25">
      <c r="A25" t="s">
        <v>959</v>
      </c>
      <c r="B25">
        <v>-11.98</v>
      </c>
      <c r="C25" t="s">
        <v>385</v>
      </c>
      <c r="D25" t="s">
        <v>388</v>
      </c>
      <c r="E25" t="s">
        <v>820</v>
      </c>
      <c r="F25" t="str">
        <f>VLOOKUP(E25, '[1]POS Categories'!$A$1:$B$999, 2, FALSE)</f>
        <v>Food</v>
      </c>
    </row>
    <row r="26" spans="1:6" x14ac:dyDescent="0.25">
      <c r="A26" t="s">
        <v>959</v>
      </c>
      <c r="B26">
        <v>1735.61</v>
      </c>
      <c r="C26" t="s">
        <v>385</v>
      </c>
      <c r="D26" t="s">
        <v>386</v>
      </c>
      <c r="E26" t="s">
        <v>786</v>
      </c>
      <c r="F26" t="str">
        <f>VLOOKUP(E26, '[1]POS Categories'!$A$1:$B$999, 2, FALSE)</f>
        <v>Job</v>
      </c>
    </row>
    <row r="27" spans="1:6" x14ac:dyDescent="0.25">
      <c r="A27" t="s">
        <v>960</v>
      </c>
      <c r="B27">
        <v>-6.43</v>
      </c>
      <c r="C27" t="s">
        <v>385</v>
      </c>
      <c r="D27" t="s">
        <v>388</v>
      </c>
      <c r="E27" t="s">
        <v>819</v>
      </c>
      <c r="F27" t="str">
        <f>VLOOKUP(E27, '[1]POS Categories'!$A$1:$B$999, 2, FALSE)</f>
        <v>Food</v>
      </c>
    </row>
    <row r="28" spans="1:6" x14ac:dyDescent="0.25">
      <c r="A28" t="s">
        <v>960</v>
      </c>
      <c r="B28">
        <v>-12.75</v>
      </c>
      <c r="C28" t="s">
        <v>385</v>
      </c>
      <c r="D28" t="s">
        <v>388</v>
      </c>
      <c r="E28" t="s">
        <v>827</v>
      </c>
      <c r="F28" t="str">
        <f>VLOOKUP(E28, '[1]POS Categories'!$A$1:$B$999, 2, FALSE)</f>
        <v>Food</v>
      </c>
    </row>
    <row r="29" spans="1:6" x14ac:dyDescent="0.25">
      <c r="A29" t="s">
        <v>961</v>
      </c>
      <c r="B29">
        <v>-14.86</v>
      </c>
      <c r="C29" t="s">
        <v>385</v>
      </c>
      <c r="D29" t="s">
        <v>388</v>
      </c>
      <c r="E29" t="s">
        <v>811</v>
      </c>
      <c r="F29" t="str">
        <f>VLOOKUP(E29, '[1]POS Categories'!$A$1:$B$999, 2, FALSE)</f>
        <v>Food</v>
      </c>
    </row>
    <row r="30" spans="1:6" x14ac:dyDescent="0.25">
      <c r="A30" t="s">
        <v>961</v>
      </c>
      <c r="B30">
        <v>-6.08</v>
      </c>
      <c r="C30" t="s">
        <v>385</v>
      </c>
      <c r="D30" t="s">
        <v>388</v>
      </c>
      <c r="E30" t="s">
        <v>816</v>
      </c>
      <c r="F30" t="str">
        <f>VLOOKUP(E30, '[1]POS Categories'!$A$1:$B$999, 2, FALSE)</f>
        <v>Food</v>
      </c>
    </row>
    <row r="31" spans="1:6" x14ac:dyDescent="0.25">
      <c r="A31" t="s">
        <v>962</v>
      </c>
      <c r="B31">
        <v>-13.4</v>
      </c>
      <c r="C31" t="s">
        <v>385</v>
      </c>
      <c r="D31" t="s">
        <v>388</v>
      </c>
      <c r="E31" t="s">
        <v>820</v>
      </c>
      <c r="F31" t="str">
        <f>VLOOKUP(E31, '[1]POS Categories'!$A$1:$B$999, 2, FALSE)</f>
        <v>Food</v>
      </c>
    </row>
    <row r="32" spans="1:6" x14ac:dyDescent="0.25">
      <c r="A32" t="s">
        <v>963</v>
      </c>
      <c r="B32">
        <v>-18.809999999999999</v>
      </c>
      <c r="C32" t="s">
        <v>385</v>
      </c>
      <c r="D32" t="s">
        <v>388</v>
      </c>
      <c r="E32" t="s">
        <v>57</v>
      </c>
      <c r="F32" t="str">
        <f>VLOOKUP(E32, '[1]POS Categories'!$A$1:$B$999, 2, FALSE)</f>
        <v>Food</v>
      </c>
    </row>
    <row r="33" spans="1:6" x14ac:dyDescent="0.25">
      <c r="A33" t="s">
        <v>963</v>
      </c>
      <c r="B33">
        <v>-36.04</v>
      </c>
      <c r="C33" t="s">
        <v>385</v>
      </c>
      <c r="D33" t="s">
        <v>388</v>
      </c>
      <c r="E33" t="s">
        <v>26</v>
      </c>
      <c r="F33" t="str">
        <f>VLOOKUP(E33, '[1]POS Categories'!$A$1:$B$999, 2, FALSE)</f>
        <v>Food</v>
      </c>
    </row>
    <row r="34" spans="1:6" x14ac:dyDescent="0.25">
      <c r="A34" t="s">
        <v>963</v>
      </c>
      <c r="B34">
        <v>-280.16000000000003</v>
      </c>
      <c r="C34" t="s">
        <v>385</v>
      </c>
      <c r="D34" t="s">
        <v>400</v>
      </c>
      <c r="E34" t="s">
        <v>401</v>
      </c>
      <c r="F34" t="str">
        <f>VLOOKUP(E34, '[1]POS Categories'!$A$1:$B$999, 2, FALSE)</f>
        <v>Misc</v>
      </c>
    </row>
    <row r="35" spans="1:6" x14ac:dyDescent="0.25">
      <c r="A35" t="s">
        <v>963</v>
      </c>
      <c r="B35">
        <v>-61.29</v>
      </c>
      <c r="C35" t="s">
        <v>385</v>
      </c>
      <c r="D35" t="s">
        <v>400</v>
      </c>
      <c r="E35" t="s">
        <v>401</v>
      </c>
      <c r="F35" t="str">
        <f>VLOOKUP(E35, '[1]POS Categories'!$A$1:$B$999, 2, FALSE)</f>
        <v>Misc</v>
      </c>
    </row>
    <row r="36" spans="1:6" x14ac:dyDescent="0.25">
      <c r="A36" t="s">
        <v>964</v>
      </c>
      <c r="B36">
        <v>-24.05</v>
      </c>
      <c r="C36" t="s">
        <v>385</v>
      </c>
      <c r="D36" t="s">
        <v>388</v>
      </c>
      <c r="E36" t="s">
        <v>58</v>
      </c>
      <c r="F36" t="str">
        <f>VLOOKUP(E36, '[1]POS Categories'!$A$1:$B$999, 2, FALSE)</f>
        <v>Personal</v>
      </c>
    </row>
    <row r="37" spans="1:6" x14ac:dyDescent="0.25">
      <c r="A37" t="s">
        <v>964</v>
      </c>
      <c r="B37">
        <v>-149</v>
      </c>
      <c r="C37" t="s">
        <v>385</v>
      </c>
      <c r="D37" t="s">
        <v>388</v>
      </c>
      <c r="E37" t="s">
        <v>77</v>
      </c>
      <c r="F37" t="str">
        <f>VLOOKUP(E37, '[1]POS Categories'!$A$1:$B$999, 2, FALSE)</f>
        <v>Personal</v>
      </c>
    </row>
    <row r="38" spans="1:6" x14ac:dyDescent="0.25">
      <c r="A38" t="s">
        <v>964</v>
      </c>
      <c r="B38">
        <v>-14.51</v>
      </c>
      <c r="C38" t="s">
        <v>385</v>
      </c>
      <c r="D38" t="s">
        <v>388</v>
      </c>
      <c r="E38" t="s">
        <v>747</v>
      </c>
      <c r="F38" t="str">
        <f>VLOOKUP(E38, '[1]POS Categories'!$A$1:$B$999, 2, FALSE)</f>
        <v>Food</v>
      </c>
    </row>
    <row r="39" spans="1:6" x14ac:dyDescent="0.25">
      <c r="A39" t="s">
        <v>965</v>
      </c>
      <c r="B39">
        <v>-10.31</v>
      </c>
      <c r="C39" t="s">
        <v>385</v>
      </c>
      <c r="D39" t="s">
        <v>388</v>
      </c>
      <c r="E39" t="s">
        <v>831</v>
      </c>
      <c r="F39" t="str">
        <f>VLOOKUP(E39, '[1]POS Categories'!$A$1:$B$999, 2, FALSE)</f>
        <v>Food</v>
      </c>
    </row>
    <row r="40" spans="1:6" x14ac:dyDescent="0.25">
      <c r="A40" t="s">
        <v>965</v>
      </c>
      <c r="B40">
        <v>-6.08</v>
      </c>
      <c r="C40" t="s">
        <v>385</v>
      </c>
      <c r="D40" t="s">
        <v>388</v>
      </c>
      <c r="E40" t="s">
        <v>816</v>
      </c>
      <c r="F40" t="str">
        <f>VLOOKUP(E40, '[1]POS Categories'!$A$1:$B$999, 2, FALSE)</f>
        <v>Food</v>
      </c>
    </row>
    <row r="41" spans="1:6" x14ac:dyDescent="0.25">
      <c r="A41" t="s">
        <v>965</v>
      </c>
      <c r="B41">
        <v>-13.28</v>
      </c>
      <c r="C41" t="s">
        <v>385</v>
      </c>
      <c r="D41" t="s">
        <v>388</v>
      </c>
      <c r="E41" t="s">
        <v>49</v>
      </c>
      <c r="F41" t="str">
        <f>VLOOKUP(E41, '[1]POS Categories'!$A$1:$B$999, 2, FALSE)</f>
        <v>Entertainment</v>
      </c>
    </row>
    <row r="42" spans="1:6" x14ac:dyDescent="0.25">
      <c r="A42" t="s">
        <v>966</v>
      </c>
      <c r="B42">
        <v>-13.4</v>
      </c>
      <c r="C42" t="s">
        <v>385</v>
      </c>
      <c r="D42" t="s">
        <v>388</v>
      </c>
      <c r="E42" t="s">
        <v>820</v>
      </c>
      <c r="F42" t="str">
        <f>VLOOKUP(E42, '[1]POS Categories'!$A$1:$B$999, 2, FALSE)</f>
        <v>Food</v>
      </c>
    </row>
    <row r="43" spans="1:6" x14ac:dyDescent="0.25">
      <c r="A43" t="s">
        <v>966</v>
      </c>
      <c r="B43">
        <v>-58.78</v>
      </c>
      <c r="C43" t="s">
        <v>385</v>
      </c>
      <c r="D43" t="s">
        <v>388</v>
      </c>
      <c r="E43" t="s">
        <v>22</v>
      </c>
      <c r="F43" t="str">
        <f>VLOOKUP(E43, '[1]POS Categories'!$A$1:$B$999, 2, FALSE)</f>
        <v>Entertainment</v>
      </c>
    </row>
    <row r="44" spans="1:6" x14ac:dyDescent="0.25">
      <c r="A44" t="s">
        <v>967</v>
      </c>
      <c r="B44">
        <v>-10.63</v>
      </c>
      <c r="C44" t="s">
        <v>385</v>
      </c>
      <c r="D44" t="s">
        <v>388</v>
      </c>
      <c r="E44" t="s">
        <v>57</v>
      </c>
      <c r="F44" t="str">
        <f>VLOOKUP(E44, '[1]POS Categories'!$A$1:$B$999, 2, FALSE)</f>
        <v>Food</v>
      </c>
    </row>
    <row r="45" spans="1:6" x14ac:dyDescent="0.25">
      <c r="A45" t="s">
        <v>967</v>
      </c>
      <c r="B45">
        <v>-5.32</v>
      </c>
      <c r="C45" t="s">
        <v>385</v>
      </c>
      <c r="D45" t="s">
        <v>388</v>
      </c>
      <c r="E45" t="s">
        <v>819</v>
      </c>
      <c r="F45" t="str">
        <f>VLOOKUP(E45, '[1]POS Categories'!$A$1:$B$999, 2, FALSE)</f>
        <v>Food</v>
      </c>
    </row>
    <row r="46" spans="1:6" x14ac:dyDescent="0.25">
      <c r="A46" t="s">
        <v>967</v>
      </c>
      <c r="B46">
        <v>-14.86</v>
      </c>
      <c r="C46" t="s">
        <v>385</v>
      </c>
      <c r="D46" t="s">
        <v>388</v>
      </c>
      <c r="E46" t="s">
        <v>811</v>
      </c>
      <c r="F46" t="str">
        <f>VLOOKUP(E46, '[1]POS Categories'!$A$1:$B$999, 2, FALSE)</f>
        <v>Food</v>
      </c>
    </row>
    <row r="47" spans="1:6" x14ac:dyDescent="0.25">
      <c r="A47" t="s">
        <v>967</v>
      </c>
      <c r="B47">
        <v>-45.58</v>
      </c>
      <c r="C47" t="s">
        <v>385</v>
      </c>
      <c r="D47" t="s">
        <v>388</v>
      </c>
      <c r="E47" t="s">
        <v>78</v>
      </c>
      <c r="F47" t="str">
        <f>VLOOKUP(E47, '[1]POS Categories'!$A$1:$B$999, 2, FALSE)</f>
        <v>Entertainment</v>
      </c>
    </row>
    <row r="48" spans="1:6" x14ac:dyDescent="0.25">
      <c r="A48" t="s">
        <v>968</v>
      </c>
      <c r="B48">
        <v>-132.09</v>
      </c>
      <c r="C48" t="s">
        <v>385</v>
      </c>
      <c r="D48" t="s">
        <v>388</v>
      </c>
      <c r="E48" t="s">
        <v>46</v>
      </c>
      <c r="F48" t="str">
        <f>VLOOKUP(E48, '[1]POS Categories'!$A$1:$B$999, 2, FALSE)</f>
        <v>Entertainment</v>
      </c>
    </row>
    <row r="49" spans="1:6" x14ac:dyDescent="0.25">
      <c r="A49" t="s">
        <v>968</v>
      </c>
      <c r="B49">
        <v>-13.85</v>
      </c>
      <c r="C49" t="s">
        <v>385</v>
      </c>
      <c r="D49" t="s">
        <v>388</v>
      </c>
      <c r="E49" t="s">
        <v>831</v>
      </c>
      <c r="F49" t="str">
        <f>VLOOKUP(E49, '[1]POS Categories'!$A$1:$B$999, 2, FALSE)</f>
        <v>Food</v>
      </c>
    </row>
    <row r="50" spans="1:6" x14ac:dyDescent="0.25">
      <c r="A50" t="s">
        <v>968</v>
      </c>
      <c r="B50">
        <v>-2.1</v>
      </c>
      <c r="C50" t="s">
        <v>385</v>
      </c>
      <c r="D50" t="s">
        <v>388</v>
      </c>
      <c r="E50" t="s">
        <v>819</v>
      </c>
      <c r="F50" t="str">
        <f>VLOOKUP(E50, '[1]POS Categories'!$A$1:$B$999, 2, FALSE)</f>
        <v>Food</v>
      </c>
    </row>
    <row r="51" spans="1:6" x14ac:dyDescent="0.25">
      <c r="A51" t="s">
        <v>968</v>
      </c>
      <c r="B51">
        <v>-94.5</v>
      </c>
      <c r="C51" t="s">
        <v>385</v>
      </c>
      <c r="D51" t="s">
        <v>388</v>
      </c>
      <c r="E51" t="s">
        <v>53</v>
      </c>
      <c r="F51" t="str">
        <f>VLOOKUP(E51, '[1]POS Categories'!$A$1:$B$999, 2, FALSE)</f>
        <v>Bills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2"/>
  <sheetViews>
    <sheetView topLeftCell="A29" workbookViewId="0">
      <selection activeCell="G35" sqref="G35"/>
    </sheetView>
  </sheetViews>
  <sheetFormatPr defaultRowHeight="15" x14ac:dyDescent="0.25"/>
  <cols>
    <col min="5" max="5" width="33.85546875" bestFit="1" customWidth="1"/>
  </cols>
  <sheetData>
    <row r="1" spans="1:6" x14ac:dyDescent="0.25">
      <c r="A1" t="s">
        <v>969</v>
      </c>
      <c r="B1">
        <v>-26.62</v>
      </c>
      <c r="C1" t="s">
        <v>385</v>
      </c>
      <c r="D1" t="s">
        <v>388</v>
      </c>
      <c r="E1" t="s">
        <v>26</v>
      </c>
      <c r="F1" t="str">
        <f>VLOOKUP(E1, '[1]POS Categories'!$A$1:$B$999, 2, FALSE)</f>
        <v>Food</v>
      </c>
    </row>
    <row r="2" spans="1:6" x14ac:dyDescent="0.25">
      <c r="A2" t="s">
        <v>970</v>
      </c>
      <c r="B2">
        <v>-11.98</v>
      </c>
      <c r="C2" t="s">
        <v>385</v>
      </c>
      <c r="D2" t="s">
        <v>388</v>
      </c>
      <c r="E2" t="s">
        <v>820</v>
      </c>
      <c r="F2" t="str">
        <f>VLOOKUP(E2, '[1]POS Categories'!$A$1:$B$999, 2, FALSE)</f>
        <v>Food</v>
      </c>
    </row>
    <row r="3" spans="1:6" x14ac:dyDescent="0.25">
      <c r="A3" t="s">
        <v>970</v>
      </c>
      <c r="B3">
        <v>1735.61</v>
      </c>
      <c r="C3" t="s">
        <v>385</v>
      </c>
      <c r="D3" t="s">
        <v>386</v>
      </c>
      <c r="E3" t="s">
        <v>786</v>
      </c>
      <c r="F3" t="str">
        <f>VLOOKUP(E3, '[1]POS Categories'!$A$1:$B$999, 2, FALSE)</f>
        <v>Job</v>
      </c>
    </row>
    <row r="4" spans="1:6" x14ac:dyDescent="0.25">
      <c r="A4" t="s">
        <v>971</v>
      </c>
      <c r="B4">
        <v>-24.29</v>
      </c>
      <c r="C4" t="s">
        <v>385</v>
      </c>
      <c r="D4" t="s">
        <v>388</v>
      </c>
      <c r="E4" t="s">
        <v>57</v>
      </c>
      <c r="F4" t="str">
        <f>VLOOKUP(E4, '[1]POS Categories'!$A$1:$B$999, 2, FALSE)</f>
        <v>Food</v>
      </c>
    </row>
    <row r="5" spans="1:6" x14ac:dyDescent="0.25">
      <c r="A5" t="s">
        <v>971</v>
      </c>
      <c r="B5">
        <v>-13.4</v>
      </c>
      <c r="C5" t="s">
        <v>385</v>
      </c>
      <c r="D5" t="s">
        <v>388</v>
      </c>
      <c r="E5" t="s">
        <v>820</v>
      </c>
      <c r="F5" t="str">
        <f>VLOOKUP(E5, '[1]POS Categories'!$A$1:$B$999, 2, FALSE)</f>
        <v>Food</v>
      </c>
    </row>
    <row r="6" spans="1:6" x14ac:dyDescent="0.25">
      <c r="A6" t="s">
        <v>972</v>
      </c>
      <c r="B6">
        <v>-14.86</v>
      </c>
      <c r="C6" t="s">
        <v>385</v>
      </c>
      <c r="D6" t="s">
        <v>388</v>
      </c>
      <c r="E6" t="s">
        <v>811</v>
      </c>
      <c r="F6" t="str">
        <f>VLOOKUP(E6, '[1]POS Categories'!$A$1:$B$999, 2, FALSE)</f>
        <v>Food</v>
      </c>
    </row>
    <row r="7" spans="1:6" x14ac:dyDescent="0.25">
      <c r="A7" t="s">
        <v>972</v>
      </c>
      <c r="B7">
        <v>-14.47</v>
      </c>
      <c r="C7" t="s">
        <v>385</v>
      </c>
      <c r="D7" t="s">
        <v>388</v>
      </c>
      <c r="E7" t="s">
        <v>79</v>
      </c>
      <c r="F7" t="str">
        <f>VLOOKUP(E7, '[1]POS Categories'!$A$1:$B$999, 2, FALSE)</f>
        <v>Personal</v>
      </c>
    </row>
    <row r="8" spans="1:6" x14ac:dyDescent="0.25">
      <c r="A8" t="s">
        <v>973</v>
      </c>
      <c r="B8">
        <v>-6.43</v>
      </c>
      <c r="C8" t="s">
        <v>385</v>
      </c>
      <c r="D8" t="s">
        <v>388</v>
      </c>
      <c r="E8" t="s">
        <v>819</v>
      </c>
      <c r="F8" t="str">
        <f>VLOOKUP(E8, '[1]POS Categories'!$A$1:$B$999, 2, FALSE)</f>
        <v>Food</v>
      </c>
    </row>
    <row r="9" spans="1:6" x14ac:dyDescent="0.25">
      <c r="A9" t="s">
        <v>973</v>
      </c>
      <c r="B9">
        <v>-13.85</v>
      </c>
      <c r="C9" t="s">
        <v>385</v>
      </c>
      <c r="D9" t="s">
        <v>388</v>
      </c>
      <c r="E9" t="s">
        <v>831</v>
      </c>
      <c r="F9" t="str">
        <f>VLOOKUP(E9, '[1]POS Categories'!$A$1:$B$999, 2, FALSE)</f>
        <v>Food</v>
      </c>
    </row>
    <row r="10" spans="1:6" x14ac:dyDescent="0.25">
      <c r="A10" t="s">
        <v>973</v>
      </c>
      <c r="B10">
        <v>-18.5</v>
      </c>
      <c r="C10" t="s">
        <v>385</v>
      </c>
      <c r="D10" t="s">
        <v>388</v>
      </c>
      <c r="E10" t="s">
        <v>804</v>
      </c>
      <c r="F10" t="str">
        <f>VLOOKUP(E10, '[1]POS Categories'!$A$1:$B$999, 2, FALSE)</f>
        <v>Food</v>
      </c>
    </row>
    <row r="11" spans="1:6" x14ac:dyDescent="0.25">
      <c r="A11" t="s">
        <v>974</v>
      </c>
      <c r="B11">
        <v>-16.420000000000002</v>
      </c>
      <c r="C11" t="s">
        <v>385</v>
      </c>
      <c r="D11" t="s">
        <v>388</v>
      </c>
      <c r="E11" t="s">
        <v>696</v>
      </c>
      <c r="F11" t="str">
        <f>VLOOKUP(E11, '[1]POS Categories'!$A$1:$B$999, 2, FALSE)</f>
        <v>Food</v>
      </c>
    </row>
    <row r="12" spans="1:6" x14ac:dyDescent="0.25">
      <c r="A12" t="s">
        <v>975</v>
      </c>
      <c r="B12">
        <v>-14.51</v>
      </c>
      <c r="C12" t="s">
        <v>385</v>
      </c>
      <c r="D12" t="s">
        <v>388</v>
      </c>
      <c r="E12" t="s">
        <v>747</v>
      </c>
      <c r="F12" t="str">
        <f>VLOOKUP(E12, '[1]POS Categories'!$A$1:$B$999, 2, FALSE)</f>
        <v>Food</v>
      </c>
    </row>
    <row r="13" spans="1:6" x14ac:dyDescent="0.25">
      <c r="A13" t="s">
        <v>976</v>
      </c>
      <c r="B13">
        <v>-9.65</v>
      </c>
      <c r="C13" t="s">
        <v>385</v>
      </c>
      <c r="D13" t="s">
        <v>388</v>
      </c>
      <c r="E13" t="s">
        <v>827</v>
      </c>
      <c r="F13" t="str">
        <f>VLOOKUP(E13, '[1]POS Categories'!$A$1:$B$999, 2, FALSE)</f>
        <v>Food</v>
      </c>
    </row>
    <row r="14" spans="1:6" x14ac:dyDescent="0.25">
      <c r="A14" t="s">
        <v>977</v>
      </c>
      <c r="B14">
        <v>-62.38</v>
      </c>
      <c r="C14" t="s">
        <v>385</v>
      </c>
      <c r="D14" t="s">
        <v>388</v>
      </c>
      <c r="E14" t="s">
        <v>80</v>
      </c>
      <c r="F14" t="str">
        <f>VLOOKUP(E14, '[1]POS Categories'!$A$1:$B$999, 2, FALSE)</f>
        <v>Personal</v>
      </c>
    </row>
    <row r="15" spans="1:6" x14ac:dyDescent="0.25">
      <c r="A15" t="s">
        <v>977</v>
      </c>
      <c r="B15">
        <v>-13.4</v>
      </c>
      <c r="C15" t="s">
        <v>385</v>
      </c>
      <c r="D15" t="s">
        <v>388</v>
      </c>
      <c r="E15" t="s">
        <v>820</v>
      </c>
      <c r="F15" t="str">
        <f>VLOOKUP(E15, '[1]POS Categories'!$A$1:$B$999, 2, FALSE)</f>
        <v>Food</v>
      </c>
    </row>
    <row r="16" spans="1:6" x14ac:dyDescent="0.25">
      <c r="A16" t="s">
        <v>978</v>
      </c>
      <c r="B16">
        <v>-21.94</v>
      </c>
      <c r="C16" t="s">
        <v>385</v>
      </c>
      <c r="D16" t="s">
        <v>388</v>
      </c>
      <c r="E16" t="s">
        <v>696</v>
      </c>
      <c r="F16" t="str">
        <f>VLOOKUP(E16, '[1]POS Categories'!$A$1:$B$999, 2, FALSE)</f>
        <v>Food</v>
      </c>
    </row>
    <row r="17" spans="1:6" x14ac:dyDescent="0.25">
      <c r="A17" t="s">
        <v>978</v>
      </c>
      <c r="B17">
        <v>-14.86</v>
      </c>
      <c r="C17" t="s">
        <v>385</v>
      </c>
      <c r="D17" t="s">
        <v>388</v>
      </c>
      <c r="E17" t="s">
        <v>811</v>
      </c>
      <c r="F17" t="str">
        <f>VLOOKUP(E17, '[1]POS Categories'!$A$1:$B$999, 2, FALSE)</f>
        <v>Food</v>
      </c>
    </row>
    <row r="18" spans="1:6" x14ac:dyDescent="0.25">
      <c r="A18" t="s">
        <v>979</v>
      </c>
      <c r="B18">
        <v>-10.31</v>
      </c>
      <c r="C18" t="s">
        <v>385</v>
      </c>
      <c r="D18" t="s">
        <v>388</v>
      </c>
      <c r="E18" t="s">
        <v>831</v>
      </c>
      <c r="F18" t="str">
        <f>VLOOKUP(E18, '[1]POS Categories'!$A$1:$B$999, 2, FALSE)</f>
        <v>Food</v>
      </c>
    </row>
    <row r="19" spans="1:6" x14ac:dyDescent="0.25">
      <c r="A19" t="s">
        <v>979</v>
      </c>
      <c r="B19">
        <v>-6.86</v>
      </c>
      <c r="C19" t="s">
        <v>385</v>
      </c>
      <c r="D19" t="s">
        <v>388</v>
      </c>
      <c r="E19" t="s">
        <v>81</v>
      </c>
      <c r="F19" t="str">
        <f>VLOOKUP(E19, '[1]POS Categories'!$A$1:$B$999, 2, FALSE)</f>
        <v>Food</v>
      </c>
    </row>
    <row r="20" spans="1:6" x14ac:dyDescent="0.25">
      <c r="A20" t="s">
        <v>979</v>
      </c>
      <c r="B20">
        <v>-47.23</v>
      </c>
      <c r="C20" t="s">
        <v>385</v>
      </c>
      <c r="D20" t="s">
        <v>388</v>
      </c>
      <c r="E20" t="s">
        <v>82</v>
      </c>
      <c r="F20" t="str">
        <f>VLOOKUP(E20, '[1]POS Categories'!$A$1:$B$999, 2, FALSE)</f>
        <v>Vehicle</v>
      </c>
    </row>
    <row r="21" spans="1:6" x14ac:dyDescent="0.25">
      <c r="A21" t="s">
        <v>980</v>
      </c>
      <c r="B21">
        <v>-13.4</v>
      </c>
      <c r="C21" t="s">
        <v>385</v>
      </c>
      <c r="D21" t="s">
        <v>388</v>
      </c>
      <c r="E21" t="s">
        <v>820</v>
      </c>
      <c r="F21" t="str">
        <f>VLOOKUP(E21, '[1]POS Categories'!$A$1:$B$999, 2, FALSE)</f>
        <v>Food</v>
      </c>
    </row>
    <row r="22" spans="1:6" x14ac:dyDescent="0.25">
      <c r="A22" t="s">
        <v>981</v>
      </c>
      <c r="B22">
        <v>-20.149999999999999</v>
      </c>
      <c r="C22" t="s">
        <v>385</v>
      </c>
      <c r="D22" t="s">
        <v>388</v>
      </c>
      <c r="E22" t="s">
        <v>810</v>
      </c>
      <c r="F22" t="str">
        <f>VLOOKUP(E22, '[1]POS Categories'!$A$1:$B$999, 2, FALSE)</f>
        <v>Food</v>
      </c>
    </row>
    <row r="23" spans="1:6" x14ac:dyDescent="0.25">
      <c r="A23" t="s">
        <v>981</v>
      </c>
      <c r="B23">
        <v>2916.78</v>
      </c>
      <c r="C23" t="s">
        <v>385</v>
      </c>
      <c r="D23" t="s">
        <v>386</v>
      </c>
      <c r="E23" t="s">
        <v>786</v>
      </c>
      <c r="F23" t="str">
        <f>VLOOKUP(E23, '[1]POS Categories'!$A$1:$B$999, 2, FALSE)</f>
        <v>Job</v>
      </c>
    </row>
    <row r="24" spans="1:6" x14ac:dyDescent="0.25">
      <c r="A24" t="s">
        <v>982</v>
      </c>
      <c r="B24">
        <v>-14.19</v>
      </c>
      <c r="C24" t="s">
        <v>385</v>
      </c>
      <c r="D24" t="s">
        <v>388</v>
      </c>
      <c r="E24" t="s">
        <v>820</v>
      </c>
      <c r="F24" t="str">
        <f>VLOOKUP(E24, '[1]POS Categories'!$A$1:$B$999, 2, FALSE)</f>
        <v>Food</v>
      </c>
    </row>
    <row r="25" spans="1:6" x14ac:dyDescent="0.25">
      <c r="A25" t="s">
        <v>982</v>
      </c>
      <c r="B25">
        <v>-14.86</v>
      </c>
      <c r="C25" t="s">
        <v>385</v>
      </c>
      <c r="D25" t="s">
        <v>388</v>
      </c>
      <c r="E25" t="s">
        <v>811</v>
      </c>
      <c r="F25" t="str">
        <f>VLOOKUP(E25, '[1]POS Categories'!$A$1:$B$999, 2, FALSE)</f>
        <v>Food</v>
      </c>
    </row>
    <row r="26" spans="1:6" x14ac:dyDescent="0.25">
      <c r="A26" t="s">
        <v>983</v>
      </c>
      <c r="B26">
        <v>-22.6</v>
      </c>
      <c r="C26" t="s">
        <v>385</v>
      </c>
      <c r="D26" t="s">
        <v>388</v>
      </c>
      <c r="E26" t="s">
        <v>696</v>
      </c>
      <c r="F26" t="str">
        <f>VLOOKUP(E26, '[1]POS Categories'!$A$1:$B$999, 2, FALSE)</f>
        <v>Food</v>
      </c>
    </row>
    <row r="27" spans="1:6" x14ac:dyDescent="0.25">
      <c r="A27" t="s">
        <v>984</v>
      </c>
      <c r="B27">
        <v>-11.2</v>
      </c>
      <c r="C27" t="s">
        <v>385</v>
      </c>
      <c r="D27" t="s">
        <v>388</v>
      </c>
      <c r="E27" t="s">
        <v>820</v>
      </c>
      <c r="F27" t="str">
        <f>VLOOKUP(E27, '[1]POS Categories'!$A$1:$B$999, 2, FALSE)</f>
        <v>Food</v>
      </c>
    </row>
    <row r="28" spans="1:6" x14ac:dyDescent="0.25">
      <c r="A28" t="s">
        <v>984</v>
      </c>
      <c r="B28">
        <v>-7.75</v>
      </c>
      <c r="C28" t="s">
        <v>385</v>
      </c>
      <c r="D28" t="s">
        <v>388</v>
      </c>
      <c r="E28" t="s">
        <v>79</v>
      </c>
      <c r="F28" t="str">
        <f>VLOOKUP(E28, '[1]POS Categories'!$A$1:$B$999, 2, FALSE)</f>
        <v>Personal</v>
      </c>
    </row>
    <row r="29" spans="1:6" x14ac:dyDescent="0.25">
      <c r="A29" t="s">
        <v>984</v>
      </c>
      <c r="B29">
        <v>-7.19</v>
      </c>
      <c r="C29" t="s">
        <v>385</v>
      </c>
      <c r="D29" t="s">
        <v>388</v>
      </c>
      <c r="E29" t="s">
        <v>819</v>
      </c>
      <c r="F29" t="str">
        <f>VLOOKUP(E29, '[1]POS Categories'!$A$1:$B$999, 2, FALSE)</f>
        <v>Food</v>
      </c>
    </row>
    <row r="30" spans="1:6" x14ac:dyDescent="0.25">
      <c r="A30" t="s">
        <v>985</v>
      </c>
      <c r="B30">
        <v>-199</v>
      </c>
      <c r="C30" t="s">
        <v>385</v>
      </c>
      <c r="D30" t="s">
        <v>400</v>
      </c>
      <c r="E30" t="s">
        <v>401</v>
      </c>
      <c r="F30" t="str">
        <f>VLOOKUP(E30, '[1]POS Categories'!$A$1:$B$999, 2, FALSE)</f>
        <v>Misc</v>
      </c>
    </row>
    <row r="31" spans="1:6" x14ac:dyDescent="0.25">
      <c r="A31" t="s">
        <v>985</v>
      </c>
      <c r="B31">
        <v>-17.23</v>
      </c>
      <c r="C31" t="s">
        <v>385</v>
      </c>
      <c r="D31" t="s">
        <v>400</v>
      </c>
      <c r="E31" t="s">
        <v>401</v>
      </c>
      <c r="F31" t="str">
        <f>VLOOKUP(E31, '[1]POS Categories'!$A$1:$B$999, 2, FALSE)</f>
        <v>Misc</v>
      </c>
    </row>
    <row r="32" spans="1:6" x14ac:dyDescent="0.25">
      <c r="A32" t="s">
        <v>985</v>
      </c>
      <c r="B32">
        <v>-6.43</v>
      </c>
      <c r="C32" t="s">
        <v>385</v>
      </c>
      <c r="D32" t="s">
        <v>388</v>
      </c>
      <c r="E32" t="s">
        <v>819</v>
      </c>
      <c r="F32" t="str">
        <f>VLOOKUP(E32, '[1]POS Categories'!$A$1:$B$999, 2, FALSE)</f>
        <v>Food</v>
      </c>
    </row>
    <row r="33" spans="1:6" x14ac:dyDescent="0.25">
      <c r="A33" t="s">
        <v>985</v>
      </c>
      <c r="B33">
        <v>-49.46</v>
      </c>
      <c r="C33" t="s">
        <v>385</v>
      </c>
      <c r="D33" t="s">
        <v>388</v>
      </c>
      <c r="E33" t="s">
        <v>83</v>
      </c>
      <c r="F33" t="str">
        <f>VLOOKUP(E33, '[1]POS Categories'!$A$1:$B$999, 2, FALSE)</f>
        <v>Entertainment</v>
      </c>
    </row>
    <row r="34" spans="1:6" x14ac:dyDescent="0.25">
      <c r="A34" t="s">
        <v>985</v>
      </c>
      <c r="B34">
        <v>-14.86</v>
      </c>
      <c r="C34" t="s">
        <v>385</v>
      </c>
      <c r="D34" t="s">
        <v>388</v>
      </c>
      <c r="E34" t="s">
        <v>811</v>
      </c>
      <c r="F34" t="str">
        <f>VLOOKUP(E34, '[1]POS Categories'!$A$1:$B$999, 2, FALSE)</f>
        <v>Food</v>
      </c>
    </row>
    <row r="35" spans="1:6" x14ac:dyDescent="0.25">
      <c r="A35" t="s">
        <v>985</v>
      </c>
      <c r="B35">
        <v>49.57</v>
      </c>
      <c r="C35" t="s">
        <v>385</v>
      </c>
      <c r="D35" t="s">
        <v>430</v>
      </c>
      <c r="E35" s="20">
        <v>309304108582864</v>
      </c>
      <c r="F35" t="s">
        <v>1199</v>
      </c>
    </row>
    <row r="36" spans="1:6" x14ac:dyDescent="0.25">
      <c r="A36" t="s">
        <v>986</v>
      </c>
      <c r="B36">
        <v>-12.75</v>
      </c>
      <c r="C36" t="s">
        <v>385</v>
      </c>
      <c r="D36" t="s">
        <v>388</v>
      </c>
      <c r="E36" t="s">
        <v>827</v>
      </c>
      <c r="F36" t="str">
        <f>VLOOKUP(E36, '[1]POS Categories'!$A$1:$B$999, 2, FALSE)</f>
        <v>Food</v>
      </c>
    </row>
    <row r="37" spans="1:6" x14ac:dyDescent="0.25">
      <c r="A37" t="s">
        <v>987</v>
      </c>
      <c r="B37">
        <v>-3.49</v>
      </c>
      <c r="C37" t="s">
        <v>385</v>
      </c>
      <c r="D37" t="s">
        <v>388</v>
      </c>
      <c r="E37" t="s">
        <v>57</v>
      </c>
      <c r="F37" t="str">
        <f>VLOOKUP(E37, '[1]POS Categories'!$A$1:$B$999, 2, FALSE)</f>
        <v>Food</v>
      </c>
    </row>
    <row r="38" spans="1:6" x14ac:dyDescent="0.25">
      <c r="A38" t="s">
        <v>987</v>
      </c>
      <c r="B38">
        <v>-10.31</v>
      </c>
      <c r="C38" t="s">
        <v>385</v>
      </c>
      <c r="D38" t="s">
        <v>388</v>
      </c>
      <c r="E38" t="s">
        <v>831</v>
      </c>
      <c r="F38" t="str">
        <f>VLOOKUP(E38, '[1]POS Categories'!$A$1:$B$999, 2, FALSE)</f>
        <v>Food</v>
      </c>
    </row>
    <row r="39" spans="1:6" x14ac:dyDescent="0.25">
      <c r="A39" t="s">
        <v>987</v>
      </c>
      <c r="B39">
        <v>-6.3</v>
      </c>
      <c r="C39" t="s">
        <v>385</v>
      </c>
      <c r="D39" t="s">
        <v>388</v>
      </c>
      <c r="E39" t="s">
        <v>816</v>
      </c>
      <c r="F39" t="str">
        <f>VLOOKUP(E39, '[1]POS Categories'!$A$1:$B$999, 2, FALSE)</f>
        <v>Food</v>
      </c>
    </row>
    <row r="40" spans="1:6" x14ac:dyDescent="0.25">
      <c r="A40" t="s">
        <v>987</v>
      </c>
      <c r="B40">
        <v>-16.989999999999998</v>
      </c>
      <c r="C40" t="s">
        <v>385</v>
      </c>
      <c r="D40" t="s">
        <v>388</v>
      </c>
      <c r="E40" t="s">
        <v>49</v>
      </c>
      <c r="F40" t="str">
        <f>VLOOKUP(E40, '[1]POS Categories'!$A$1:$B$999, 2, FALSE)</f>
        <v>Entertainment</v>
      </c>
    </row>
    <row r="41" spans="1:6" x14ac:dyDescent="0.25">
      <c r="A41" t="s">
        <v>987</v>
      </c>
      <c r="B41">
        <v>-46.7</v>
      </c>
      <c r="C41" t="s">
        <v>385</v>
      </c>
      <c r="D41" t="s">
        <v>388</v>
      </c>
      <c r="E41" t="s">
        <v>62</v>
      </c>
      <c r="F41" t="str">
        <f>VLOOKUP(E41, '[1]POS Categories'!$A$1:$B$999, 2, FALSE)</f>
        <v>Entertainment</v>
      </c>
    </row>
    <row r="42" spans="1:6" x14ac:dyDescent="0.25">
      <c r="A42" t="s">
        <v>988</v>
      </c>
      <c r="B42">
        <v>-14.19</v>
      </c>
      <c r="C42" t="s">
        <v>385</v>
      </c>
      <c r="D42" t="s">
        <v>388</v>
      </c>
      <c r="E42" t="s">
        <v>820</v>
      </c>
      <c r="F42" t="str">
        <f>VLOOKUP(E42, '[1]POS Categories'!$A$1:$B$999, 2, FALSE)</f>
        <v>Food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5"/>
  <sheetViews>
    <sheetView topLeftCell="A21" workbookViewId="0">
      <selection activeCell="E33" sqref="E33"/>
    </sheetView>
  </sheetViews>
  <sheetFormatPr defaultRowHeight="15" x14ac:dyDescent="0.25"/>
  <cols>
    <col min="5" max="5" width="36.140625" bestFit="1" customWidth="1"/>
  </cols>
  <sheetData>
    <row r="1" spans="1:6" x14ac:dyDescent="0.25">
      <c r="A1" t="s">
        <v>989</v>
      </c>
      <c r="B1">
        <v>-3.49</v>
      </c>
      <c r="C1" t="s">
        <v>385</v>
      </c>
      <c r="D1" t="s">
        <v>388</v>
      </c>
      <c r="E1" t="s">
        <v>57</v>
      </c>
      <c r="F1" t="str">
        <f>VLOOKUP(E1, '[1]POS Categories'!$A$1:$B$999, 2, FALSE)</f>
        <v>Food</v>
      </c>
    </row>
    <row r="2" spans="1:6" x14ac:dyDescent="0.25">
      <c r="A2" t="s">
        <v>989</v>
      </c>
      <c r="B2">
        <v>-12.75</v>
      </c>
      <c r="C2" t="s">
        <v>385</v>
      </c>
      <c r="D2" t="s">
        <v>388</v>
      </c>
      <c r="E2" t="s">
        <v>827</v>
      </c>
      <c r="F2" t="str">
        <f>VLOOKUP(E2, '[1]POS Categories'!$A$1:$B$999, 2, FALSE)</f>
        <v>Food</v>
      </c>
    </row>
    <row r="3" spans="1:6" x14ac:dyDescent="0.25">
      <c r="A3" t="s">
        <v>989</v>
      </c>
      <c r="B3">
        <v>49.2</v>
      </c>
      <c r="C3" t="s">
        <v>385</v>
      </c>
      <c r="D3" t="s">
        <v>430</v>
      </c>
      <c r="E3" s="20">
        <v>589297355015360</v>
      </c>
      <c r="F3" t="s">
        <v>1199</v>
      </c>
    </row>
    <row r="4" spans="1:6" x14ac:dyDescent="0.25">
      <c r="A4" t="s">
        <v>989</v>
      </c>
      <c r="B4">
        <v>1735.61</v>
      </c>
      <c r="C4" t="s">
        <v>385</v>
      </c>
      <c r="D4" t="s">
        <v>386</v>
      </c>
      <c r="E4" t="s">
        <v>786</v>
      </c>
      <c r="F4" t="str">
        <f>VLOOKUP(E4, '[1]POS Categories'!$A$1:$B$999, 2, FALSE)</f>
        <v>Job</v>
      </c>
    </row>
    <row r="5" spans="1:6" x14ac:dyDescent="0.25">
      <c r="A5" t="s">
        <v>990</v>
      </c>
      <c r="B5">
        <v>-49.57</v>
      </c>
      <c r="C5" t="s">
        <v>385</v>
      </c>
      <c r="D5" t="s">
        <v>388</v>
      </c>
      <c r="E5" t="s">
        <v>83</v>
      </c>
      <c r="F5" t="str">
        <f>VLOOKUP(E5, '[1]POS Categories'!$A$1:$B$999, 2, FALSE)</f>
        <v>Entertainment</v>
      </c>
    </row>
    <row r="6" spans="1:6" x14ac:dyDescent="0.25">
      <c r="A6" t="s">
        <v>990</v>
      </c>
      <c r="B6">
        <v>-11.52</v>
      </c>
      <c r="C6" t="s">
        <v>385</v>
      </c>
      <c r="D6" t="s">
        <v>388</v>
      </c>
      <c r="E6" t="s">
        <v>820</v>
      </c>
      <c r="F6" t="str">
        <f>VLOOKUP(E6, '[1]POS Categories'!$A$1:$B$999, 2, FALSE)</f>
        <v>Food</v>
      </c>
    </row>
    <row r="7" spans="1:6" x14ac:dyDescent="0.25">
      <c r="A7" t="s">
        <v>990</v>
      </c>
      <c r="B7">
        <v>-5.74</v>
      </c>
      <c r="C7" t="s">
        <v>385</v>
      </c>
      <c r="D7" t="s">
        <v>388</v>
      </c>
      <c r="E7" t="s">
        <v>49</v>
      </c>
      <c r="F7" t="str">
        <f>VLOOKUP(E7, '[1]POS Categories'!$A$1:$B$999, 2, FALSE)</f>
        <v>Entertainment</v>
      </c>
    </row>
    <row r="8" spans="1:6" x14ac:dyDescent="0.25">
      <c r="A8" t="s">
        <v>991</v>
      </c>
      <c r="B8">
        <v>-13.53</v>
      </c>
      <c r="C8" t="s">
        <v>385</v>
      </c>
      <c r="D8" t="s">
        <v>388</v>
      </c>
      <c r="E8" t="s">
        <v>831</v>
      </c>
      <c r="F8" t="str">
        <f>VLOOKUP(E8, '[1]POS Categories'!$A$1:$B$999, 2, FALSE)</f>
        <v>Food</v>
      </c>
    </row>
    <row r="9" spans="1:6" x14ac:dyDescent="0.25">
      <c r="A9" t="s">
        <v>991</v>
      </c>
      <c r="B9">
        <v>-5.17</v>
      </c>
      <c r="C9" t="s">
        <v>385</v>
      </c>
      <c r="D9" t="s">
        <v>388</v>
      </c>
      <c r="E9" t="s">
        <v>49</v>
      </c>
      <c r="F9" t="str">
        <f>VLOOKUP(E9, '[1]POS Categories'!$A$1:$B$999, 2, FALSE)</f>
        <v>Entertainment</v>
      </c>
    </row>
    <row r="10" spans="1:6" x14ac:dyDescent="0.25">
      <c r="A10" t="s">
        <v>992</v>
      </c>
      <c r="B10">
        <v>-35.770000000000003</v>
      </c>
      <c r="C10" t="s">
        <v>385</v>
      </c>
      <c r="D10" t="s">
        <v>388</v>
      </c>
      <c r="E10" t="s">
        <v>800</v>
      </c>
      <c r="F10" t="str">
        <f>VLOOKUP(E10, '[1]POS Categories'!$A$1:$B$999, 2, FALSE)</f>
        <v>Food</v>
      </c>
    </row>
    <row r="11" spans="1:6" x14ac:dyDescent="0.25">
      <c r="A11" t="s">
        <v>992</v>
      </c>
      <c r="B11">
        <v>-28.91</v>
      </c>
      <c r="C11" t="s">
        <v>385</v>
      </c>
      <c r="D11" t="s">
        <v>388</v>
      </c>
      <c r="E11" t="s">
        <v>84</v>
      </c>
      <c r="F11" t="str">
        <f>VLOOKUP(E11, '[1]POS Categories'!$A$1:$B$999, 2, FALSE)</f>
        <v>Food</v>
      </c>
    </row>
    <row r="12" spans="1:6" x14ac:dyDescent="0.25">
      <c r="A12" t="s">
        <v>992</v>
      </c>
      <c r="B12">
        <v>-13.63</v>
      </c>
      <c r="C12" t="s">
        <v>385</v>
      </c>
      <c r="D12" t="s">
        <v>388</v>
      </c>
      <c r="E12" t="s">
        <v>747</v>
      </c>
      <c r="F12" t="str">
        <f>VLOOKUP(E12, '[1]POS Categories'!$A$1:$B$999, 2, FALSE)</f>
        <v>Food</v>
      </c>
    </row>
    <row r="13" spans="1:6" x14ac:dyDescent="0.25">
      <c r="A13" t="s">
        <v>993</v>
      </c>
      <c r="B13">
        <v>-14.86</v>
      </c>
      <c r="C13" t="s">
        <v>385</v>
      </c>
      <c r="D13" t="s">
        <v>388</v>
      </c>
      <c r="E13" t="s">
        <v>811</v>
      </c>
      <c r="F13" t="str">
        <f>VLOOKUP(E13, '[1]POS Categories'!$A$1:$B$999, 2, FALSE)</f>
        <v>Food</v>
      </c>
    </row>
    <row r="14" spans="1:6" x14ac:dyDescent="0.25">
      <c r="A14" t="s">
        <v>994</v>
      </c>
      <c r="B14">
        <v>-121.6</v>
      </c>
      <c r="C14" t="s">
        <v>385</v>
      </c>
      <c r="D14" t="s">
        <v>388</v>
      </c>
      <c r="E14" t="s">
        <v>85</v>
      </c>
      <c r="F14" t="str">
        <f>VLOOKUP(E14, '[1]POS Categories'!$A$1:$B$999, 2, FALSE)</f>
        <v>Bills</v>
      </c>
    </row>
    <row r="15" spans="1:6" x14ac:dyDescent="0.25">
      <c r="A15" t="s">
        <v>994</v>
      </c>
      <c r="B15">
        <v>197.25</v>
      </c>
      <c r="C15" t="s">
        <v>385</v>
      </c>
      <c r="D15" t="s">
        <v>467</v>
      </c>
      <c r="E15" t="s">
        <v>637</v>
      </c>
      <c r="F15" t="str">
        <f>VLOOKUP(E15, '[1]POS Categories'!$A$1:$B$999, 2, FALSE)</f>
        <v>Misc</v>
      </c>
    </row>
    <row r="16" spans="1:6" x14ac:dyDescent="0.25">
      <c r="A16" t="s">
        <v>994</v>
      </c>
      <c r="B16">
        <v>-6.43</v>
      </c>
      <c r="C16" t="s">
        <v>385</v>
      </c>
      <c r="D16" t="s">
        <v>388</v>
      </c>
      <c r="E16" t="s">
        <v>819</v>
      </c>
      <c r="F16" t="str">
        <f>VLOOKUP(E16, '[1]POS Categories'!$A$1:$B$999, 2, FALSE)</f>
        <v>Food</v>
      </c>
    </row>
    <row r="17" spans="1:6" x14ac:dyDescent="0.25">
      <c r="A17" t="s">
        <v>994</v>
      </c>
      <c r="B17">
        <v>49.68</v>
      </c>
      <c r="C17" t="s">
        <v>385</v>
      </c>
      <c r="D17" t="s">
        <v>430</v>
      </c>
      <c r="E17" s="20">
        <v>589290606185927</v>
      </c>
      <c r="F17" t="s">
        <v>1199</v>
      </c>
    </row>
    <row r="18" spans="1:6" x14ac:dyDescent="0.25">
      <c r="A18" t="s">
        <v>994</v>
      </c>
      <c r="B18">
        <v>-49.2</v>
      </c>
      <c r="C18" t="s">
        <v>385</v>
      </c>
      <c r="D18" t="s">
        <v>388</v>
      </c>
      <c r="E18" t="s">
        <v>83</v>
      </c>
      <c r="F18" t="str">
        <f>VLOOKUP(E18, '[1]POS Categories'!$A$1:$B$999, 2, FALSE)</f>
        <v>Entertainment</v>
      </c>
    </row>
    <row r="19" spans="1:6" x14ac:dyDescent="0.25">
      <c r="A19" t="s">
        <v>995</v>
      </c>
      <c r="B19">
        <v>-35.15</v>
      </c>
      <c r="C19" t="s">
        <v>385</v>
      </c>
      <c r="D19" t="s">
        <v>388</v>
      </c>
      <c r="E19" t="s">
        <v>86</v>
      </c>
      <c r="F19" t="str">
        <f>VLOOKUP(E19, '[1]POS Categories'!$A$1:$B$999, 2, FALSE)</f>
        <v>Food</v>
      </c>
    </row>
    <row r="20" spans="1:6" x14ac:dyDescent="0.25">
      <c r="A20" t="s">
        <v>995</v>
      </c>
      <c r="B20">
        <v>-13.4</v>
      </c>
      <c r="C20" t="s">
        <v>385</v>
      </c>
      <c r="D20" t="s">
        <v>388</v>
      </c>
      <c r="E20" t="s">
        <v>820</v>
      </c>
      <c r="F20" t="str">
        <f>VLOOKUP(E20, '[1]POS Categories'!$A$1:$B$999, 2, FALSE)</f>
        <v>Food</v>
      </c>
    </row>
    <row r="21" spans="1:6" x14ac:dyDescent="0.25">
      <c r="A21" t="s">
        <v>996</v>
      </c>
      <c r="B21">
        <v>-14.86</v>
      </c>
      <c r="C21" t="s">
        <v>385</v>
      </c>
      <c r="D21" t="s">
        <v>388</v>
      </c>
      <c r="E21" t="s">
        <v>811</v>
      </c>
      <c r="F21" t="str">
        <f>VLOOKUP(E21, '[1]POS Categories'!$A$1:$B$999, 2, FALSE)</f>
        <v>Food</v>
      </c>
    </row>
    <row r="22" spans="1:6" x14ac:dyDescent="0.25">
      <c r="A22" t="s">
        <v>997</v>
      </c>
      <c r="B22">
        <v>-14.19</v>
      </c>
      <c r="C22" t="s">
        <v>385</v>
      </c>
      <c r="D22" t="s">
        <v>388</v>
      </c>
      <c r="E22" t="s">
        <v>820</v>
      </c>
      <c r="F22" t="str">
        <f>VLOOKUP(E22, '[1]POS Categories'!$A$1:$B$999, 2, FALSE)</f>
        <v>Food</v>
      </c>
    </row>
    <row r="23" spans="1:6" x14ac:dyDescent="0.25">
      <c r="A23" t="s">
        <v>998</v>
      </c>
      <c r="B23">
        <v>-51.96</v>
      </c>
      <c r="C23" t="s">
        <v>385</v>
      </c>
      <c r="D23" t="s">
        <v>388</v>
      </c>
      <c r="E23" t="s">
        <v>798</v>
      </c>
      <c r="F23" t="str">
        <f>VLOOKUP(E23, '[1]POS Categories'!$A$1:$B$999, 2, FALSE)</f>
        <v>Vehicle</v>
      </c>
    </row>
    <row r="24" spans="1:6" x14ac:dyDescent="0.25">
      <c r="A24" t="s">
        <v>998</v>
      </c>
      <c r="B24">
        <v>-19.260000000000002</v>
      </c>
      <c r="C24" t="s">
        <v>385</v>
      </c>
      <c r="D24" t="s">
        <v>388</v>
      </c>
      <c r="E24" t="s">
        <v>57</v>
      </c>
      <c r="F24" t="str">
        <f>VLOOKUP(E24, '[1]POS Categories'!$A$1:$B$999, 2, FALSE)</f>
        <v>Food</v>
      </c>
    </row>
    <row r="25" spans="1:6" x14ac:dyDescent="0.25">
      <c r="A25" t="s">
        <v>998</v>
      </c>
      <c r="B25">
        <v>-49.68</v>
      </c>
      <c r="C25" t="s">
        <v>385</v>
      </c>
      <c r="D25" t="s">
        <v>388</v>
      </c>
      <c r="E25" t="s">
        <v>83</v>
      </c>
      <c r="F25" t="str">
        <f>VLOOKUP(E25, '[1]POS Categories'!$A$1:$B$999, 2, FALSE)</f>
        <v>Entertainment</v>
      </c>
    </row>
    <row r="26" spans="1:6" x14ac:dyDescent="0.25">
      <c r="A26" t="s">
        <v>998</v>
      </c>
      <c r="B26">
        <v>50.08</v>
      </c>
      <c r="C26" t="s">
        <v>385</v>
      </c>
      <c r="D26" t="s">
        <v>430</v>
      </c>
      <c r="E26" s="20">
        <v>309283855314828</v>
      </c>
      <c r="F26" t="s">
        <v>1199</v>
      </c>
    </row>
    <row r="27" spans="1:6" x14ac:dyDescent="0.25">
      <c r="A27" t="s">
        <v>998</v>
      </c>
      <c r="B27">
        <v>1735.61</v>
      </c>
      <c r="C27" t="s">
        <v>385</v>
      </c>
      <c r="D27" t="s">
        <v>386</v>
      </c>
      <c r="E27" t="s">
        <v>786</v>
      </c>
      <c r="F27" t="str">
        <f>VLOOKUP(E27, '[1]POS Categories'!$A$1:$B$999, 2, FALSE)</f>
        <v>Job</v>
      </c>
    </row>
    <row r="28" spans="1:6" x14ac:dyDescent="0.25">
      <c r="A28" t="s">
        <v>998</v>
      </c>
      <c r="B28">
        <v>-34</v>
      </c>
      <c r="C28" t="s">
        <v>385</v>
      </c>
      <c r="D28" t="s">
        <v>388</v>
      </c>
      <c r="E28" t="s">
        <v>49</v>
      </c>
      <c r="F28" t="str">
        <f>VLOOKUP(E28, '[1]POS Categories'!$A$1:$B$999, 2, FALSE)</f>
        <v>Entertainment</v>
      </c>
    </row>
    <row r="29" spans="1:6" x14ac:dyDescent="0.25">
      <c r="A29" t="s">
        <v>999</v>
      </c>
      <c r="B29">
        <v>-31.02</v>
      </c>
      <c r="C29" t="s">
        <v>385</v>
      </c>
      <c r="D29" t="s">
        <v>388</v>
      </c>
      <c r="E29" t="s">
        <v>696</v>
      </c>
      <c r="F29" t="str">
        <f>VLOOKUP(E29, '[1]POS Categories'!$A$1:$B$999, 2, FALSE)</f>
        <v>Food</v>
      </c>
    </row>
    <row r="30" spans="1:6" x14ac:dyDescent="0.25">
      <c r="A30" t="s">
        <v>1000</v>
      </c>
      <c r="B30">
        <v>-14.85</v>
      </c>
      <c r="C30" t="s">
        <v>385</v>
      </c>
      <c r="D30" t="s">
        <v>388</v>
      </c>
      <c r="E30" t="s">
        <v>804</v>
      </c>
      <c r="F30" t="str">
        <f>VLOOKUP(E30, '[1]POS Categories'!$A$1:$B$999, 2, FALSE)</f>
        <v>Food</v>
      </c>
    </row>
    <row r="31" spans="1:6" x14ac:dyDescent="0.25">
      <c r="A31" t="s">
        <v>1000</v>
      </c>
      <c r="B31">
        <v>-10.87</v>
      </c>
      <c r="C31" t="s">
        <v>385</v>
      </c>
      <c r="D31" t="s">
        <v>388</v>
      </c>
      <c r="E31" t="s">
        <v>696</v>
      </c>
      <c r="F31" t="str">
        <f>VLOOKUP(E31, '[1]POS Categories'!$A$1:$B$999, 2, FALSE)</f>
        <v>Food</v>
      </c>
    </row>
    <row r="32" spans="1:6" x14ac:dyDescent="0.25">
      <c r="A32" t="s">
        <v>1001</v>
      </c>
      <c r="B32">
        <v>-13.63</v>
      </c>
      <c r="C32" t="s">
        <v>385</v>
      </c>
      <c r="D32" t="s">
        <v>388</v>
      </c>
      <c r="E32" t="s">
        <v>747</v>
      </c>
      <c r="F32" t="str">
        <f>VLOOKUP(E32, '[1]POS Categories'!$A$1:$B$999, 2, FALSE)</f>
        <v>Food</v>
      </c>
    </row>
    <row r="33" spans="1:6" x14ac:dyDescent="0.25">
      <c r="A33" t="s">
        <v>1001</v>
      </c>
      <c r="B33">
        <v>50.09</v>
      </c>
      <c r="C33" t="s">
        <v>385</v>
      </c>
      <c r="D33" t="s">
        <v>430</v>
      </c>
      <c r="E33" s="20">
        <v>589277237243799</v>
      </c>
      <c r="F33" t="s">
        <v>1199</v>
      </c>
    </row>
    <row r="34" spans="1:6" x14ac:dyDescent="0.25">
      <c r="A34" t="s">
        <v>1002</v>
      </c>
      <c r="B34">
        <v>-50.08</v>
      </c>
      <c r="C34" t="s">
        <v>385</v>
      </c>
      <c r="D34" t="s">
        <v>388</v>
      </c>
      <c r="E34" t="s">
        <v>83</v>
      </c>
      <c r="F34" t="str">
        <f>VLOOKUP(E34, '[1]POS Categories'!$A$1:$B$999, 2, FALSE)</f>
        <v>Entertainment</v>
      </c>
    </row>
    <row r="35" spans="1:6" x14ac:dyDescent="0.25">
      <c r="A35" t="s">
        <v>1003</v>
      </c>
      <c r="B35">
        <v>-21.58</v>
      </c>
      <c r="C35" t="s">
        <v>385</v>
      </c>
      <c r="D35" t="s">
        <v>388</v>
      </c>
      <c r="E35" t="s">
        <v>57</v>
      </c>
      <c r="F35" t="str">
        <f>VLOOKUP(E35, '[1]POS Categories'!$A$1:$B$999, 2, FALSE)</f>
        <v>Food</v>
      </c>
    </row>
    <row r="36" spans="1:6" x14ac:dyDescent="0.25">
      <c r="A36" t="s">
        <v>1004</v>
      </c>
      <c r="B36">
        <v>-33.81</v>
      </c>
      <c r="C36" t="s">
        <v>385</v>
      </c>
      <c r="D36" t="s">
        <v>388</v>
      </c>
      <c r="E36" t="s">
        <v>26</v>
      </c>
      <c r="F36" t="str">
        <f>VLOOKUP(E36, '[1]POS Categories'!$A$1:$B$999, 2, FALSE)</f>
        <v>Food</v>
      </c>
    </row>
    <row r="37" spans="1:6" x14ac:dyDescent="0.25">
      <c r="A37" t="s">
        <v>1005</v>
      </c>
      <c r="B37">
        <v>49.83</v>
      </c>
      <c r="C37" t="s">
        <v>385</v>
      </c>
      <c r="D37" t="s">
        <v>430</v>
      </c>
      <c r="E37" s="20">
        <v>469270483466747</v>
      </c>
      <c r="F37" t="s">
        <v>1199</v>
      </c>
    </row>
    <row r="38" spans="1:6" x14ac:dyDescent="0.25">
      <c r="A38" t="s">
        <v>1005</v>
      </c>
      <c r="B38">
        <v>-50.09</v>
      </c>
      <c r="C38" t="s">
        <v>385</v>
      </c>
      <c r="D38" t="s">
        <v>388</v>
      </c>
      <c r="E38" t="s">
        <v>83</v>
      </c>
      <c r="F38" t="str">
        <f>VLOOKUP(E38, '[1]POS Categories'!$A$1:$B$999, 2, FALSE)</f>
        <v>Entertainment</v>
      </c>
    </row>
    <row r="39" spans="1:6" x14ac:dyDescent="0.25">
      <c r="A39" t="s">
        <v>1006</v>
      </c>
      <c r="B39">
        <v>-20.76</v>
      </c>
      <c r="C39" t="s">
        <v>385</v>
      </c>
      <c r="D39" t="s">
        <v>388</v>
      </c>
      <c r="E39" t="s">
        <v>800</v>
      </c>
      <c r="F39" t="str">
        <f>VLOOKUP(E39, '[1]POS Categories'!$A$1:$B$999, 2, FALSE)</f>
        <v>Food</v>
      </c>
    </row>
    <row r="40" spans="1:6" x14ac:dyDescent="0.25">
      <c r="A40" t="s">
        <v>1006</v>
      </c>
      <c r="B40">
        <v>1735.61</v>
      </c>
      <c r="C40" t="s">
        <v>385</v>
      </c>
      <c r="D40" t="s">
        <v>386</v>
      </c>
      <c r="E40" t="s">
        <v>786</v>
      </c>
      <c r="F40" t="str">
        <f>VLOOKUP(E40, '[1]POS Categories'!$A$1:$B$999, 2, FALSE)</f>
        <v>Job</v>
      </c>
    </row>
    <row r="41" spans="1:6" x14ac:dyDescent="0.25">
      <c r="A41" t="s">
        <v>1006</v>
      </c>
      <c r="B41">
        <v>-45.64</v>
      </c>
      <c r="C41" t="s">
        <v>385</v>
      </c>
      <c r="D41" t="s">
        <v>388</v>
      </c>
      <c r="E41" t="s">
        <v>78</v>
      </c>
      <c r="F41" t="str">
        <f>VLOOKUP(E41, '[1]POS Categories'!$A$1:$B$999, 2, FALSE)</f>
        <v>Entertainment</v>
      </c>
    </row>
    <row r="42" spans="1:6" x14ac:dyDescent="0.25">
      <c r="A42" t="s">
        <v>1007</v>
      </c>
      <c r="B42">
        <v>-6.43</v>
      </c>
      <c r="C42" t="s">
        <v>385</v>
      </c>
      <c r="D42" t="s">
        <v>388</v>
      </c>
      <c r="E42" t="s">
        <v>819</v>
      </c>
      <c r="F42" t="str">
        <f>VLOOKUP(E42, '[1]POS Categories'!$A$1:$B$999, 2, FALSE)</f>
        <v>Food</v>
      </c>
    </row>
    <row r="43" spans="1:6" x14ac:dyDescent="0.25">
      <c r="A43" t="s">
        <v>1007</v>
      </c>
      <c r="B43">
        <v>-13.4</v>
      </c>
      <c r="C43" t="s">
        <v>385</v>
      </c>
      <c r="D43" t="s">
        <v>388</v>
      </c>
      <c r="E43" t="s">
        <v>820</v>
      </c>
      <c r="F43" t="str">
        <f>VLOOKUP(E43, '[1]POS Categories'!$A$1:$B$999, 2, FALSE)</f>
        <v>Food</v>
      </c>
    </row>
    <row r="44" spans="1:6" x14ac:dyDescent="0.25">
      <c r="A44" t="s">
        <v>1008</v>
      </c>
      <c r="B44">
        <v>-256.2</v>
      </c>
      <c r="C44" t="s">
        <v>385</v>
      </c>
      <c r="D44" t="s">
        <v>388</v>
      </c>
      <c r="E44" t="s">
        <v>87</v>
      </c>
      <c r="F44" t="str">
        <f>VLOOKUP(E44, '[1]POS Categories'!$A$1:$B$999, 2, FALSE)</f>
        <v>Personal</v>
      </c>
    </row>
    <row r="45" spans="1:6" x14ac:dyDescent="0.25">
      <c r="A45" t="s">
        <v>1008</v>
      </c>
      <c r="B45">
        <v>-24.72</v>
      </c>
      <c r="C45" t="s">
        <v>385</v>
      </c>
      <c r="D45" t="s">
        <v>388</v>
      </c>
      <c r="E45" t="s">
        <v>747</v>
      </c>
      <c r="F45" t="str">
        <f>VLOOKUP(E45, '[1]POS Categories'!$A$1:$B$999, 2, FALSE)</f>
        <v>Food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4"/>
  <sheetViews>
    <sheetView topLeftCell="A21" workbookViewId="0">
      <selection activeCell="E21" sqref="E21"/>
    </sheetView>
  </sheetViews>
  <sheetFormatPr defaultRowHeight="15" x14ac:dyDescent="0.25"/>
  <cols>
    <col min="5" max="5" width="36.140625" bestFit="1" customWidth="1"/>
  </cols>
  <sheetData>
    <row r="1" spans="1:6" x14ac:dyDescent="0.25">
      <c r="A1" t="s">
        <v>1009</v>
      </c>
      <c r="B1">
        <v>-5.01</v>
      </c>
      <c r="C1" t="s">
        <v>385</v>
      </c>
      <c r="D1" t="s">
        <v>388</v>
      </c>
      <c r="E1" t="s">
        <v>22</v>
      </c>
      <c r="F1" t="str">
        <f>VLOOKUP(E1, '[1]POS Categories'!$A$1:$B$999, 2, FALSE)</f>
        <v>Entertainment</v>
      </c>
    </row>
    <row r="2" spans="1:6" x14ac:dyDescent="0.25">
      <c r="A2" t="s">
        <v>1009</v>
      </c>
      <c r="B2">
        <v>-16.989999999999998</v>
      </c>
      <c r="C2" t="s">
        <v>385</v>
      </c>
      <c r="D2" t="s">
        <v>388</v>
      </c>
      <c r="E2" t="s">
        <v>22</v>
      </c>
      <c r="F2" t="str">
        <f>VLOOKUP(E2, '[1]POS Categories'!$A$1:$B$999, 2, FALSE)</f>
        <v>Entertainment</v>
      </c>
    </row>
    <row r="3" spans="1:6" x14ac:dyDescent="0.25">
      <c r="A3" t="s">
        <v>1009</v>
      </c>
      <c r="B3">
        <v>-13.53</v>
      </c>
      <c r="C3" t="s">
        <v>385</v>
      </c>
      <c r="D3" t="s">
        <v>388</v>
      </c>
      <c r="E3" t="s">
        <v>831</v>
      </c>
      <c r="F3" t="str">
        <f>VLOOKUP(E3, '[1]POS Categories'!$A$1:$B$999, 2, FALSE)</f>
        <v>Food</v>
      </c>
    </row>
    <row r="4" spans="1:6" x14ac:dyDescent="0.25">
      <c r="A4" t="s">
        <v>1009</v>
      </c>
      <c r="B4">
        <v>-14.86</v>
      </c>
      <c r="C4" t="s">
        <v>385</v>
      </c>
      <c r="D4" t="s">
        <v>388</v>
      </c>
      <c r="E4" t="s">
        <v>811</v>
      </c>
      <c r="F4" t="str">
        <f>VLOOKUP(E4, '[1]POS Categories'!$A$1:$B$999, 2, FALSE)</f>
        <v>Food</v>
      </c>
    </row>
    <row r="5" spans="1:6" x14ac:dyDescent="0.25">
      <c r="A5" t="s">
        <v>1010</v>
      </c>
      <c r="B5">
        <v>-49.83</v>
      </c>
      <c r="C5" t="s">
        <v>385</v>
      </c>
      <c r="D5" t="s">
        <v>388</v>
      </c>
      <c r="E5" t="s">
        <v>83</v>
      </c>
      <c r="F5" t="str">
        <f>VLOOKUP(E5, '[1]POS Categories'!$A$1:$B$999, 2, FALSE)</f>
        <v>Entertainment</v>
      </c>
    </row>
    <row r="6" spans="1:6" x14ac:dyDescent="0.25">
      <c r="A6" t="s">
        <v>1010</v>
      </c>
      <c r="B6">
        <v>49.94</v>
      </c>
      <c r="C6" t="s">
        <v>385</v>
      </c>
      <c r="D6" t="s">
        <v>430</v>
      </c>
      <c r="E6" s="20">
        <v>589263729204368</v>
      </c>
      <c r="F6" t="s">
        <v>1199</v>
      </c>
    </row>
    <row r="7" spans="1:6" x14ac:dyDescent="0.25">
      <c r="A7" t="s">
        <v>1011</v>
      </c>
      <c r="B7">
        <v>-17.8</v>
      </c>
      <c r="C7" t="s">
        <v>385</v>
      </c>
      <c r="D7" t="s">
        <v>388</v>
      </c>
      <c r="E7" t="s">
        <v>57</v>
      </c>
      <c r="F7" t="str">
        <f>VLOOKUP(E7, '[1]POS Categories'!$A$1:$B$999, 2, FALSE)</f>
        <v>Food</v>
      </c>
    </row>
    <row r="8" spans="1:6" x14ac:dyDescent="0.25">
      <c r="A8" t="s">
        <v>1011</v>
      </c>
      <c r="B8">
        <v>-13.63</v>
      </c>
      <c r="C8" t="s">
        <v>385</v>
      </c>
      <c r="D8" t="s">
        <v>388</v>
      </c>
      <c r="E8" t="s">
        <v>747</v>
      </c>
      <c r="F8" t="str">
        <f>VLOOKUP(E8, '[1]POS Categories'!$A$1:$B$999, 2, FALSE)</f>
        <v>Food</v>
      </c>
    </row>
    <row r="9" spans="1:6" x14ac:dyDescent="0.25">
      <c r="A9" t="s">
        <v>1012</v>
      </c>
      <c r="B9">
        <v>-6.87</v>
      </c>
      <c r="C9" t="s">
        <v>385</v>
      </c>
      <c r="D9" t="s">
        <v>388</v>
      </c>
      <c r="E9" t="s">
        <v>65</v>
      </c>
      <c r="F9" t="str">
        <f>VLOOKUP(E9, '[1]POS Categories'!$A$1:$B$999, 2, FALSE)</f>
        <v>Vehicle</v>
      </c>
    </row>
    <row r="10" spans="1:6" x14ac:dyDescent="0.25">
      <c r="A10" t="s">
        <v>1012</v>
      </c>
      <c r="B10">
        <v>-64.77</v>
      </c>
      <c r="C10" t="s">
        <v>385</v>
      </c>
      <c r="D10" t="s">
        <v>388</v>
      </c>
      <c r="E10" t="s">
        <v>88</v>
      </c>
      <c r="F10" t="str">
        <f>VLOOKUP(E10, '[1]POS Categories'!$A$1:$B$999, 2, FALSE)</f>
        <v>Food</v>
      </c>
    </row>
    <row r="11" spans="1:6" x14ac:dyDescent="0.25">
      <c r="A11" t="s">
        <v>1013</v>
      </c>
      <c r="B11">
        <v>-5.2</v>
      </c>
      <c r="C11" t="s">
        <v>385</v>
      </c>
      <c r="D11" t="s">
        <v>388</v>
      </c>
      <c r="E11" t="s">
        <v>819</v>
      </c>
      <c r="F11" t="str">
        <f>VLOOKUP(E11, '[1]POS Categories'!$A$1:$B$999, 2, FALSE)</f>
        <v>Food</v>
      </c>
    </row>
    <row r="12" spans="1:6" x14ac:dyDescent="0.25">
      <c r="A12" t="s">
        <v>1013</v>
      </c>
      <c r="B12">
        <v>-14.86</v>
      </c>
      <c r="C12" t="s">
        <v>385</v>
      </c>
      <c r="D12" t="s">
        <v>388</v>
      </c>
      <c r="E12" t="s">
        <v>811</v>
      </c>
      <c r="F12" t="str">
        <f>VLOOKUP(E12, '[1]POS Categories'!$A$1:$B$999, 2, FALSE)</f>
        <v>Food</v>
      </c>
    </row>
    <row r="13" spans="1:6" x14ac:dyDescent="0.25">
      <c r="A13" t="s">
        <v>1014</v>
      </c>
      <c r="B13">
        <v>-13.3</v>
      </c>
      <c r="C13" t="s">
        <v>385</v>
      </c>
      <c r="D13" t="s">
        <v>388</v>
      </c>
      <c r="E13" t="s">
        <v>820</v>
      </c>
      <c r="F13" t="str">
        <f>VLOOKUP(E13, '[1]POS Categories'!$A$1:$B$999, 2, FALSE)</f>
        <v>Food</v>
      </c>
    </row>
    <row r="14" spans="1:6" x14ac:dyDescent="0.25">
      <c r="A14" t="s">
        <v>1014</v>
      </c>
      <c r="B14">
        <v>-47.67</v>
      </c>
      <c r="C14" t="s">
        <v>385</v>
      </c>
      <c r="D14" t="s">
        <v>388</v>
      </c>
      <c r="E14" t="s">
        <v>696</v>
      </c>
      <c r="F14" t="str">
        <f>VLOOKUP(E14, '[1]POS Categories'!$A$1:$B$999, 2, FALSE)</f>
        <v>Food</v>
      </c>
    </row>
    <row r="15" spans="1:6" x14ac:dyDescent="0.25">
      <c r="A15" t="s">
        <v>1014</v>
      </c>
      <c r="B15">
        <v>-14.52</v>
      </c>
      <c r="C15" t="s">
        <v>385</v>
      </c>
      <c r="D15" t="s">
        <v>388</v>
      </c>
      <c r="E15" t="s">
        <v>26</v>
      </c>
      <c r="F15" t="str">
        <f>VLOOKUP(E15, '[1]POS Categories'!$A$1:$B$999, 2, FALSE)</f>
        <v>Food</v>
      </c>
    </row>
    <row r="16" spans="1:6" x14ac:dyDescent="0.25">
      <c r="A16" t="s">
        <v>1014</v>
      </c>
      <c r="B16">
        <v>-22.66</v>
      </c>
      <c r="C16" t="s">
        <v>385</v>
      </c>
      <c r="D16" t="s">
        <v>388</v>
      </c>
      <c r="E16" t="s">
        <v>28</v>
      </c>
      <c r="F16" t="str">
        <f>VLOOKUP(E16, '[1]POS Categories'!$A$1:$B$999, 2, FALSE)</f>
        <v>Food</v>
      </c>
    </row>
    <row r="17" spans="1:6" x14ac:dyDescent="0.25">
      <c r="A17" t="s">
        <v>1015</v>
      </c>
      <c r="B17">
        <v>-49.94</v>
      </c>
      <c r="C17" t="s">
        <v>385</v>
      </c>
      <c r="D17" t="s">
        <v>388</v>
      </c>
      <c r="E17" t="s">
        <v>83</v>
      </c>
      <c r="F17" t="str">
        <f>VLOOKUP(E17, '[1]POS Categories'!$A$1:$B$999, 2, FALSE)</f>
        <v>Entertainment</v>
      </c>
    </row>
    <row r="18" spans="1:6" x14ac:dyDescent="0.25">
      <c r="A18" t="s">
        <v>1015</v>
      </c>
      <c r="B18">
        <v>-13.53</v>
      </c>
      <c r="C18" t="s">
        <v>385</v>
      </c>
      <c r="D18" t="s">
        <v>388</v>
      </c>
      <c r="E18" t="s">
        <v>831</v>
      </c>
      <c r="F18" t="str">
        <f>VLOOKUP(E18, '[1]POS Categories'!$A$1:$B$999, 2, FALSE)</f>
        <v>Food</v>
      </c>
    </row>
    <row r="19" spans="1:6" x14ac:dyDescent="0.25">
      <c r="A19" t="s">
        <v>1015</v>
      </c>
      <c r="B19">
        <v>-6.08</v>
      </c>
      <c r="C19" t="s">
        <v>385</v>
      </c>
      <c r="D19" t="s">
        <v>388</v>
      </c>
      <c r="E19" t="s">
        <v>816</v>
      </c>
      <c r="F19" t="str">
        <f>VLOOKUP(E19, '[1]POS Categories'!$A$1:$B$999, 2, FALSE)</f>
        <v>Food</v>
      </c>
    </row>
    <row r="20" spans="1:6" x14ac:dyDescent="0.25">
      <c r="A20" t="s">
        <v>1015</v>
      </c>
      <c r="B20">
        <v>49.88</v>
      </c>
      <c r="C20" t="s">
        <v>385</v>
      </c>
      <c r="D20" t="s">
        <v>430</v>
      </c>
      <c r="E20" s="20">
        <v>309257112915791</v>
      </c>
      <c r="F20" t="s">
        <v>1199</v>
      </c>
    </row>
    <row r="21" spans="1:6" x14ac:dyDescent="0.25">
      <c r="A21" t="s">
        <v>1016</v>
      </c>
      <c r="B21">
        <v>197.25</v>
      </c>
      <c r="C21" t="s">
        <v>385</v>
      </c>
      <c r="D21" t="s">
        <v>467</v>
      </c>
      <c r="E21" t="s">
        <v>637</v>
      </c>
      <c r="F21" t="str">
        <f>VLOOKUP(E21, '[1]POS Categories'!$A$1:$B$999, 2, FALSE)</f>
        <v>Misc</v>
      </c>
    </row>
    <row r="22" spans="1:6" x14ac:dyDescent="0.25">
      <c r="A22" t="s">
        <v>1016</v>
      </c>
      <c r="B22">
        <v>-48.45</v>
      </c>
      <c r="C22" t="s">
        <v>385</v>
      </c>
      <c r="D22" t="s">
        <v>388</v>
      </c>
      <c r="E22" t="s">
        <v>798</v>
      </c>
      <c r="F22" t="str">
        <f>VLOOKUP(E22, '[1]POS Categories'!$A$1:$B$999, 2, FALSE)</f>
        <v>Vehicle</v>
      </c>
    </row>
    <row r="23" spans="1:6" x14ac:dyDescent="0.25">
      <c r="A23" t="s">
        <v>1016</v>
      </c>
      <c r="B23">
        <v>-11.41</v>
      </c>
      <c r="C23" t="s">
        <v>385</v>
      </c>
      <c r="D23" t="s">
        <v>388</v>
      </c>
      <c r="E23" t="s">
        <v>820</v>
      </c>
      <c r="F23" t="str">
        <f>VLOOKUP(E23, '[1]POS Categories'!$A$1:$B$999, 2, FALSE)</f>
        <v>Food</v>
      </c>
    </row>
    <row r="24" spans="1:6" x14ac:dyDescent="0.25">
      <c r="A24" t="s">
        <v>1016</v>
      </c>
      <c r="B24">
        <v>1735.61</v>
      </c>
      <c r="C24" t="s">
        <v>385</v>
      </c>
      <c r="D24" t="s">
        <v>386</v>
      </c>
      <c r="E24" t="s">
        <v>786</v>
      </c>
      <c r="F24" t="str">
        <f>VLOOKUP(E24, '[1]POS Categories'!$A$1:$B$999, 2, FALSE)</f>
        <v>Job</v>
      </c>
    </row>
    <row r="25" spans="1:6" x14ac:dyDescent="0.25">
      <c r="A25" t="s">
        <v>1017</v>
      </c>
      <c r="B25">
        <v>-14.86</v>
      </c>
      <c r="C25" t="s">
        <v>385</v>
      </c>
      <c r="D25" t="s">
        <v>388</v>
      </c>
      <c r="E25" t="s">
        <v>811</v>
      </c>
      <c r="F25" t="str">
        <f>VLOOKUP(E25, '[1]POS Categories'!$A$1:$B$999, 2, FALSE)</f>
        <v>Food</v>
      </c>
    </row>
    <row r="26" spans="1:6" x14ac:dyDescent="0.25">
      <c r="A26" t="s">
        <v>1018</v>
      </c>
      <c r="B26">
        <v>-11.65</v>
      </c>
      <c r="C26" t="s">
        <v>385</v>
      </c>
      <c r="D26" t="s">
        <v>388</v>
      </c>
      <c r="E26" t="s">
        <v>827</v>
      </c>
      <c r="F26" t="str">
        <f>VLOOKUP(E26, '[1]POS Categories'!$A$1:$B$999, 2, FALSE)</f>
        <v>Food</v>
      </c>
    </row>
    <row r="27" spans="1:6" x14ac:dyDescent="0.25">
      <c r="A27" t="s">
        <v>1019</v>
      </c>
      <c r="B27">
        <v>-5.2</v>
      </c>
      <c r="C27" t="s">
        <v>385</v>
      </c>
      <c r="D27" t="s">
        <v>388</v>
      </c>
      <c r="E27" t="s">
        <v>819</v>
      </c>
      <c r="F27" t="str">
        <f>VLOOKUP(E27, '[1]POS Categories'!$A$1:$B$999, 2, FALSE)</f>
        <v>Food</v>
      </c>
    </row>
    <row r="28" spans="1:6" x14ac:dyDescent="0.25">
      <c r="A28" t="s">
        <v>1019</v>
      </c>
      <c r="B28">
        <v>-12.85</v>
      </c>
      <c r="C28" t="s">
        <v>385</v>
      </c>
      <c r="D28" t="s">
        <v>388</v>
      </c>
      <c r="E28" t="s">
        <v>820</v>
      </c>
      <c r="F28" t="str">
        <f>VLOOKUP(E28, '[1]POS Categories'!$A$1:$B$999, 2, FALSE)</f>
        <v>Food</v>
      </c>
    </row>
    <row r="29" spans="1:6" x14ac:dyDescent="0.25">
      <c r="A29" t="s">
        <v>1020</v>
      </c>
      <c r="B29">
        <v>-49.88</v>
      </c>
      <c r="C29" t="s">
        <v>385</v>
      </c>
      <c r="D29" t="s">
        <v>388</v>
      </c>
      <c r="E29" t="s">
        <v>83</v>
      </c>
      <c r="F29" t="str">
        <f>VLOOKUP(E29, '[1]POS Categories'!$A$1:$B$999, 2, FALSE)</f>
        <v>Entertainment</v>
      </c>
    </row>
    <row r="30" spans="1:6" x14ac:dyDescent="0.25">
      <c r="A30" t="s">
        <v>1020</v>
      </c>
      <c r="B30">
        <v>-13.85</v>
      </c>
      <c r="C30" t="s">
        <v>385</v>
      </c>
      <c r="D30" t="s">
        <v>388</v>
      </c>
      <c r="E30" t="s">
        <v>831</v>
      </c>
      <c r="F30" t="str">
        <f>VLOOKUP(E30, '[1]POS Categories'!$A$1:$B$999, 2, FALSE)</f>
        <v>Food</v>
      </c>
    </row>
    <row r="31" spans="1:6" x14ac:dyDescent="0.25">
      <c r="A31" t="s">
        <v>1021</v>
      </c>
      <c r="B31">
        <v>-14.86</v>
      </c>
      <c r="C31" t="s">
        <v>385</v>
      </c>
      <c r="D31" t="s">
        <v>388</v>
      </c>
      <c r="E31" t="s">
        <v>811</v>
      </c>
      <c r="F31" t="str">
        <f>VLOOKUP(E31, '[1]POS Categories'!$A$1:$B$999, 2, FALSE)</f>
        <v>Food</v>
      </c>
    </row>
    <row r="32" spans="1:6" x14ac:dyDescent="0.25">
      <c r="A32" t="s">
        <v>1022</v>
      </c>
      <c r="B32">
        <v>-14.07</v>
      </c>
      <c r="C32" t="s">
        <v>385</v>
      </c>
      <c r="D32" t="s">
        <v>388</v>
      </c>
      <c r="E32" t="s">
        <v>820</v>
      </c>
      <c r="F32" t="str">
        <f>VLOOKUP(E32, '[1]POS Categories'!$A$1:$B$999, 2, FALSE)</f>
        <v>Food</v>
      </c>
    </row>
    <row r="33" spans="1:6" x14ac:dyDescent="0.25">
      <c r="A33" t="s">
        <v>1023</v>
      </c>
      <c r="B33">
        <v>-12.1</v>
      </c>
      <c r="C33" t="s">
        <v>385</v>
      </c>
      <c r="D33" t="s">
        <v>388</v>
      </c>
      <c r="E33" t="s">
        <v>827</v>
      </c>
      <c r="F33" t="str">
        <f>VLOOKUP(E33, '[1]POS Categories'!$A$1:$B$999, 2, FALSE)</f>
        <v>Food</v>
      </c>
    </row>
    <row r="34" spans="1:6" x14ac:dyDescent="0.25">
      <c r="A34" t="s">
        <v>1024</v>
      </c>
      <c r="B34">
        <v>-12.85</v>
      </c>
      <c r="C34" t="s">
        <v>385</v>
      </c>
      <c r="D34" t="s">
        <v>388</v>
      </c>
      <c r="E34" t="s">
        <v>820</v>
      </c>
      <c r="F34" t="str">
        <f>VLOOKUP(E34, '[1]POS Categories'!$A$1:$B$999, 2, FALSE)</f>
        <v>Food</v>
      </c>
    </row>
    <row r="35" spans="1:6" x14ac:dyDescent="0.25">
      <c r="A35" t="s">
        <v>1025</v>
      </c>
      <c r="B35">
        <v>-26.05</v>
      </c>
      <c r="C35" t="s">
        <v>385</v>
      </c>
      <c r="D35" t="s">
        <v>388</v>
      </c>
      <c r="E35" t="s">
        <v>58</v>
      </c>
      <c r="F35" t="str">
        <f>VLOOKUP(E35, '[1]POS Categories'!$A$1:$B$999, 2, FALSE)</f>
        <v>Personal</v>
      </c>
    </row>
    <row r="36" spans="1:6" x14ac:dyDescent="0.25">
      <c r="A36" t="s">
        <v>1025</v>
      </c>
      <c r="B36">
        <v>-30.33</v>
      </c>
      <c r="C36" t="s">
        <v>385</v>
      </c>
      <c r="D36" t="s">
        <v>388</v>
      </c>
      <c r="E36" t="s">
        <v>22</v>
      </c>
      <c r="F36" t="str">
        <f>VLOOKUP(E36, '[1]POS Categories'!$A$1:$B$999, 2, FALSE)</f>
        <v>Entertainment</v>
      </c>
    </row>
    <row r="37" spans="1:6" x14ac:dyDescent="0.25">
      <c r="A37" t="s">
        <v>1026</v>
      </c>
      <c r="B37">
        <v>-14.86</v>
      </c>
      <c r="C37" t="s">
        <v>385</v>
      </c>
      <c r="D37" t="s">
        <v>388</v>
      </c>
      <c r="E37" t="s">
        <v>811</v>
      </c>
      <c r="F37" t="str">
        <f>VLOOKUP(E37, '[1]POS Categories'!$A$1:$B$999, 2, FALSE)</f>
        <v>Food</v>
      </c>
    </row>
    <row r="38" spans="1:6" x14ac:dyDescent="0.25">
      <c r="A38" t="s">
        <v>1027</v>
      </c>
      <c r="B38">
        <v>-11.2</v>
      </c>
      <c r="C38" t="s">
        <v>385</v>
      </c>
      <c r="D38" t="s">
        <v>388</v>
      </c>
      <c r="E38" t="s">
        <v>820</v>
      </c>
      <c r="F38" t="str">
        <f>VLOOKUP(E38, '[1]POS Categories'!$A$1:$B$999, 2, FALSE)</f>
        <v>Food</v>
      </c>
    </row>
    <row r="39" spans="1:6" x14ac:dyDescent="0.25">
      <c r="A39" t="s">
        <v>1027</v>
      </c>
      <c r="B39">
        <v>1735.61</v>
      </c>
      <c r="C39" t="s">
        <v>385</v>
      </c>
      <c r="D39" t="s">
        <v>386</v>
      </c>
      <c r="E39" t="s">
        <v>786</v>
      </c>
      <c r="F39" t="str">
        <f>VLOOKUP(E39, '[1]POS Categories'!$A$1:$B$999, 2, FALSE)</f>
        <v>Job</v>
      </c>
    </row>
    <row r="40" spans="1:6" x14ac:dyDescent="0.25">
      <c r="A40" t="s">
        <v>1028</v>
      </c>
      <c r="B40">
        <v>-13.53</v>
      </c>
      <c r="C40" t="s">
        <v>385</v>
      </c>
      <c r="D40" t="s">
        <v>388</v>
      </c>
      <c r="E40" t="s">
        <v>831</v>
      </c>
      <c r="F40" t="str">
        <f>VLOOKUP(E40, '[1]POS Categories'!$A$1:$B$999, 2, FALSE)</f>
        <v>Food</v>
      </c>
    </row>
    <row r="41" spans="1:6" x14ac:dyDescent="0.25">
      <c r="A41" t="s">
        <v>1028</v>
      </c>
      <c r="B41">
        <v>-7.3</v>
      </c>
      <c r="C41" t="s">
        <v>385</v>
      </c>
      <c r="D41" t="s">
        <v>388</v>
      </c>
      <c r="E41" t="s">
        <v>816</v>
      </c>
      <c r="F41" t="str">
        <f>VLOOKUP(E41, '[1]POS Categories'!$A$1:$B$999, 2, FALSE)</f>
        <v>Food</v>
      </c>
    </row>
    <row r="42" spans="1:6" x14ac:dyDescent="0.25">
      <c r="A42" t="s">
        <v>1029</v>
      </c>
      <c r="B42">
        <v>-47.36</v>
      </c>
      <c r="C42" t="s">
        <v>385</v>
      </c>
      <c r="D42" t="s">
        <v>388</v>
      </c>
      <c r="E42" t="s">
        <v>62</v>
      </c>
      <c r="F42" t="str">
        <f>VLOOKUP(E42, '[1]POS Categories'!$A$1:$B$999, 2, FALSE)</f>
        <v>Entertainment</v>
      </c>
    </row>
    <row r="43" spans="1:6" x14ac:dyDescent="0.25">
      <c r="A43" t="s">
        <v>1029</v>
      </c>
      <c r="B43">
        <v>-14.86</v>
      </c>
      <c r="C43" t="s">
        <v>385</v>
      </c>
      <c r="D43" t="s">
        <v>388</v>
      </c>
      <c r="E43" t="s">
        <v>811</v>
      </c>
      <c r="F43" t="str">
        <f>VLOOKUP(E43, '[1]POS Categories'!$A$1:$B$999, 2, FALSE)</f>
        <v>Food</v>
      </c>
    </row>
    <row r="44" spans="1:6" x14ac:dyDescent="0.25">
      <c r="A44" t="s">
        <v>1029</v>
      </c>
      <c r="B44">
        <v>-8.86</v>
      </c>
      <c r="C44" t="s">
        <v>385</v>
      </c>
      <c r="D44" t="s">
        <v>388</v>
      </c>
      <c r="E44" t="s">
        <v>696</v>
      </c>
      <c r="F44" t="str">
        <f>VLOOKUP(E44, '[1]POS Categories'!$A$1:$B$999, 2, FALSE)</f>
        <v>Food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7"/>
  <sheetViews>
    <sheetView topLeftCell="A21" workbookViewId="0">
      <selection activeCell="F2" sqref="F2"/>
    </sheetView>
  </sheetViews>
  <sheetFormatPr defaultRowHeight="15" x14ac:dyDescent="0.25"/>
  <cols>
    <col min="5" max="5" width="36.140625" bestFit="1" customWidth="1"/>
  </cols>
  <sheetData>
    <row r="1" spans="1:6" x14ac:dyDescent="0.25">
      <c r="A1" t="s">
        <v>1030</v>
      </c>
      <c r="B1">
        <v>-19.21</v>
      </c>
      <c r="C1" t="s">
        <v>385</v>
      </c>
      <c r="D1" t="s">
        <v>388</v>
      </c>
      <c r="E1" t="s">
        <v>57</v>
      </c>
      <c r="F1" t="str">
        <f>VLOOKUP(E1, '[1]POS Categories'!$A$1:$B$999, 2, FALSE)</f>
        <v>Food</v>
      </c>
    </row>
    <row r="2" spans="1:6" x14ac:dyDescent="0.25">
      <c r="A2" t="s">
        <v>1030</v>
      </c>
      <c r="B2">
        <v>-31.13</v>
      </c>
      <c r="C2" t="s">
        <v>385</v>
      </c>
      <c r="D2" t="s">
        <v>388</v>
      </c>
      <c r="E2" t="s">
        <v>747</v>
      </c>
      <c r="F2" t="str">
        <f>VLOOKUP(E2, '[1]POS Categories'!$A$1:$B$999, 2, FALSE)</f>
        <v>Food</v>
      </c>
    </row>
    <row r="3" spans="1:6" x14ac:dyDescent="0.25">
      <c r="A3" t="s">
        <v>1031</v>
      </c>
      <c r="B3">
        <v>-14.86</v>
      </c>
      <c r="C3" t="s">
        <v>385</v>
      </c>
      <c r="D3" t="s">
        <v>388</v>
      </c>
      <c r="E3" t="s">
        <v>811</v>
      </c>
      <c r="F3" t="str">
        <f>VLOOKUP(E3, '[1]POS Categories'!$A$1:$B$999, 2, FALSE)</f>
        <v>Food</v>
      </c>
    </row>
    <row r="4" spans="1:6" x14ac:dyDescent="0.25">
      <c r="A4" t="s">
        <v>1032</v>
      </c>
      <c r="B4">
        <v>-8.99</v>
      </c>
      <c r="C4" t="s">
        <v>385</v>
      </c>
      <c r="D4" t="s">
        <v>388</v>
      </c>
      <c r="E4" t="s">
        <v>57</v>
      </c>
      <c r="F4" t="str">
        <f>VLOOKUP(E4, '[1]POS Categories'!$A$1:$B$999, 2, FALSE)</f>
        <v>Food</v>
      </c>
    </row>
    <row r="5" spans="1:6" x14ac:dyDescent="0.25">
      <c r="A5" t="s">
        <v>1032</v>
      </c>
      <c r="B5">
        <v>-11.98</v>
      </c>
      <c r="C5" t="s">
        <v>385</v>
      </c>
      <c r="D5" t="s">
        <v>388</v>
      </c>
      <c r="E5" t="s">
        <v>820</v>
      </c>
      <c r="F5" t="str">
        <f>VLOOKUP(E5, '[1]POS Categories'!$A$1:$B$999, 2, FALSE)</f>
        <v>Food</v>
      </c>
    </row>
    <row r="6" spans="1:6" x14ac:dyDescent="0.25">
      <c r="A6" t="s">
        <v>1033</v>
      </c>
      <c r="B6">
        <v>-13.53</v>
      </c>
      <c r="C6" t="s">
        <v>385</v>
      </c>
      <c r="D6" t="s">
        <v>388</v>
      </c>
      <c r="E6" t="s">
        <v>831</v>
      </c>
      <c r="F6" t="str">
        <f>VLOOKUP(E6, '[1]POS Categories'!$A$1:$B$999, 2, FALSE)</f>
        <v>Food</v>
      </c>
    </row>
    <row r="7" spans="1:6" x14ac:dyDescent="0.25">
      <c r="A7" t="s">
        <v>1034</v>
      </c>
      <c r="B7">
        <v>-14.86</v>
      </c>
      <c r="C7" t="s">
        <v>385</v>
      </c>
      <c r="D7" t="s">
        <v>388</v>
      </c>
      <c r="E7" t="s">
        <v>811</v>
      </c>
      <c r="F7" t="str">
        <f>VLOOKUP(E7, '[1]POS Categories'!$A$1:$B$999, 2, FALSE)</f>
        <v>Food</v>
      </c>
    </row>
    <row r="8" spans="1:6" x14ac:dyDescent="0.25">
      <c r="A8" t="s">
        <v>1035</v>
      </c>
      <c r="B8">
        <v>-6.5</v>
      </c>
      <c r="C8" t="s">
        <v>385</v>
      </c>
      <c r="D8" t="s">
        <v>388</v>
      </c>
      <c r="E8" t="s">
        <v>89</v>
      </c>
      <c r="F8" t="str">
        <f>VLOOKUP(E8, '[1]POS Categories'!$A$1:$B$999, 2, FALSE)</f>
        <v>Food</v>
      </c>
    </row>
    <row r="9" spans="1:6" x14ac:dyDescent="0.25">
      <c r="A9" t="s">
        <v>1036</v>
      </c>
      <c r="B9">
        <v>-14.69</v>
      </c>
      <c r="C9" t="s">
        <v>385</v>
      </c>
      <c r="D9" t="s">
        <v>388</v>
      </c>
      <c r="E9" t="s">
        <v>57</v>
      </c>
      <c r="F9" t="str">
        <f>VLOOKUP(E9, '[1]POS Categories'!$A$1:$B$999, 2, FALSE)</f>
        <v>Food</v>
      </c>
    </row>
    <row r="10" spans="1:6" x14ac:dyDescent="0.25">
      <c r="A10" t="s">
        <v>1036</v>
      </c>
      <c r="B10">
        <v>-16.11</v>
      </c>
      <c r="C10" t="s">
        <v>385</v>
      </c>
      <c r="D10" t="s">
        <v>388</v>
      </c>
      <c r="E10" t="s">
        <v>90</v>
      </c>
      <c r="F10" t="str">
        <f>VLOOKUP(E10, '[1]POS Categories'!$A$1:$B$999, 2, FALSE)</f>
        <v>Food</v>
      </c>
    </row>
    <row r="11" spans="1:6" x14ac:dyDescent="0.25">
      <c r="A11" t="s">
        <v>1036</v>
      </c>
      <c r="B11">
        <v>-10.99</v>
      </c>
      <c r="C11" t="s">
        <v>385</v>
      </c>
      <c r="D11" t="s">
        <v>388</v>
      </c>
      <c r="E11" t="s">
        <v>22</v>
      </c>
      <c r="F11" t="str">
        <f>VLOOKUP(E11, '[1]POS Categories'!$A$1:$B$999, 2, FALSE)</f>
        <v>Entertainment</v>
      </c>
    </row>
    <row r="12" spans="1:6" x14ac:dyDescent="0.25">
      <c r="A12" t="s">
        <v>1037</v>
      </c>
      <c r="B12">
        <v>-69.48</v>
      </c>
      <c r="C12" t="s">
        <v>385</v>
      </c>
      <c r="D12" t="s">
        <v>388</v>
      </c>
      <c r="E12" t="s">
        <v>91</v>
      </c>
      <c r="F12" t="str">
        <f>VLOOKUP(E12, '[1]POS Categories'!$A$1:$B$999, 2, FALSE)</f>
        <v>Food</v>
      </c>
    </row>
    <row r="13" spans="1:6" x14ac:dyDescent="0.25">
      <c r="A13" t="s">
        <v>1037</v>
      </c>
      <c r="B13">
        <v>-6.43</v>
      </c>
      <c r="C13" t="s">
        <v>385</v>
      </c>
      <c r="D13" t="s">
        <v>388</v>
      </c>
      <c r="E13" t="s">
        <v>819</v>
      </c>
      <c r="F13" t="str">
        <f>VLOOKUP(E13, '[1]POS Categories'!$A$1:$B$999, 2, FALSE)</f>
        <v>Food</v>
      </c>
    </row>
    <row r="14" spans="1:6" x14ac:dyDescent="0.25">
      <c r="A14" t="s">
        <v>1037</v>
      </c>
      <c r="B14">
        <v>-13.3</v>
      </c>
      <c r="C14" t="s">
        <v>385</v>
      </c>
      <c r="D14" t="s">
        <v>388</v>
      </c>
      <c r="E14" t="s">
        <v>820</v>
      </c>
      <c r="F14" t="str">
        <f>VLOOKUP(E14, '[1]POS Categories'!$A$1:$B$999, 2, FALSE)</f>
        <v>Food</v>
      </c>
    </row>
    <row r="15" spans="1:6" x14ac:dyDescent="0.25">
      <c r="A15" t="s">
        <v>1038</v>
      </c>
      <c r="B15">
        <v>-13.53</v>
      </c>
      <c r="C15" t="s">
        <v>385</v>
      </c>
      <c r="D15" t="s">
        <v>388</v>
      </c>
      <c r="E15" t="s">
        <v>831</v>
      </c>
      <c r="F15" t="str">
        <f>VLOOKUP(E15, '[1]POS Categories'!$A$1:$B$999, 2, FALSE)</f>
        <v>Food</v>
      </c>
    </row>
    <row r="16" spans="1:6" x14ac:dyDescent="0.25">
      <c r="A16" t="s">
        <v>1038</v>
      </c>
      <c r="B16">
        <v>-7.19</v>
      </c>
      <c r="C16" t="s">
        <v>385</v>
      </c>
      <c r="D16" t="s">
        <v>388</v>
      </c>
      <c r="E16" t="s">
        <v>816</v>
      </c>
      <c r="F16" t="str">
        <f>VLOOKUP(E16, '[1]POS Categories'!$A$1:$B$999, 2, FALSE)</f>
        <v>Food</v>
      </c>
    </row>
    <row r="17" spans="1:6" x14ac:dyDescent="0.25">
      <c r="A17" t="s">
        <v>1038</v>
      </c>
      <c r="B17">
        <v>1735.61</v>
      </c>
      <c r="C17" t="s">
        <v>385</v>
      </c>
      <c r="D17" t="s">
        <v>386</v>
      </c>
      <c r="E17" t="s">
        <v>786</v>
      </c>
      <c r="F17" t="str">
        <f>VLOOKUP(E17, '[1]POS Categories'!$A$1:$B$999, 2, FALSE)</f>
        <v>Job</v>
      </c>
    </row>
    <row r="18" spans="1:6" x14ac:dyDescent="0.25">
      <c r="A18" t="s">
        <v>1039</v>
      </c>
      <c r="B18">
        <v>-47.41</v>
      </c>
      <c r="C18" t="s">
        <v>385</v>
      </c>
      <c r="D18" t="s">
        <v>388</v>
      </c>
      <c r="E18" t="s">
        <v>798</v>
      </c>
      <c r="F18" t="str">
        <f>VLOOKUP(E18, '[1]POS Categories'!$A$1:$B$999, 2, FALSE)</f>
        <v>Vehicle</v>
      </c>
    </row>
    <row r="19" spans="1:6" x14ac:dyDescent="0.25">
      <c r="A19" t="s">
        <v>1039</v>
      </c>
      <c r="B19">
        <v>-10.86</v>
      </c>
      <c r="C19" t="s">
        <v>385</v>
      </c>
      <c r="D19" t="s">
        <v>388</v>
      </c>
      <c r="E19" t="s">
        <v>820</v>
      </c>
      <c r="F19" t="str">
        <f>VLOOKUP(E19, '[1]POS Categories'!$A$1:$B$999, 2, FALSE)</f>
        <v>Food</v>
      </c>
    </row>
    <row r="20" spans="1:6" x14ac:dyDescent="0.25">
      <c r="A20" t="s">
        <v>1040</v>
      </c>
      <c r="B20">
        <v>-13.4</v>
      </c>
      <c r="C20" t="s">
        <v>385</v>
      </c>
      <c r="D20" t="s">
        <v>388</v>
      </c>
      <c r="E20" t="s">
        <v>827</v>
      </c>
      <c r="F20" t="str">
        <f>VLOOKUP(E20, '[1]POS Categories'!$A$1:$B$999, 2, FALSE)</f>
        <v>Food</v>
      </c>
    </row>
    <row r="21" spans="1:6" x14ac:dyDescent="0.25">
      <c r="A21" t="s">
        <v>1041</v>
      </c>
      <c r="B21">
        <v>-10.86</v>
      </c>
      <c r="C21" t="s">
        <v>385</v>
      </c>
      <c r="D21" t="s">
        <v>388</v>
      </c>
      <c r="E21" t="s">
        <v>820</v>
      </c>
      <c r="F21" t="str">
        <f>VLOOKUP(E21, '[1]POS Categories'!$A$1:$B$999, 2, FALSE)</f>
        <v>Food</v>
      </c>
    </row>
    <row r="22" spans="1:6" x14ac:dyDescent="0.25">
      <c r="A22" t="s">
        <v>1041</v>
      </c>
      <c r="B22">
        <v>-24.17</v>
      </c>
      <c r="C22" t="s">
        <v>385</v>
      </c>
      <c r="D22" t="s">
        <v>388</v>
      </c>
      <c r="E22" t="s">
        <v>747</v>
      </c>
      <c r="F22" t="str">
        <f>VLOOKUP(E22, '[1]POS Categories'!$A$1:$B$999, 2, FALSE)</f>
        <v>Food</v>
      </c>
    </row>
    <row r="23" spans="1:6" x14ac:dyDescent="0.25">
      <c r="A23" t="s">
        <v>1042</v>
      </c>
      <c r="B23">
        <v>-5.2</v>
      </c>
      <c r="C23" t="s">
        <v>385</v>
      </c>
      <c r="D23" t="s">
        <v>388</v>
      </c>
      <c r="E23" t="s">
        <v>819</v>
      </c>
      <c r="F23" t="str">
        <f>VLOOKUP(E23, '[1]POS Categories'!$A$1:$B$999, 2, FALSE)</f>
        <v>Food</v>
      </c>
    </row>
    <row r="24" spans="1:6" x14ac:dyDescent="0.25">
      <c r="A24" t="s">
        <v>1042</v>
      </c>
      <c r="B24">
        <v>-13.31</v>
      </c>
      <c r="C24" t="s">
        <v>385</v>
      </c>
      <c r="D24" t="s">
        <v>388</v>
      </c>
      <c r="E24" t="s">
        <v>811</v>
      </c>
      <c r="F24" t="str">
        <f>VLOOKUP(E24, '[1]POS Categories'!$A$1:$B$999, 2, FALSE)</f>
        <v>Food</v>
      </c>
    </row>
    <row r="25" spans="1:6" x14ac:dyDescent="0.25">
      <c r="A25" t="s">
        <v>1043</v>
      </c>
      <c r="B25">
        <v>-13.53</v>
      </c>
      <c r="C25" t="s">
        <v>385</v>
      </c>
      <c r="D25" t="s">
        <v>388</v>
      </c>
      <c r="E25" t="s">
        <v>831</v>
      </c>
      <c r="F25" t="str">
        <f>VLOOKUP(E25, '[1]POS Categories'!$A$1:$B$999, 2, FALSE)</f>
        <v>Food</v>
      </c>
    </row>
    <row r="26" spans="1:6" x14ac:dyDescent="0.25">
      <c r="A26" t="s">
        <v>1044</v>
      </c>
      <c r="B26">
        <v>-11.63</v>
      </c>
      <c r="C26" t="s">
        <v>385</v>
      </c>
      <c r="D26" t="s">
        <v>388</v>
      </c>
      <c r="E26" t="s">
        <v>820</v>
      </c>
      <c r="F26" t="str">
        <f>VLOOKUP(E26, '[1]POS Categories'!$A$1:$B$999, 2, FALSE)</f>
        <v>Food</v>
      </c>
    </row>
    <row r="27" spans="1:6" x14ac:dyDescent="0.25">
      <c r="A27" t="s">
        <v>1045</v>
      </c>
      <c r="B27">
        <v>-8.52</v>
      </c>
      <c r="C27" t="s">
        <v>385</v>
      </c>
      <c r="D27" t="s">
        <v>388</v>
      </c>
      <c r="E27" t="s">
        <v>92</v>
      </c>
      <c r="F27" t="str">
        <f>VLOOKUP(E27, '[1]POS Categories'!$A$1:$B$999, 2, FALSE)</f>
        <v>Food</v>
      </c>
    </row>
    <row r="28" spans="1:6" x14ac:dyDescent="0.25">
      <c r="A28" t="s">
        <v>1045</v>
      </c>
      <c r="B28">
        <v>-14.86</v>
      </c>
      <c r="C28" t="s">
        <v>385</v>
      </c>
      <c r="D28" t="s">
        <v>388</v>
      </c>
      <c r="E28" t="s">
        <v>811</v>
      </c>
      <c r="F28" t="str">
        <f>VLOOKUP(E28, '[1]POS Categories'!$A$1:$B$999, 2, FALSE)</f>
        <v>Food</v>
      </c>
    </row>
    <row r="29" spans="1:6" x14ac:dyDescent="0.25">
      <c r="A29" t="s">
        <v>1046</v>
      </c>
      <c r="B29">
        <v>-10.86</v>
      </c>
      <c r="C29" t="s">
        <v>385</v>
      </c>
      <c r="D29" t="s">
        <v>388</v>
      </c>
      <c r="E29" t="s">
        <v>820</v>
      </c>
      <c r="F29" t="str">
        <f>VLOOKUP(E29, '[1]POS Categories'!$A$1:$B$999, 2, FALSE)</f>
        <v>Food</v>
      </c>
    </row>
    <row r="30" spans="1:6" x14ac:dyDescent="0.25">
      <c r="A30" t="s">
        <v>1047</v>
      </c>
      <c r="B30">
        <v>-13.85</v>
      </c>
      <c r="C30" t="s">
        <v>385</v>
      </c>
      <c r="D30" t="s">
        <v>388</v>
      </c>
      <c r="E30" t="s">
        <v>804</v>
      </c>
      <c r="F30" t="str">
        <f>VLOOKUP(E30, '[1]POS Categories'!$A$1:$B$999, 2, FALSE)</f>
        <v>Food</v>
      </c>
    </row>
    <row r="31" spans="1:6" x14ac:dyDescent="0.25">
      <c r="A31" t="s">
        <v>1048</v>
      </c>
      <c r="B31">
        <v>-5.2</v>
      </c>
      <c r="C31" t="s">
        <v>385</v>
      </c>
      <c r="D31" t="s">
        <v>388</v>
      </c>
      <c r="E31" t="s">
        <v>819</v>
      </c>
      <c r="F31" t="str">
        <f>VLOOKUP(E31, '[1]POS Categories'!$A$1:$B$999, 2, FALSE)</f>
        <v>Food</v>
      </c>
    </row>
    <row r="32" spans="1:6" x14ac:dyDescent="0.25">
      <c r="A32" t="s">
        <v>1048</v>
      </c>
      <c r="B32">
        <v>-13.85</v>
      </c>
      <c r="C32" t="s">
        <v>385</v>
      </c>
      <c r="D32" t="s">
        <v>388</v>
      </c>
      <c r="E32" t="s">
        <v>831</v>
      </c>
      <c r="F32" t="str">
        <f>VLOOKUP(E32, '[1]POS Categories'!$A$1:$B$999, 2, FALSE)</f>
        <v>Food</v>
      </c>
    </row>
    <row r="33" spans="1:6" x14ac:dyDescent="0.25">
      <c r="A33" t="s">
        <v>1049</v>
      </c>
      <c r="B33">
        <v>-11.98</v>
      </c>
      <c r="C33" t="s">
        <v>385</v>
      </c>
      <c r="D33" t="s">
        <v>388</v>
      </c>
      <c r="E33" t="s">
        <v>820</v>
      </c>
      <c r="F33" t="str">
        <f>VLOOKUP(E33, '[1]POS Categories'!$A$1:$B$999, 2, FALSE)</f>
        <v>Food</v>
      </c>
    </row>
    <row r="34" spans="1:6" x14ac:dyDescent="0.25">
      <c r="A34" t="s">
        <v>1049</v>
      </c>
      <c r="B34">
        <v>1735.61</v>
      </c>
      <c r="C34" t="s">
        <v>385</v>
      </c>
      <c r="D34" t="s">
        <v>386</v>
      </c>
      <c r="E34" t="s">
        <v>786</v>
      </c>
      <c r="F34" t="str">
        <f>VLOOKUP(E34, '[1]POS Categories'!$A$1:$B$999, 2, FALSE)</f>
        <v>Job</v>
      </c>
    </row>
    <row r="35" spans="1:6" x14ac:dyDescent="0.25">
      <c r="A35" t="s">
        <v>1050</v>
      </c>
      <c r="B35">
        <v>-50.61</v>
      </c>
      <c r="C35" t="s">
        <v>385</v>
      </c>
      <c r="D35" t="s">
        <v>388</v>
      </c>
      <c r="E35" t="s">
        <v>93</v>
      </c>
      <c r="F35" t="str">
        <f>VLOOKUP(E35, '[1]POS Categories'!$A$1:$B$999, 2, FALSE)</f>
        <v>Personal</v>
      </c>
    </row>
    <row r="36" spans="1:6" x14ac:dyDescent="0.25">
      <c r="A36" t="s">
        <v>1050</v>
      </c>
      <c r="B36">
        <v>-11.6</v>
      </c>
      <c r="C36" t="s">
        <v>385</v>
      </c>
      <c r="D36" t="s">
        <v>388</v>
      </c>
      <c r="E36" t="s">
        <v>827</v>
      </c>
      <c r="F36" t="str">
        <f>VLOOKUP(E36, '[1]POS Categories'!$A$1:$B$999, 2, FALSE)</f>
        <v>Food</v>
      </c>
    </row>
    <row r="37" spans="1:6" x14ac:dyDescent="0.25">
      <c r="A37" t="s">
        <v>1050</v>
      </c>
      <c r="B37">
        <v>-7.16</v>
      </c>
      <c r="C37" t="s">
        <v>385</v>
      </c>
      <c r="D37" t="s">
        <v>388</v>
      </c>
      <c r="E37" t="s">
        <v>816</v>
      </c>
      <c r="F37" t="str">
        <f>VLOOKUP(E37, '[1]POS Categories'!$A$1:$B$999, 2, FALSE)</f>
        <v>Food</v>
      </c>
    </row>
    <row r="38" spans="1:6" x14ac:dyDescent="0.25">
      <c r="A38" t="s">
        <v>1051</v>
      </c>
      <c r="B38">
        <v>-3.99</v>
      </c>
      <c r="C38" t="s">
        <v>385</v>
      </c>
      <c r="D38" t="s">
        <v>388</v>
      </c>
      <c r="E38" t="s">
        <v>57</v>
      </c>
      <c r="F38" t="str">
        <f>VLOOKUP(E38, '[1]POS Categories'!$A$1:$B$999, 2, FALSE)</f>
        <v>Food</v>
      </c>
    </row>
    <row r="39" spans="1:6" x14ac:dyDescent="0.25">
      <c r="A39" t="s">
        <v>1051</v>
      </c>
      <c r="B39">
        <v>-13.3</v>
      </c>
      <c r="C39" t="s">
        <v>385</v>
      </c>
      <c r="D39" t="s">
        <v>388</v>
      </c>
      <c r="E39" t="s">
        <v>820</v>
      </c>
      <c r="F39" t="str">
        <f>VLOOKUP(E39, '[1]POS Categories'!$A$1:$B$999, 2, FALSE)</f>
        <v>Food</v>
      </c>
    </row>
    <row r="40" spans="1:6" x14ac:dyDescent="0.25">
      <c r="A40" t="s">
        <v>1052</v>
      </c>
      <c r="B40">
        <v>-5.98</v>
      </c>
      <c r="C40" t="s">
        <v>385</v>
      </c>
      <c r="D40" t="s">
        <v>388</v>
      </c>
      <c r="E40" t="s">
        <v>696</v>
      </c>
      <c r="F40" t="str">
        <f>VLOOKUP(E40, '[1]POS Categories'!$A$1:$B$999, 2, FALSE)</f>
        <v>Food</v>
      </c>
    </row>
    <row r="41" spans="1:6" x14ac:dyDescent="0.25">
      <c r="A41" t="s">
        <v>1052</v>
      </c>
      <c r="B41">
        <v>-19.97</v>
      </c>
      <c r="C41" t="s">
        <v>385</v>
      </c>
      <c r="D41" t="s">
        <v>388</v>
      </c>
      <c r="E41" t="s">
        <v>94</v>
      </c>
      <c r="F41" t="str">
        <f>VLOOKUP(E41, '[1]POS Categories'!$A$1:$B$999, 2, FALSE)</f>
        <v>Food</v>
      </c>
    </row>
    <row r="42" spans="1:6" x14ac:dyDescent="0.25">
      <c r="A42" t="s">
        <v>1052</v>
      </c>
      <c r="B42">
        <v>-12.24</v>
      </c>
      <c r="C42" t="s">
        <v>385</v>
      </c>
      <c r="D42" t="s">
        <v>388</v>
      </c>
      <c r="E42" t="s">
        <v>49</v>
      </c>
      <c r="F42" t="str">
        <f>VLOOKUP(E42, '[1]POS Categories'!$A$1:$B$999, 2, FALSE)</f>
        <v>Entertainment</v>
      </c>
    </row>
    <row r="43" spans="1:6" x14ac:dyDescent="0.25">
      <c r="A43" t="s">
        <v>1053</v>
      </c>
      <c r="B43">
        <v>-46.95</v>
      </c>
      <c r="C43" t="s">
        <v>385</v>
      </c>
      <c r="D43" t="s">
        <v>388</v>
      </c>
      <c r="E43" t="s">
        <v>62</v>
      </c>
      <c r="F43" t="str">
        <f>VLOOKUP(E43, '[1]POS Categories'!$A$1:$B$999, 2, FALSE)</f>
        <v>Entertainment</v>
      </c>
    </row>
    <row r="44" spans="1:6" x14ac:dyDescent="0.25">
      <c r="A44" t="s">
        <v>1054</v>
      </c>
      <c r="B44">
        <v>-26.63</v>
      </c>
      <c r="C44" t="s">
        <v>385</v>
      </c>
      <c r="D44" t="s">
        <v>388</v>
      </c>
      <c r="E44" t="s">
        <v>64</v>
      </c>
      <c r="F44" t="str">
        <f>VLOOKUP(E44, '[1]POS Categories'!$A$1:$B$999, 2, FALSE)</f>
        <v>Entertainment</v>
      </c>
    </row>
    <row r="45" spans="1:6" x14ac:dyDescent="0.25">
      <c r="A45" t="s">
        <v>1054</v>
      </c>
      <c r="B45">
        <v>-10.63</v>
      </c>
      <c r="C45" t="s">
        <v>385</v>
      </c>
      <c r="D45" t="s">
        <v>388</v>
      </c>
      <c r="E45" t="s">
        <v>831</v>
      </c>
      <c r="F45" t="str">
        <f>VLOOKUP(E45, '[1]POS Categories'!$A$1:$B$999, 2, FALSE)</f>
        <v>Food</v>
      </c>
    </row>
    <row r="46" spans="1:6" x14ac:dyDescent="0.25">
      <c r="A46" t="s">
        <v>1054</v>
      </c>
      <c r="B46">
        <v>-7.19</v>
      </c>
      <c r="C46" t="s">
        <v>385</v>
      </c>
      <c r="D46" t="s">
        <v>388</v>
      </c>
      <c r="E46" t="s">
        <v>816</v>
      </c>
      <c r="F46" t="str">
        <f>VLOOKUP(E46, '[1]POS Categories'!$A$1:$B$999, 2, FALSE)</f>
        <v>Food</v>
      </c>
    </row>
    <row r="47" spans="1:6" x14ac:dyDescent="0.25">
      <c r="A47" t="s">
        <v>1055</v>
      </c>
      <c r="B47">
        <v>-11.2</v>
      </c>
      <c r="C47" t="s">
        <v>385</v>
      </c>
      <c r="D47" t="s">
        <v>388</v>
      </c>
      <c r="E47" t="s">
        <v>820</v>
      </c>
      <c r="F47" t="str">
        <f>VLOOKUP(E47, '[1]POS Categories'!$A$1:$B$999, 2, FALSE)</f>
        <v>Food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7"/>
  <sheetViews>
    <sheetView topLeftCell="A37" workbookViewId="0">
      <selection activeCell="F2" sqref="F2"/>
    </sheetView>
  </sheetViews>
  <sheetFormatPr defaultRowHeight="15" x14ac:dyDescent="0.25"/>
  <cols>
    <col min="5" max="5" width="31.7109375" bestFit="1" customWidth="1"/>
  </cols>
  <sheetData>
    <row r="1" spans="1:6" x14ac:dyDescent="0.25">
      <c r="A1" t="s">
        <v>1056</v>
      </c>
      <c r="B1">
        <v>-13.85</v>
      </c>
      <c r="C1" t="s">
        <v>385</v>
      </c>
      <c r="D1" t="s">
        <v>388</v>
      </c>
      <c r="E1" t="s">
        <v>831</v>
      </c>
      <c r="F1" t="str">
        <f>VLOOKUP(E1, '[1]POS Categories'!$A$1:$B$999, 2, FALSE)</f>
        <v>Food</v>
      </c>
    </row>
    <row r="2" spans="1:6" x14ac:dyDescent="0.25">
      <c r="A2" t="s">
        <v>1057</v>
      </c>
      <c r="B2">
        <v>-11.63</v>
      </c>
      <c r="C2" t="s">
        <v>385</v>
      </c>
      <c r="D2" t="s">
        <v>388</v>
      </c>
      <c r="E2" t="s">
        <v>820</v>
      </c>
      <c r="F2" t="str">
        <f>VLOOKUP(E2, '[1]POS Categories'!$A$1:$B$999, 2, FALSE)</f>
        <v>Food</v>
      </c>
    </row>
    <row r="3" spans="1:6" x14ac:dyDescent="0.25">
      <c r="A3" t="s">
        <v>1057</v>
      </c>
      <c r="B3">
        <v>-24.99</v>
      </c>
      <c r="C3" t="s">
        <v>385</v>
      </c>
      <c r="D3" t="s">
        <v>388</v>
      </c>
      <c r="E3" t="s">
        <v>49</v>
      </c>
      <c r="F3" t="str">
        <f>VLOOKUP(E3, '[1]POS Categories'!$A$1:$B$999, 2, FALSE)</f>
        <v>Entertainment</v>
      </c>
    </row>
    <row r="4" spans="1:6" x14ac:dyDescent="0.25">
      <c r="A4" t="s">
        <v>1058</v>
      </c>
      <c r="B4">
        <v>-12.1</v>
      </c>
      <c r="C4" t="s">
        <v>385</v>
      </c>
      <c r="D4" t="s">
        <v>388</v>
      </c>
      <c r="E4" t="s">
        <v>827</v>
      </c>
      <c r="F4" t="str">
        <f>VLOOKUP(E4, '[1]POS Categories'!$A$1:$B$999, 2, FALSE)</f>
        <v>Food</v>
      </c>
    </row>
    <row r="5" spans="1:6" x14ac:dyDescent="0.25">
      <c r="A5" t="s">
        <v>1059</v>
      </c>
      <c r="B5">
        <v>-17.489999999999998</v>
      </c>
      <c r="C5" t="s">
        <v>385</v>
      </c>
      <c r="D5" t="s">
        <v>388</v>
      </c>
      <c r="E5" t="s">
        <v>49</v>
      </c>
      <c r="F5" t="str">
        <f>VLOOKUP(E5, '[1]POS Categories'!$A$1:$B$999, 2, FALSE)</f>
        <v>Entertainment</v>
      </c>
    </row>
    <row r="6" spans="1:6" x14ac:dyDescent="0.25">
      <c r="A6" t="s">
        <v>1059</v>
      </c>
      <c r="B6">
        <v>-5.2</v>
      </c>
      <c r="C6" t="s">
        <v>385</v>
      </c>
      <c r="D6" t="s">
        <v>388</v>
      </c>
      <c r="E6" t="s">
        <v>819</v>
      </c>
      <c r="F6" t="str">
        <f>VLOOKUP(E6, '[1]POS Categories'!$A$1:$B$999, 2, FALSE)</f>
        <v>Food</v>
      </c>
    </row>
    <row r="7" spans="1:6" x14ac:dyDescent="0.25">
      <c r="A7" t="s">
        <v>1059</v>
      </c>
      <c r="B7">
        <v>-13.85</v>
      </c>
      <c r="C7" t="s">
        <v>385</v>
      </c>
      <c r="D7" t="s">
        <v>388</v>
      </c>
      <c r="E7" t="s">
        <v>831</v>
      </c>
      <c r="F7" t="str">
        <f>VLOOKUP(E7, '[1]POS Categories'!$A$1:$B$999, 2, FALSE)</f>
        <v>Food</v>
      </c>
    </row>
    <row r="8" spans="1:6" x14ac:dyDescent="0.25">
      <c r="A8" t="s">
        <v>1060</v>
      </c>
      <c r="B8">
        <v>-11.2</v>
      </c>
      <c r="C8" t="s">
        <v>385</v>
      </c>
      <c r="D8" t="s">
        <v>388</v>
      </c>
      <c r="E8" t="s">
        <v>820</v>
      </c>
      <c r="F8" t="str">
        <f>VLOOKUP(E8, '[1]POS Categories'!$A$1:$B$999, 2, FALSE)</f>
        <v>Food</v>
      </c>
    </row>
    <row r="9" spans="1:6" x14ac:dyDescent="0.25">
      <c r="A9" t="s">
        <v>1060</v>
      </c>
      <c r="B9">
        <v>1735.61</v>
      </c>
      <c r="C9" t="s">
        <v>385</v>
      </c>
      <c r="D9" t="s">
        <v>386</v>
      </c>
      <c r="E9" t="s">
        <v>786</v>
      </c>
      <c r="F9" t="str">
        <f>VLOOKUP(E9, '[1]POS Categories'!$A$1:$B$999, 2, FALSE)</f>
        <v>Job</v>
      </c>
    </row>
    <row r="10" spans="1:6" x14ac:dyDescent="0.25">
      <c r="A10" t="s">
        <v>1061</v>
      </c>
      <c r="B10">
        <v>-11.63</v>
      </c>
      <c r="C10" t="s">
        <v>385</v>
      </c>
      <c r="D10" t="s">
        <v>388</v>
      </c>
      <c r="E10" t="s">
        <v>820</v>
      </c>
      <c r="F10" t="str">
        <f>VLOOKUP(E10, '[1]POS Categories'!$A$1:$B$999, 2, FALSE)</f>
        <v>Food</v>
      </c>
    </row>
    <row r="11" spans="1:6" x14ac:dyDescent="0.25">
      <c r="A11" t="s">
        <v>1061</v>
      </c>
      <c r="B11">
        <v>-52.91</v>
      </c>
      <c r="C11" t="s">
        <v>385</v>
      </c>
      <c r="D11" t="s">
        <v>388</v>
      </c>
      <c r="E11" t="s">
        <v>798</v>
      </c>
      <c r="F11" t="str">
        <f>VLOOKUP(E11, '[1]POS Categories'!$A$1:$B$999, 2, FALSE)</f>
        <v>Vehicle</v>
      </c>
    </row>
    <row r="12" spans="1:6" x14ac:dyDescent="0.25">
      <c r="A12" t="s">
        <v>1062</v>
      </c>
      <c r="B12">
        <v>-12.1</v>
      </c>
      <c r="C12" t="s">
        <v>385</v>
      </c>
      <c r="D12" t="s">
        <v>388</v>
      </c>
      <c r="E12" t="s">
        <v>827</v>
      </c>
      <c r="F12" t="str">
        <f>VLOOKUP(E12, '[1]POS Categories'!$A$1:$B$999, 2, FALSE)</f>
        <v>Food</v>
      </c>
    </row>
    <row r="13" spans="1:6" x14ac:dyDescent="0.25">
      <c r="A13" t="s">
        <v>1063</v>
      </c>
      <c r="B13">
        <v>-12.85</v>
      </c>
      <c r="C13" t="s">
        <v>385</v>
      </c>
      <c r="D13" t="s">
        <v>388</v>
      </c>
      <c r="E13" t="s">
        <v>820</v>
      </c>
      <c r="F13" t="str">
        <f>VLOOKUP(E13, '[1]POS Categories'!$A$1:$B$999, 2, FALSE)</f>
        <v>Food</v>
      </c>
    </row>
    <row r="14" spans="1:6" x14ac:dyDescent="0.25">
      <c r="A14" t="s">
        <v>1063</v>
      </c>
      <c r="B14">
        <v>-25.94</v>
      </c>
      <c r="C14" t="s">
        <v>385</v>
      </c>
      <c r="D14" t="s">
        <v>388</v>
      </c>
      <c r="E14" t="s">
        <v>747</v>
      </c>
      <c r="F14" t="str">
        <f>VLOOKUP(E14, '[1]POS Categories'!$A$1:$B$999, 2, FALSE)</f>
        <v>Food</v>
      </c>
    </row>
    <row r="15" spans="1:6" x14ac:dyDescent="0.25">
      <c r="A15" t="s">
        <v>1064</v>
      </c>
      <c r="B15">
        <v>-14.52</v>
      </c>
      <c r="C15" t="s">
        <v>385</v>
      </c>
      <c r="D15" t="s">
        <v>388</v>
      </c>
      <c r="E15" t="s">
        <v>26</v>
      </c>
      <c r="F15" t="str">
        <f>VLOOKUP(E15, '[1]POS Categories'!$A$1:$B$999, 2, FALSE)</f>
        <v>Food</v>
      </c>
    </row>
    <row r="16" spans="1:6" x14ac:dyDescent="0.25">
      <c r="A16" t="s">
        <v>1064</v>
      </c>
      <c r="B16">
        <v>-140.93</v>
      </c>
      <c r="C16" t="s">
        <v>385</v>
      </c>
      <c r="D16" t="s">
        <v>388</v>
      </c>
      <c r="E16" t="s">
        <v>95</v>
      </c>
      <c r="F16" t="str">
        <f>VLOOKUP(E16, '[1]POS Categories'!$A$1:$B$999, 2, FALSE)</f>
        <v>Food</v>
      </c>
    </row>
    <row r="17" spans="1:6" x14ac:dyDescent="0.25">
      <c r="A17" t="s">
        <v>1064</v>
      </c>
      <c r="B17">
        <v>-27.48</v>
      </c>
      <c r="C17" t="s">
        <v>385</v>
      </c>
      <c r="D17" t="s">
        <v>388</v>
      </c>
      <c r="E17" t="s">
        <v>96</v>
      </c>
      <c r="F17" t="str">
        <f>VLOOKUP(E17, '[1]POS Categories'!$A$1:$B$999, 2, FALSE)</f>
        <v>Food</v>
      </c>
    </row>
    <row r="18" spans="1:6" x14ac:dyDescent="0.25">
      <c r="A18" t="s">
        <v>1064</v>
      </c>
      <c r="B18">
        <v>-5000</v>
      </c>
      <c r="C18" t="s">
        <v>385</v>
      </c>
      <c r="D18" t="s">
        <v>400</v>
      </c>
      <c r="E18" t="s">
        <v>1065</v>
      </c>
      <c r="F18" t="s">
        <v>99</v>
      </c>
    </row>
    <row r="19" spans="1:6" x14ac:dyDescent="0.25">
      <c r="A19" t="s">
        <v>1064</v>
      </c>
      <c r="B19">
        <v>40</v>
      </c>
      <c r="C19" t="s">
        <v>385</v>
      </c>
      <c r="D19" t="s">
        <v>467</v>
      </c>
      <c r="E19" t="s">
        <v>61</v>
      </c>
      <c r="F19" t="str">
        <f>VLOOKUP(E19, '[1]POS Categories'!$A$1:$B$999, 2, FALSE)</f>
        <v>Personal</v>
      </c>
    </row>
    <row r="20" spans="1:6" x14ac:dyDescent="0.25">
      <c r="A20" t="s">
        <v>1066</v>
      </c>
      <c r="B20">
        <v>-14.85</v>
      </c>
      <c r="C20" t="s">
        <v>385</v>
      </c>
      <c r="D20" t="s">
        <v>388</v>
      </c>
      <c r="E20" t="s">
        <v>804</v>
      </c>
      <c r="F20" t="str">
        <f>VLOOKUP(E20, '[1]POS Categories'!$A$1:$B$999, 2, FALSE)</f>
        <v>Food</v>
      </c>
    </row>
    <row r="21" spans="1:6" x14ac:dyDescent="0.25">
      <c r="A21" t="s">
        <v>1067</v>
      </c>
      <c r="B21">
        <v>-7.43</v>
      </c>
      <c r="C21" t="s">
        <v>385</v>
      </c>
      <c r="D21" t="s">
        <v>388</v>
      </c>
      <c r="E21" t="s">
        <v>819</v>
      </c>
      <c r="F21" t="str">
        <f>VLOOKUP(E21, '[1]POS Categories'!$A$1:$B$999, 2, FALSE)</f>
        <v>Food</v>
      </c>
    </row>
    <row r="22" spans="1:6" x14ac:dyDescent="0.25">
      <c r="A22" t="s">
        <v>1067</v>
      </c>
      <c r="B22">
        <v>-11.98</v>
      </c>
      <c r="C22" t="s">
        <v>385</v>
      </c>
      <c r="D22" t="s">
        <v>388</v>
      </c>
      <c r="E22" t="s">
        <v>820</v>
      </c>
      <c r="F22" t="str">
        <f>VLOOKUP(E22, '[1]POS Categories'!$A$1:$B$999, 2, FALSE)</f>
        <v>Food</v>
      </c>
    </row>
    <row r="23" spans="1:6" x14ac:dyDescent="0.25">
      <c r="A23" t="s">
        <v>1068</v>
      </c>
      <c r="B23">
        <v>-13.53</v>
      </c>
      <c r="C23" t="s">
        <v>385</v>
      </c>
      <c r="D23" t="s">
        <v>388</v>
      </c>
      <c r="E23" t="s">
        <v>831</v>
      </c>
      <c r="F23" t="str">
        <f>VLOOKUP(E23, '[1]POS Categories'!$A$1:$B$999, 2, FALSE)</f>
        <v>Food</v>
      </c>
    </row>
    <row r="24" spans="1:6" x14ac:dyDescent="0.25">
      <c r="A24" t="s">
        <v>1069</v>
      </c>
      <c r="B24">
        <v>-10.86</v>
      </c>
      <c r="C24" t="s">
        <v>385</v>
      </c>
      <c r="D24" t="s">
        <v>388</v>
      </c>
      <c r="E24" t="s">
        <v>820</v>
      </c>
      <c r="F24" t="str">
        <f>VLOOKUP(E24, '[1]POS Categories'!$A$1:$B$999, 2, FALSE)</f>
        <v>Food</v>
      </c>
    </row>
    <row r="25" spans="1:6" x14ac:dyDescent="0.25">
      <c r="A25" t="s">
        <v>1070</v>
      </c>
      <c r="B25">
        <v>-13.53</v>
      </c>
      <c r="C25" t="s">
        <v>385</v>
      </c>
      <c r="D25" t="s">
        <v>388</v>
      </c>
      <c r="E25" t="s">
        <v>831</v>
      </c>
      <c r="F25" t="str">
        <f>VLOOKUP(E25, '[1]POS Categories'!$A$1:$B$999, 2, FALSE)</f>
        <v>Food</v>
      </c>
    </row>
    <row r="26" spans="1:6" x14ac:dyDescent="0.25">
      <c r="A26" t="s">
        <v>1070</v>
      </c>
      <c r="B26">
        <v>-7.19</v>
      </c>
      <c r="C26" t="s">
        <v>385</v>
      </c>
      <c r="D26" t="s">
        <v>388</v>
      </c>
      <c r="E26" t="s">
        <v>816</v>
      </c>
      <c r="F26" t="str">
        <f>VLOOKUP(E26, '[1]POS Categories'!$A$1:$B$999, 2, FALSE)</f>
        <v>Food</v>
      </c>
    </row>
    <row r="27" spans="1:6" x14ac:dyDescent="0.25">
      <c r="A27" t="s">
        <v>1070</v>
      </c>
      <c r="B27">
        <v>-13.63</v>
      </c>
      <c r="C27" t="s">
        <v>385</v>
      </c>
      <c r="D27" t="s">
        <v>388</v>
      </c>
      <c r="E27" t="s">
        <v>747</v>
      </c>
      <c r="F27" t="str">
        <f>VLOOKUP(E27, '[1]POS Categories'!$A$1:$B$999, 2, FALSE)</f>
        <v>Food</v>
      </c>
    </row>
    <row r="28" spans="1:6" x14ac:dyDescent="0.25">
      <c r="A28" t="s">
        <v>1071</v>
      </c>
      <c r="B28">
        <v>-12.1</v>
      </c>
      <c r="C28" t="s">
        <v>385</v>
      </c>
      <c r="D28" t="s">
        <v>388</v>
      </c>
      <c r="E28" t="s">
        <v>827</v>
      </c>
      <c r="F28" t="str">
        <f>VLOOKUP(E28, '[1]POS Categories'!$A$1:$B$999, 2, FALSE)</f>
        <v>Food</v>
      </c>
    </row>
    <row r="29" spans="1:6" x14ac:dyDescent="0.25">
      <c r="A29" t="s">
        <v>1072</v>
      </c>
      <c r="B29">
        <v>-10.63</v>
      </c>
      <c r="C29" t="s">
        <v>385</v>
      </c>
      <c r="D29" t="s">
        <v>388</v>
      </c>
      <c r="E29" t="s">
        <v>747</v>
      </c>
      <c r="F29" t="str">
        <f>VLOOKUP(E29, '[1]POS Categories'!$A$1:$B$999, 2, FALSE)</f>
        <v>Food</v>
      </c>
    </row>
    <row r="30" spans="1:6" x14ac:dyDescent="0.25">
      <c r="A30" t="s">
        <v>1072</v>
      </c>
      <c r="B30">
        <v>-11.2</v>
      </c>
      <c r="C30" t="s">
        <v>385</v>
      </c>
      <c r="D30" t="s">
        <v>388</v>
      </c>
      <c r="E30" t="s">
        <v>820</v>
      </c>
      <c r="F30" t="str">
        <f>VLOOKUP(E30, '[1]POS Categories'!$A$1:$B$999, 2, FALSE)</f>
        <v>Food</v>
      </c>
    </row>
    <row r="31" spans="1:6" x14ac:dyDescent="0.25">
      <c r="A31" t="s">
        <v>1072</v>
      </c>
      <c r="B31">
        <v>1735.61</v>
      </c>
      <c r="C31" t="s">
        <v>385</v>
      </c>
      <c r="D31" t="s">
        <v>386</v>
      </c>
      <c r="E31" t="s">
        <v>786</v>
      </c>
      <c r="F31" t="str">
        <f>VLOOKUP(E31, '[1]POS Categories'!$A$1:$B$999, 2, FALSE)</f>
        <v>Job</v>
      </c>
    </row>
    <row r="32" spans="1:6" x14ac:dyDescent="0.25">
      <c r="A32" t="s">
        <v>1073</v>
      </c>
      <c r="B32">
        <v>-13.85</v>
      </c>
      <c r="C32" t="s">
        <v>385</v>
      </c>
      <c r="D32" t="s">
        <v>388</v>
      </c>
      <c r="E32" t="s">
        <v>831</v>
      </c>
      <c r="F32" t="str">
        <f>VLOOKUP(E32, '[1]POS Categories'!$A$1:$B$999, 2, FALSE)</f>
        <v>Food</v>
      </c>
    </row>
    <row r="33" spans="1:6" x14ac:dyDescent="0.25">
      <c r="A33" t="s">
        <v>1074</v>
      </c>
      <c r="B33">
        <v>-14.07</v>
      </c>
      <c r="C33" t="s">
        <v>385</v>
      </c>
      <c r="D33" t="s">
        <v>388</v>
      </c>
      <c r="E33" t="s">
        <v>820</v>
      </c>
      <c r="F33" t="str">
        <f>VLOOKUP(E33, '[1]POS Categories'!$A$1:$B$999, 2, FALSE)</f>
        <v>Food</v>
      </c>
    </row>
    <row r="34" spans="1:6" x14ac:dyDescent="0.25">
      <c r="A34" t="s">
        <v>1075</v>
      </c>
      <c r="B34">
        <v>-6.43</v>
      </c>
      <c r="C34" t="s">
        <v>385</v>
      </c>
      <c r="D34" t="s">
        <v>388</v>
      </c>
      <c r="E34" t="s">
        <v>819</v>
      </c>
      <c r="F34" t="str">
        <f>VLOOKUP(E34, '[1]POS Categories'!$A$1:$B$999, 2, FALSE)</f>
        <v>Food</v>
      </c>
    </row>
    <row r="35" spans="1:6" x14ac:dyDescent="0.25">
      <c r="A35" t="s">
        <v>1075</v>
      </c>
      <c r="B35">
        <v>-14.85</v>
      </c>
      <c r="C35" t="s">
        <v>385</v>
      </c>
      <c r="D35" t="s">
        <v>388</v>
      </c>
      <c r="E35" t="s">
        <v>804</v>
      </c>
      <c r="F35" t="str">
        <f>VLOOKUP(E35, '[1]POS Categories'!$A$1:$B$999, 2, FALSE)</f>
        <v>Food</v>
      </c>
    </row>
    <row r="36" spans="1:6" x14ac:dyDescent="0.25">
      <c r="A36" t="s">
        <v>1075</v>
      </c>
      <c r="B36">
        <v>-0.75</v>
      </c>
      <c r="C36" t="s">
        <v>385</v>
      </c>
      <c r="D36" t="s">
        <v>388</v>
      </c>
      <c r="E36" t="s">
        <v>49</v>
      </c>
      <c r="F36" t="str">
        <f>VLOOKUP(E36, '[1]POS Categories'!$A$1:$B$999, 2, FALSE)</f>
        <v>Entertainment</v>
      </c>
    </row>
    <row r="37" spans="1:6" x14ac:dyDescent="0.25">
      <c r="A37" t="s">
        <v>1076</v>
      </c>
      <c r="B37">
        <v>-5.2</v>
      </c>
      <c r="C37" t="s">
        <v>385</v>
      </c>
      <c r="D37" t="s">
        <v>388</v>
      </c>
      <c r="E37" t="s">
        <v>819</v>
      </c>
      <c r="F37" t="str">
        <f>VLOOKUP(E37, '[1]POS Categories'!$A$1:$B$999, 2, FALSE)</f>
        <v>Food</v>
      </c>
    </row>
    <row r="38" spans="1:6" x14ac:dyDescent="0.25">
      <c r="A38" t="s">
        <v>1076</v>
      </c>
      <c r="B38">
        <v>-11.2</v>
      </c>
      <c r="C38" t="s">
        <v>385</v>
      </c>
      <c r="D38" t="s">
        <v>388</v>
      </c>
      <c r="E38" t="s">
        <v>820</v>
      </c>
      <c r="F38" t="str">
        <f>VLOOKUP(E38, '[1]POS Categories'!$A$1:$B$999, 2, FALSE)</f>
        <v>Food</v>
      </c>
    </row>
    <row r="39" spans="1:6" x14ac:dyDescent="0.25">
      <c r="A39" t="s">
        <v>1077</v>
      </c>
      <c r="B39">
        <v>-11.2</v>
      </c>
      <c r="C39" t="s">
        <v>385</v>
      </c>
      <c r="D39" t="s">
        <v>388</v>
      </c>
      <c r="E39" t="s">
        <v>820</v>
      </c>
      <c r="F39" t="str">
        <f>VLOOKUP(E39, '[1]POS Categories'!$A$1:$B$999, 2, FALSE)</f>
        <v>Food</v>
      </c>
    </row>
    <row r="40" spans="1:6" x14ac:dyDescent="0.25">
      <c r="A40" t="s">
        <v>1078</v>
      </c>
      <c r="B40">
        <v>-31.82</v>
      </c>
      <c r="C40" t="s">
        <v>385</v>
      </c>
      <c r="D40" t="s">
        <v>388</v>
      </c>
      <c r="E40" t="s">
        <v>97</v>
      </c>
      <c r="F40" t="str">
        <f>VLOOKUP(E40, '[1]POS Categories'!$A$1:$B$999, 2, FALSE)</f>
        <v>Entertainment</v>
      </c>
    </row>
    <row r="41" spans="1:6" x14ac:dyDescent="0.25">
      <c r="A41" t="s">
        <v>1078</v>
      </c>
      <c r="B41">
        <v>-6.43</v>
      </c>
      <c r="C41" t="s">
        <v>385</v>
      </c>
      <c r="D41" t="s">
        <v>388</v>
      </c>
      <c r="E41" t="s">
        <v>819</v>
      </c>
      <c r="F41" t="str">
        <f>VLOOKUP(E41, '[1]POS Categories'!$A$1:$B$999, 2, FALSE)</f>
        <v>Food</v>
      </c>
    </row>
    <row r="42" spans="1:6" x14ac:dyDescent="0.25">
      <c r="A42" t="s">
        <v>1078</v>
      </c>
      <c r="B42">
        <v>-11.98</v>
      </c>
      <c r="C42" t="s">
        <v>385</v>
      </c>
      <c r="D42" t="s">
        <v>388</v>
      </c>
      <c r="E42" t="s">
        <v>820</v>
      </c>
      <c r="F42" t="str">
        <f>VLOOKUP(E42, '[1]POS Categories'!$A$1:$B$999, 2, FALSE)</f>
        <v>Food</v>
      </c>
    </row>
    <row r="43" spans="1:6" x14ac:dyDescent="0.25">
      <c r="A43" t="s">
        <v>1079</v>
      </c>
      <c r="B43">
        <v>-13.65</v>
      </c>
      <c r="C43" t="s">
        <v>385</v>
      </c>
      <c r="D43" t="s">
        <v>388</v>
      </c>
      <c r="E43" t="s">
        <v>827</v>
      </c>
      <c r="F43" t="str">
        <f>VLOOKUP(E43, '[1]POS Categories'!$A$1:$B$999, 2, FALSE)</f>
        <v>Food</v>
      </c>
    </row>
    <row r="44" spans="1:6" x14ac:dyDescent="0.25">
      <c r="A44" t="s">
        <v>1079</v>
      </c>
      <c r="B44">
        <v>-17.059999999999999</v>
      </c>
      <c r="C44" t="s">
        <v>385</v>
      </c>
      <c r="D44" t="s">
        <v>388</v>
      </c>
      <c r="E44" t="s">
        <v>98</v>
      </c>
      <c r="F44" t="str">
        <f>VLOOKUP(E44, '[1]POS Categories'!$A$1:$B$999, 2, FALSE)</f>
        <v>Food</v>
      </c>
    </row>
    <row r="45" spans="1:6" x14ac:dyDescent="0.25">
      <c r="A45" t="s">
        <v>1079</v>
      </c>
      <c r="B45">
        <v>-8.33</v>
      </c>
      <c r="C45" t="s">
        <v>385</v>
      </c>
      <c r="D45" t="s">
        <v>388</v>
      </c>
      <c r="E45" t="s">
        <v>96</v>
      </c>
      <c r="F45" t="str">
        <f>VLOOKUP(E45, '[1]POS Categories'!$A$1:$B$999, 2, FALSE)</f>
        <v>Food</v>
      </c>
    </row>
    <row r="46" spans="1:6" x14ac:dyDescent="0.25">
      <c r="A46" t="s">
        <v>1079</v>
      </c>
      <c r="B46">
        <v>-67.14</v>
      </c>
      <c r="C46" t="s">
        <v>385</v>
      </c>
      <c r="D46" t="s">
        <v>388</v>
      </c>
      <c r="E46" t="s">
        <v>49</v>
      </c>
      <c r="F46" t="str">
        <f>VLOOKUP(E46, '[1]POS Categories'!$A$1:$B$999, 2, FALSE)</f>
        <v>Entertainment</v>
      </c>
    </row>
    <row r="47" spans="1:6" x14ac:dyDescent="0.25">
      <c r="A47" t="s">
        <v>1079</v>
      </c>
      <c r="B47">
        <v>-19.61</v>
      </c>
      <c r="C47" t="s">
        <v>385</v>
      </c>
      <c r="D47" t="s">
        <v>388</v>
      </c>
      <c r="E47" t="s">
        <v>747</v>
      </c>
      <c r="F47" t="str">
        <f>VLOOKUP(E47, '[1]POS Categories'!$A$1:$B$999, 2, FALSE)</f>
        <v>Food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4"/>
  <sheetViews>
    <sheetView topLeftCell="A21" zoomScaleNormal="100" workbookViewId="0">
      <selection activeCell="H41" sqref="H41"/>
    </sheetView>
  </sheetViews>
  <sheetFormatPr defaultRowHeight="15" x14ac:dyDescent="0.25"/>
  <cols>
    <col min="5" max="5" width="36.140625" bestFit="1" customWidth="1"/>
  </cols>
  <sheetData>
    <row r="1" spans="1:6" x14ac:dyDescent="0.25">
      <c r="A1" t="s">
        <v>1080</v>
      </c>
      <c r="B1">
        <v>-12.87</v>
      </c>
      <c r="C1" t="s">
        <v>385</v>
      </c>
      <c r="D1" t="s">
        <v>388</v>
      </c>
      <c r="E1" t="s">
        <v>108</v>
      </c>
      <c r="F1" t="str">
        <f>VLOOKUP(E1, '[1]POS Categories'!$A$1:$B$999, 2, FALSE)</f>
        <v>Food</v>
      </c>
    </row>
    <row r="2" spans="1:6" x14ac:dyDescent="0.25">
      <c r="A2" t="s">
        <v>1080</v>
      </c>
      <c r="B2">
        <v>-100</v>
      </c>
      <c r="C2" t="s">
        <v>385</v>
      </c>
      <c r="D2" t="s">
        <v>957</v>
      </c>
      <c r="F2" t="s">
        <v>45</v>
      </c>
    </row>
    <row r="3" spans="1:6" x14ac:dyDescent="0.25">
      <c r="A3" t="s">
        <v>1080</v>
      </c>
      <c r="B3">
        <v>-25.05</v>
      </c>
      <c r="C3" t="s">
        <v>385</v>
      </c>
      <c r="D3" t="s">
        <v>388</v>
      </c>
      <c r="E3" t="s">
        <v>58</v>
      </c>
      <c r="F3" t="str">
        <f>VLOOKUP(E3, '[1]POS Categories'!$A$1:$B$999, 2, FALSE)</f>
        <v>Personal</v>
      </c>
    </row>
    <row r="4" spans="1:6" x14ac:dyDescent="0.25">
      <c r="A4" t="s">
        <v>1080</v>
      </c>
      <c r="B4">
        <v>-1.1100000000000001</v>
      </c>
      <c r="C4" t="s">
        <v>385</v>
      </c>
      <c r="D4" t="s">
        <v>388</v>
      </c>
      <c r="E4" t="s">
        <v>109</v>
      </c>
      <c r="F4" t="str">
        <f>VLOOKUP(E4, '[1]POS Categories'!$A$1:$B$999, 2, FALSE)</f>
        <v>Personal</v>
      </c>
    </row>
    <row r="5" spans="1:6" x14ac:dyDescent="0.25">
      <c r="A5" t="s">
        <v>1081</v>
      </c>
      <c r="B5">
        <v>-10.86</v>
      </c>
      <c r="C5" t="s">
        <v>385</v>
      </c>
      <c r="D5" t="s">
        <v>388</v>
      </c>
      <c r="E5" t="s">
        <v>820</v>
      </c>
      <c r="F5" t="str">
        <f>VLOOKUP(E5, '[1]POS Categories'!$A$1:$B$999, 2, FALSE)</f>
        <v>Food</v>
      </c>
    </row>
    <row r="6" spans="1:6" x14ac:dyDescent="0.25">
      <c r="A6" t="s">
        <v>1081</v>
      </c>
      <c r="B6">
        <v>1735.61</v>
      </c>
      <c r="C6" t="s">
        <v>385</v>
      </c>
      <c r="D6" t="s">
        <v>386</v>
      </c>
      <c r="E6" t="s">
        <v>786</v>
      </c>
      <c r="F6" t="str">
        <f>VLOOKUP(E6, '[1]POS Categories'!$A$1:$B$999, 2, FALSE)</f>
        <v>Job</v>
      </c>
    </row>
    <row r="7" spans="1:6" x14ac:dyDescent="0.25">
      <c r="A7" t="s">
        <v>1082</v>
      </c>
      <c r="B7">
        <v>-47.52</v>
      </c>
      <c r="C7" t="s">
        <v>385</v>
      </c>
      <c r="D7" t="s">
        <v>388</v>
      </c>
      <c r="E7" t="s">
        <v>82</v>
      </c>
      <c r="F7" t="str">
        <f>VLOOKUP(E7, '[1]POS Categories'!$A$1:$B$999, 2, FALSE)</f>
        <v>Vehicle</v>
      </c>
    </row>
    <row r="8" spans="1:6" x14ac:dyDescent="0.25">
      <c r="A8" t="s">
        <v>1082</v>
      </c>
      <c r="B8">
        <v>-14.07</v>
      </c>
      <c r="C8" t="s">
        <v>385</v>
      </c>
      <c r="D8" t="s">
        <v>388</v>
      </c>
      <c r="E8" t="s">
        <v>820</v>
      </c>
      <c r="F8" t="str">
        <f>VLOOKUP(E8, '[1]POS Categories'!$A$1:$B$999, 2, FALSE)</f>
        <v>Food</v>
      </c>
    </row>
    <row r="9" spans="1:6" x14ac:dyDescent="0.25">
      <c r="A9" t="s">
        <v>1083</v>
      </c>
      <c r="B9">
        <v>-13.85</v>
      </c>
      <c r="C9" t="s">
        <v>385</v>
      </c>
      <c r="D9" t="s">
        <v>388</v>
      </c>
      <c r="E9" t="s">
        <v>831</v>
      </c>
      <c r="F9" t="str">
        <f>VLOOKUP(E9, '[1]POS Categories'!$A$1:$B$999, 2, FALSE)</f>
        <v>Food</v>
      </c>
    </row>
    <row r="10" spans="1:6" x14ac:dyDescent="0.25">
      <c r="A10" t="s">
        <v>1084</v>
      </c>
      <c r="B10">
        <v>-5.86</v>
      </c>
      <c r="C10" t="s">
        <v>385</v>
      </c>
      <c r="D10" t="s">
        <v>388</v>
      </c>
      <c r="E10" t="s">
        <v>110</v>
      </c>
      <c r="F10" t="str">
        <f>VLOOKUP(E10, '[1]POS Categories'!$A$1:$B$999, 2, FALSE)</f>
        <v>Entertainment</v>
      </c>
    </row>
    <row r="11" spans="1:6" x14ac:dyDescent="0.25">
      <c r="A11" t="s">
        <v>1084</v>
      </c>
      <c r="B11">
        <v>-13.3</v>
      </c>
      <c r="C11" t="s">
        <v>385</v>
      </c>
      <c r="D11" t="s">
        <v>388</v>
      </c>
      <c r="E11" t="s">
        <v>820</v>
      </c>
      <c r="F11" t="str">
        <f>VLOOKUP(E11, '[1]POS Categories'!$A$1:$B$999, 2, FALSE)</f>
        <v>Food</v>
      </c>
    </row>
    <row r="12" spans="1:6" x14ac:dyDescent="0.25">
      <c r="A12" t="s">
        <v>1084</v>
      </c>
      <c r="B12">
        <v>-16.989999999999998</v>
      </c>
      <c r="C12" t="s">
        <v>385</v>
      </c>
      <c r="D12" t="s">
        <v>388</v>
      </c>
      <c r="E12" t="s">
        <v>49</v>
      </c>
      <c r="F12" t="str">
        <f>VLOOKUP(E12, '[1]POS Categories'!$A$1:$B$999, 2, FALSE)</f>
        <v>Entertainment</v>
      </c>
    </row>
    <row r="13" spans="1:6" x14ac:dyDescent="0.25">
      <c r="A13" t="s">
        <v>1085</v>
      </c>
      <c r="B13">
        <v>-28.99</v>
      </c>
      <c r="C13" t="s">
        <v>385</v>
      </c>
      <c r="D13" t="s">
        <v>388</v>
      </c>
      <c r="E13" t="s">
        <v>22</v>
      </c>
      <c r="F13" t="str">
        <f>VLOOKUP(E13, '[1]POS Categories'!$A$1:$B$999, 2, FALSE)</f>
        <v>Entertainment</v>
      </c>
    </row>
    <row r="14" spans="1:6" x14ac:dyDescent="0.25">
      <c r="A14" t="s">
        <v>1085</v>
      </c>
      <c r="B14">
        <v>-30.15</v>
      </c>
      <c r="C14" t="s">
        <v>385</v>
      </c>
      <c r="D14" t="s">
        <v>388</v>
      </c>
      <c r="E14" t="s">
        <v>747</v>
      </c>
      <c r="F14" t="str">
        <f>VLOOKUP(E14, '[1]POS Categories'!$A$1:$B$999, 2, FALSE)</f>
        <v>Food</v>
      </c>
    </row>
    <row r="15" spans="1:6" x14ac:dyDescent="0.25">
      <c r="A15" t="s">
        <v>1086</v>
      </c>
      <c r="B15">
        <v>-10.86</v>
      </c>
      <c r="C15" t="s">
        <v>385</v>
      </c>
      <c r="D15" t="s">
        <v>388</v>
      </c>
      <c r="E15" t="s">
        <v>820</v>
      </c>
      <c r="F15" t="str">
        <f>VLOOKUP(E15, '[1]POS Categories'!$A$1:$B$999, 2, FALSE)</f>
        <v>Food</v>
      </c>
    </row>
    <row r="16" spans="1:6" x14ac:dyDescent="0.25">
      <c r="A16" t="s">
        <v>1086</v>
      </c>
      <c r="B16">
        <v>-12.38</v>
      </c>
      <c r="C16" t="s">
        <v>385</v>
      </c>
      <c r="D16" t="s">
        <v>388</v>
      </c>
      <c r="E16" t="s">
        <v>816</v>
      </c>
      <c r="F16" t="str">
        <f>VLOOKUP(E16, '[1]POS Categories'!$A$1:$B$999, 2, FALSE)</f>
        <v>Food</v>
      </c>
    </row>
    <row r="17" spans="1:6" x14ac:dyDescent="0.25">
      <c r="A17" t="s">
        <v>1087</v>
      </c>
      <c r="B17">
        <v>-10.86</v>
      </c>
      <c r="C17" t="s">
        <v>385</v>
      </c>
      <c r="D17" t="s">
        <v>388</v>
      </c>
      <c r="E17" t="s">
        <v>820</v>
      </c>
      <c r="F17" t="str">
        <f>VLOOKUP(E17, '[1]POS Categories'!$A$1:$B$999, 2, FALSE)</f>
        <v>Food</v>
      </c>
    </row>
    <row r="18" spans="1:6" x14ac:dyDescent="0.25">
      <c r="A18" t="s">
        <v>1088</v>
      </c>
      <c r="B18">
        <v>-13.4</v>
      </c>
      <c r="C18" t="s">
        <v>385</v>
      </c>
      <c r="D18" t="s">
        <v>388</v>
      </c>
      <c r="E18" t="s">
        <v>827</v>
      </c>
      <c r="F18" t="str">
        <f>VLOOKUP(E18, '[1]POS Categories'!$A$1:$B$999, 2, FALSE)</f>
        <v>Food</v>
      </c>
    </row>
    <row r="19" spans="1:6" x14ac:dyDescent="0.25">
      <c r="A19" t="s">
        <v>1089</v>
      </c>
      <c r="B19">
        <v>-13.53</v>
      </c>
      <c r="C19" t="s">
        <v>385</v>
      </c>
      <c r="D19" t="s">
        <v>388</v>
      </c>
      <c r="E19" t="s">
        <v>831</v>
      </c>
      <c r="F19" t="str">
        <f>VLOOKUP(E19, '[1]POS Categories'!$A$1:$B$999, 2, FALSE)</f>
        <v>Food</v>
      </c>
    </row>
    <row r="20" spans="1:6" x14ac:dyDescent="0.25">
      <c r="A20" t="s">
        <v>1090</v>
      </c>
      <c r="B20">
        <v>-14.07</v>
      </c>
      <c r="C20" t="s">
        <v>385</v>
      </c>
      <c r="D20" t="s">
        <v>388</v>
      </c>
      <c r="E20" t="s">
        <v>820</v>
      </c>
      <c r="F20" t="str">
        <f>VLOOKUP(E20, '[1]POS Categories'!$A$1:$B$999, 2, FALSE)</f>
        <v>Food</v>
      </c>
    </row>
    <row r="21" spans="1:6" x14ac:dyDescent="0.25">
      <c r="A21" t="s">
        <v>1090</v>
      </c>
      <c r="B21">
        <v>-2.2200000000000002</v>
      </c>
      <c r="C21" t="s">
        <v>385</v>
      </c>
      <c r="D21" t="s">
        <v>388</v>
      </c>
      <c r="E21" t="s">
        <v>111</v>
      </c>
      <c r="F21" t="str">
        <f>VLOOKUP(E21, '[1]POS Categories'!$A$1:$B$999, 2, FALSE)</f>
        <v>Personal</v>
      </c>
    </row>
    <row r="22" spans="1:6" x14ac:dyDescent="0.25">
      <c r="A22" t="s">
        <v>1090</v>
      </c>
      <c r="B22">
        <v>-22.19</v>
      </c>
      <c r="C22" t="s">
        <v>385</v>
      </c>
      <c r="D22" t="s">
        <v>388</v>
      </c>
      <c r="E22" t="s">
        <v>112</v>
      </c>
      <c r="F22" t="str">
        <f>VLOOKUP(E22, '[1]POS Categories'!$A$1:$B$999, 2, FALSE)</f>
        <v>Personal</v>
      </c>
    </row>
    <row r="23" spans="1:6" x14ac:dyDescent="0.25">
      <c r="A23" t="s">
        <v>1090</v>
      </c>
      <c r="B23">
        <v>1.37</v>
      </c>
      <c r="C23" t="s">
        <v>385</v>
      </c>
      <c r="D23" t="s">
        <v>430</v>
      </c>
      <c r="E23" s="20">
        <v>309160698517333</v>
      </c>
      <c r="F23" t="s">
        <v>1199</v>
      </c>
    </row>
    <row r="24" spans="1:6" x14ac:dyDescent="0.25">
      <c r="A24" t="s">
        <v>1091</v>
      </c>
      <c r="B24">
        <v>-13.4</v>
      </c>
      <c r="C24" t="s">
        <v>385</v>
      </c>
      <c r="D24" t="s">
        <v>388</v>
      </c>
      <c r="E24" t="s">
        <v>827</v>
      </c>
      <c r="F24" t="str">
        <f>VLOOKUP(E24, '[1]POS Categories'!$A$1:$B$999, 2, FALSE)</f>
        <v>Food</v>
      </c>
    </row>
    <row r="25" spans="1:6" x14ac:dyDescent="0.25">
      <c r="A25" t="s">
        <v>1092</v>
      </c>
      <c r="B25">
        <v>-11.2</v>
      </c>
      <c r="C25" t="s">
        <v>385</v>
      </c>
      <c r="D25" t="s">
        <v>388</v>
      </c>
      <c r="E25" t="s">
        <v>820</v>
      </c>
      <c r="F25" t="str">
        <f>VLOOKUP(E25, '[1]POS Categories'!$A$1:$B$999, 2, FALSE)</f>
        <v>Food</v>
      </c>
    </row>
    <row r="26" spans="1:6" x14ac:dyDescent="0.25">
      <c r="A26" t="s">
        <v>1092</v>
      </c>
      <c r="B26">
        <v>1798.35</v>
      </c>
      <c r="C26" t="s">
        <v>385</v>
      </c>
      <c r="D26" t="s">
        <v>386</v>
      </c>
      <c r="E26" t="s">
        <v>786</v>
      </c>
      <c r="F26" t="str">
        <f>VLOOKUP(E26, '[1]POS Categories'!$A$1:$B$999, 2, FALSE)</f>
        <v>Job</v>
      </c>
    </row>
    <row r="27" spans="1:6" x14ac:dyDescent="0.25">
      <c r="A27" t="s">
        <v>1093</v>
      </c>
      <c r="B27">
        <v>-13.85</v>
      </c>
      <c r="C27" t="s">
        <v>385</v>
      </c>
      <c r="D27" t="s">
        <v>388</v>
      </c>
      <c r="E27" t="s">
        <v>831</v>
      </c>
      <c r="F27" t="str">
        <f>VLOOKUP(E27, '[1]POS Categories'!$A$1:$B$999, 2, FALSE)</f>
        <v>Food</v>
      </c>
    </row>
    <row r="28" spans="1:6" x14ac:dyDescent="0.25">
      <c r="A28" t="s">
        <v>1094</v>
      </c>
      <c r="B28">
        <v>-13.4</v>
      </c>
      <c r="C28" t="s">
        <v>385</v>
      </c>
      <c r="D28" t="s">
        <v>388</v>
      </c>
      <c r="E28" t="s">
        <v>827</v>
      </c>
      <c r="F28" t="str">
        <f>VLOOKUP(E28, '[1]POS Categories'!$A$1:$B$999, 2, FALSE)</f>
        <v>Food</v>
      </c>
    </row>
    <row r="29" spans="1:6" x14ac:dyDescent="0.25">
      <c r="A29" t="s">
        <v>1095</v>
      </c>
      <c r="B29">
        <v>-13.3</v>
      </c>
      <c r="C29" t="s">
        <v>385</v>
      </c>
      <c r="D29" t="s">
        <v>388</v>
      </c>
      <c r="E29" t="s">
        <v>820</v>
      </c>
      <c r="F29" t="str">
        <f>VLOOKUP(E29, '[1]POS Categories'!$A$1:$B$999, 2, FALSE)</f>
        <v>Food</v>
      </c>
    </row>
    <row r="30" spans="1:6" x14ac:dyDescent="0.25">
      <c r="A30" t="s">
        <v>1095</v>
      </c>
      <c r="B30">
        <v>-1.37</v>
      </c>
      <c r="C30" t="s">
        <v>385</v>
      </c>
      <c r="D30" t="s">
        <v>388</v>
      </c>
      <c r="E30" t="s">
        <v>113</v>
      </c>
      <c r="F30" t="str">
        <f>VLOOKUP(E30, '[1]POS Categories'!$A$1:$B$999, 2, FALSE)</f>
        <v>Entertainment</v>
      </c>
    </row>
    <row r="31" spans="1:6" x14ac:dyDescent="0.25">
      <c r="A31" t="s">
        <v>1095</v>
      </c>
      <c r="B31">
        <v>-23.83</v>
      </c>
      <c r="C31" t="s">
        <v>385</v>
      </c>
      <c r="D31" t="s">
        <v>388</v>
      </c>
      <c r="E31" t="s">
        <v>747</v>
      </c>
      <c r="F31" t="str">
        <f>VLOOKUP(E31, '[1]POS Categories'!$A$1:$B$999, 2, FALSE)</f>
        <v>Food</v>
      </c>
    </row>
    <row r="32" spans="1:6" x14ac:dyDescent="0.25">
      <c r="A32" t="s">
        <v>1096</v>
      </c>
      <c r="B32">
        <v>-35</v>
      </c>
      <c r="C32" t="s">
        <v>385</v>
      </c>
      <c r="D32" t="s">
        <v>388</v>
      </c>
      <c r="E32" t="s">
        <v>1097</v>
      </c>
      <c r="F32" t="s">
        <v>1374</v>
      </c>
    </row>
    <row r="33" spans="1:6" x14ac:dyDescent="0.25">
      <c r="A33" t="s">
        <v>1096</v>
      </c>
      <c r="B33">
        <v>-5.2</v>
      </c>
      <c r="C33" t="s">
        <v>385</v>
      </c>
      <c r="D33" t="s">
        <v>388</v>
      </c>
      <c r="E33" t="s">
        <v>819</v>
      </c>
      <c r="F33" t="str">
        <f>VLOOKUP(E33, '[1]POS Categories'!$A$1:$B$999, 2, FALSE)</f>
        <v>Food</v>
      </c>
    </row>
    <row r="34" spans="1:6" x14ac:dyDescent="0.25">
      <c r="A34" t="s">
        <v>1096</v>
      </c>
      <c r="B34">
        <v>-14.07</v>
      </c>
      <c r="C34" t="s">
        <v>385</v>
      </c>
      <c r="D34" t="s">
        <v>388</v>
      </c>
      <c r="E34" t="s">
        <v>820</v>
      </c>
      <c r="F34" t="str">
        <f>VLOOKUP(E34, '[1]POS Categories'!$A$1:$B$999, 2, FALSE)</f>
        <v>Food</v>
      </c>
    </row>
    <row r="35" spans="1:6" x14ac:dyDescent="0.25">
      <c r="A35" t="s">
        <v>1098</v>
      </c>
      <c r="B35">
        <v>-78.36</v>
      </c>
      <c r="C35" t="s">
        <v>385</v>
      </c>
      <c r="D35" t="s">
        <v>388</v>
      </c>
      <c r="E35" t="s">
        <v>114</v>
      </c>
      <c r="F35" t="str">
        <f>VLOOKUP(E35, '[1]POS Categories'!$A$1:$B$999, 2, FALSE)</f>
        <v>Entertainment</v>
      </c>
    </row>
    <row r="36" spans="1:6" x14ac:dyDescent="0.25">
      <c r="A36" t="s">
        <v>1098</v>
      </c>
      <c r="B36">
        <v>-897.47</v>
      </c>
      <c r="C36" t="s">
        <v>385</v>
      </c>
      <c r="D36" t="s">
        <v>388</v>
      </c>
      <c r="E36" t="s">
        <v>115</v>
      </c>
      <c r="F36" t="str">
        <f>VLOOKUP(E36, '[1]POS Categories'!$A$1:$B$999, 2, FALSE)</f>
        <v>Education</v>
      </c>
    </row>
    <row r="37" spans="1:6" x14ac:dyDescent="0.25">
      <c r="A37" t="s">
        <v>1098</v>
      </c>
      <c r="B37">
        <v>-11.2</v>
      </c>
      <c r="C37" t="s">
        <v>385</v>
      </c>
      <c r="D37" t="s">
        <v>388</v>
      </c>
      <c r="E37" t="s">
        <v>820</v>
      </c>
      <c r="F37" t="str">
        <f>VLOOKUP(E37, '[1]POS Categories'!$A$1:$B$999, 2, FALSE)</f>
        <v>Food</v>
      </c>
    </row>
    <row r="38" spans="1:6" x14ac:dyDescent="0.25">
      <c r="A38" t="s">
        <v>1099</v>
      </c>
      <c r="B38">
        <v>-11.63</v>
      </c>
      <c r="C38" t="s">
        <v>385</v>
      </c>
      <c r="D38" t="s">
        <v>388</v>
      </c>
      <c r="E38" t="s">
        <v>827</v>
      </c>
      <c r="F38" t="str">
        <f>VLOOKUP(E38, '[1]POS Categories'!$A$1:$B$999, 2, FALSE)</f>
        <v>Food</v>
      </c>
    </row>
    <row r="39" spans="1:6" x14ac:dyDescent="0.25">
      <c r="A39" t="s">
        <v>1099</v>
      </c>
      <c r="B39">
        <v>-6.43</v>
      </c>
      <c r="C39" t="s">
        <v>385</v>
      </c>
      <c r="D39" t="s">
        <v>388</v>
      </c>
      <c r="E39" t="s">
        <v>819</v>
      </c>
      <c r="F39" t="str">
        <f>VLOOKUP(E39, '[1]POS Categories'!$A$1:$B$999, 2, FALSE)</f>
        <v>Food</v>
      </c>
    </row>
    <row r="40" spans="1:6" x14ac:dyDescent="0.25">
      <c r="A40" t="s">
        <v>1100</v>
      </c>
      <c r="B40">
        <v>-9.42</v>
      </c>
      <c r="C40" t="s">
        <v>385</v>
      </c>
      <c r="D40" t="s">
        <v>388</v>
      </c>
      <c r="E40" t="s">
        <v>747</v>
      </c>
      <c r="F40" t="str">
        <f>VLOOKUP(E40, '[1]POS Categories'!$A$1:$B$999, 2, FALSE)</f>
        <v>Food</v>
      </c>
    </row>
    <row r="41" spans="1:6" x14ac:dyDescent="0.25">
      <c r="A41" t="s">
        <v>1100</v>
      </c>
      <c r="B41">
        <v>-10.86</v>
      </c>
      <c r="C41" t="s">
        <v>385</v>
      </c>
      <c r="D41" t="s">
        <v>388</v>
      </c>
      <c r="E41" t="s">
        <v>820</v>
      </c>
      <c r="F41" t="str">
        <f>VLOOKUP(E41, '[1]POS Categories'!$A$1:$B$999, 2, FALSE)</f>
        <v>Food</v>
      </c>
    </row>
    <row r="42" spans="1:6" x14ac:dyDescent="0.25">
      <c r="A42" t="s">
        <v>1101</v>
      </c>
      <c r="B42">
        <v>-200</v>
      </c>
      <c r="C42" t="s">
        <v>385</v>
      </c>
      <c r="D42" t="s">
        <v>957</v>
      </c>
      <c r="F42" t="s">
        <v>45</v>
      </c>
    </row>
    <row r="43" spans="1:6" x14ac:dyDescent="0.25">
      <c r="A43" t="s">
        <v>1101</v>
      </c>
      <c r="B43">
        <v>-50.96</v>
      </c>
      <c r="C43" t="s">
        <v>385</v>
      </c>
      <c r="D43" t="s">
        <v>388</v>
      </c>
      <c r="E43" t="s">
        <v>798</v>
      </c>
      <c r="F43" t="str">
        <f>VLOOKUP(E43, '[1]POS Categories'!$A$1:$B$999, 2, FALSE)</f>
        <v>Vehicle</v>
      </c>
    </row>
    <row r="44" spans="1:6" x14ac:dyDescent="0.25">
      <c r="A44" t="s">
        <v>1101</v>
      </c>
      <c r="B44">
        <v>-14.07</v>
      </c>
      <c r="C44" t="s">
        <v>385</v>
      </c>
      <c r="D44" t="s">
        <v>388</v>
      </c>
      <c r="E44" t="s">
        <v>820</v>
      </c>
      <c r="F44" t="str">
        <f>VLOOKUP(E44, '[1]POS Categories'!$A$1:$B$999, 2, FALSE)</f>
        <v>Food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7"/>
  <sheetViews>
    <sheetView topLeftCell="A17" workbookViewId="0">
      <selection activeCell="G14" sqref="G14"/>
    </sheetView>
  </sheetViews>
  <sheetFormatPr defaultRowHeight="15" x14ac:dyDescent="0.25"/>
  <cols>
    <col min="4" max="4" width="21.5703125" bestFit="1" customWidth="1"/>
    <col min="5" max="5" width="36.140625" bestFit="1" customWidth="1"/>
  </cols>
  <sheetData>
    <row r="1" spans="1:6" x14ac:dyDescent="0.25">
      <c r="A1" t="s">
        <v>1102</v>
      </c>
      <c r="B1">
        <v>-1.5</v>
      </c>
      <c r="C1" t="s">
        <v>385</v>
      </c>
      <c r="D1" t="s">
        <v>743</v>
      </c>
      <c r="F1" t="s">
        <v>6</v>
      </c>
    </row>
    <row r="2" spans="1:6" x14ac:dyDescent="0.25">
      <c r="A2" t="s">
        <v>1102</v>
      </c>
      <c r="B2">
        <v>-102.75</v>
      </c>
      <c r="C2" t="s">
        <v>385</v>
      </c>
      <c r="D2" t="s">
        <v>957</v>
      </c>
      <c r="F2" t="s">
        <v>11</v>
      </c>
    </row>
    <row r="3" spans="1:6" x14ac:dyDescent="0.25">
      <c r="A3" t="s">
        <v>1102</v>
      </c>
      <c r="B3">
        <v>-5.2</v>
      </c>
      <c r="C3" t="s">
        <v>385</v>
      </c>
      <c r="D3" t="s">
        <v>388</v>
      </c>
      <c r="E3" t="s">
        <v>819</v>
      </c>
      <c r="F3" t="str">
        <f>VLOOKUP(E3, '[1]POS Categories'!$A$1:$B$999, 2, FALSE)</f>
        <v>Food</v>
      </c>
    </row>
    <row r="4" spans="1:6" x14ac:dyDescent="0.25">
      <c r="A4" t="s">
        <v>1102</v>
      </c>
      <c r="B4">
        <v>-13.4</v>
      </c>
      <c r="C4" t="s">
        <v>385</v>
      </c>
      <c r="D4" t="s">
        <v>388</v>
      </c>
      <c r="E4" t="s">
        <v>827</v>
      </c>
      <c r="F4" t="str">
        <f>VLOOKUP(E4, '[1]POS Categories'!$A$1:$B$999, 2, FALSE)</f>
        <v>Food</v>
      </c>
    </row>
    <row r="5" spans="1:6" x14ac:dyDescent="0.25">
      <c r="A5" t="s">
        <v>1103</v>
      </c>
      <c r="B5">
        <v>-11.09</v>
      </c>
      <c r="C5" t="s">
        <v>385</v>
      </c>
      <c r="D5" t="s">
        <v>388</v>
      </c>
      <c r="E5" t="s">
        <v>831</v>
      </c>
      <c r="F5" t="str">
        <f>VLOOKUP(E5, '[1]POS Categories'!$A$1:$B$999, 2, FALSE)</f>
        <v>Food</v>
      </c>
    </row>
    <row r="6" spans="1:6" x14ac:dyDescent="0.25">
      <c r="A6" t="s">
        <v>1103</v>
      </c>
      <c r="B6">
        <v>-3.12</v>
      </c>
      <c r="C6" t="s">
        <v>385</v>
      </c>
      <c r="D6" t="s">
        <v>388</v>
      </c>
      <c r="E6" t="s">
        <v>816</v>
      </c>
      <c r="F6" t="str">
        <f>VLOOKUP(E6, '[1]POS Categories'!$A$1:$B$999, 2, FALSE)</f>
        <v>Food</v>
      </c>
    </row>
    <row r="7" spans="1:6" x14ac:dyDescent="0.25">
      <c r="A7" t="s">
        <v>1103</v>
      </c>
      <c r="B7">
        <v>1.38</v>
      </c>
      <c r="C7" t="s">
        <v>385</v>
      </c>
      <c r="D7" t="s">
        <v>430</v>
      </c>
      <c r="E7" s="20">
        <v>589144025222752</v>
      </c>
      <c r="F7" t="s">
        <v>1199</v>
      </c>
    </row>
    <row r="8" spans="1:6" x14ac:dyDescent="0.25">
      <c r="A8" t="s">
        <v>1103</v>
      </c>
      <c r="B8">
        <v>1704.24</v>
      </c>
      <c r="C8" t="s">
        <v>385</v>
      </c>
      <c r="D8" t="s">
        <v>386</v>
      </c>
      <c r="E8" t="s">
        <v>786</v>
      </c>
      <c r="F8" t="str">
        <f>VLOOKUP(E8, '[1]POS Categories'!$A$1:$B$999, 2, FALSE)</f>
        <v>Job</v>
      </c>
    </row>
    <row r="9" spans="1:6" x14ac:dyDescent="0.25">
      <c r="A9" t="s">
        <v>1104</v>
      </c>
      <c r="B9">
        <v>-25.49</v>
      </c>
      <c r="C9" t="s">
        <v>385</v>
      </c>
      <c r="D9" t="s">
        <v>388</v>
      </c>
      <c r="E9" t="s">
        <v>22</v>
      </c>
      <c r="F9" t="str">
        <f>VLOOKUP(E9, '[1]POS Categories'!$A$1:$B$999, 2, FALSE)</f>
        <v>Entertainment</v>
      </c>
    </row>
    <row r="10" spans="1:6" x14ac:dyDescent="0.25">
      <c r="A10" t="s">
        <v>1104</v>
      </c>
      <c r="B10">
        <v>-10.86</v>
      </c>
      <c r="C10" t="s">
        <v>385</v>
      </c>
      <c r="D10" t="s">
        <v>388</v>
      </c>
      <c r="E10" t="s">
        <v>820</v>
      </c>
      <c r="F10" t="str">
        <f>VLOOKUP(E10, '[1]POS Categories'!$A$1:$B$999, 2, FALSE)</f>
        <v>Food</v>
      </c>
    </row>
    <row r="11" spans="1:6" x14ac:dyDescent="0.25">
      <c r="A11" t="s">
        <v>1105</v>
      </c>
      <c r="B11">
        <v>-20.76</v>
      </c>
      <c r="C11" t="s">
        <v>385</v>
      </c>
      <c r="D11" t="s">
        <v>400</v>
      </c>
      <c r="E11" t="s">
        <v>401</v>
      </c>
      <c r="F11" t="str">
        <f>VLOOKUP(E11, '[1]POS Categories'!$A$1:$B$999, 2, FALSE)</f>
        <v>Misc</v>
      </c>
    </row>
    <row r="12" spans="1:6" x14ac:dyDescent="0.25">
      <c r="A12" t="s">
        <v>1105</v>
      </c>
      <c r="B12">
        <v>-12.1</v>
      </c>
      <c r="C12" t="s">
        <v>385</v>
      </c>
      <c r="D12" t="s">
        <v>388</v>
      </c>
      <c r="E12" t="s">
        <v>827</v>
      </c>
      <c r="F12" t="str">
        <f>VLOOKUP(E12, '[1]POS Categories'!$A$1:$B$999, 2, FALSE)</f>
        <v>Food</v>
      </c>
    </row>
    <row r="13" spans="1:6" x14ac:dyDescent="0.25">
      <c r="A13" t="s">
        <v>1106</v>
      </c>
      <c r="B13">
        <v>-10.96</v>
      </c>
      <c r="C13" t="s">
        <v>385</v>
      </c>
      <c r="D13" t="s">
        <v>388</v>
      </c>
      <c r="E13" t="s">
        <v>820</v>
      </c>
      <c r="F13" t="str">
        <f>VLOOKUP(E13, '[1]POS Categories'!$A$1:$B$999, 2, FALSE)</f>
        <v>Food</v>
      </c>
    </row>
    <row r="14" spans="1:6" x14ac:dyDescent="0.25">
      <c r="A14" t="s">
        <v>1107</v>
      </c>
      <c r="B14">
        <v>-12.2</v>
      </c>
      <c r="C14" t="s">
        <v>385</v>
      </c>
      <c r="D14" t="s">
        <v>388</v>
      </c>
      <c r="E14" t="s">
        <v>92</v>
      </c>
      <c r="F14" t="str">
        <f>VLOOKUP(E14, '[1]POS Categories'!$A$1:$B$999, 2, FALSE)</f>
        <v>Food</v>
      </c>
    </row>
    <row r="15" spans="1:6" x14ac:dyDescent="0.25">
      <c r="A15" t="s">
        <v>1107</v>
      </c>
      <c r="B15">
        <v>-12.85</v>
      </c>
      <c r="C15" t="s">
        <v>385</v>
      </c>
      <c r="D15" t="s">
        <v>388</v>
      </c>
      <c r="E15" t="s">
        <v>820</v>
      </c>
      <c r="F15" t="str">
        <f>VLOOKUP(E15, '[1]POS Categories'!$A$1:$B$999, 2, FALSE)</f>
        <v>Food</v>
      </c>
    </row>
    <row r="16" spans="1:6" x14ac:dyDescent="0.25">
      <c r="A16" t="s">
        <v>1107</v>
      </c>
      <c r="B16">
        <v>-13.06</v>
      </c>
      <c r="C16" t="s">
        <v>385</v>
      </c>
      <c r="D16" t="s">
        <v>388</v>
      </c>
      <c r="E16" t="s">
        <v>22</v>
      </c>
      <c r="F16" t="str">
        <f>VLOOKUP(E16, '[1]POS Categories'!$A$1:$B$999, 2, FALSE)</f>
        <v>Entertainment</v>
      </c>
    </row>
    <row r="17" spans="1:6" x14ac:dyDescent="0.25">
      <c r="A17" t="s">
        <v>1108</v>
      </c>
      <c r="B17">
        <v>-1.38</v>
      </c>
      <c r="C17" t="s">
        <v>385</v>
      </c>
      <c r="D17" t="s">
        <v>388</v>
      </c>
      <c r="E17" t="s">
        <v>113</v>
      </c>
      <c r="F17" t="str">
        <f>VLOOKUP(E17, '[1]POS Categories'!$A$1:$B$999, 2, FALSE)</f>
        <v>Entertainment</v>
      </c>
    </row>
    <row r="18" spans="1:6" x14ac:dyDescent="0.25">
      <c r="A18" t="s">
        <v>1108</v>
      </c>
      <c r="B18">
        <v>-7.5</v>
      </c>
      <c r="C18" t="s">
        <v>385</v>
      </c>
      <c r="D18" t="s">
        <v>388</v>
      </c>
      <c r="E18" t="s">
        <v>117</v>
      </c>
      <c r="F18" t="str">
        <f>VLOOKUP(E18, '[1]POS Categories'!$A$1:$B$999, 2, FALSE)</f>
        <v>Food</v>
      </c>
    </row>
    <row r="19" spans="1:6" x14ac:dyDescent="0.25">
      <c r="A19" t="s">
        <v>1108</v>
      </c>
      <c r="B19">
        <v>-11.98</v>
      </c>
      <c r="C19" t="s">
        <v>385</v>
      </c>
      <c r="D19" t="s">
        <v>388</v>
      </c>
      <c r="E19" t="s">
        <v>820</v>
      </c>
      <c r="F19" t="str">
        <f>VLOOKUP(E19, '[1]POS Categories'!$A$1:$B$999, 2, FALSE)</f>
        <v>Food</v>
      </c>
    </row>
    <row r="20" spans="1:6" x14ac:dyDescent="0.25">
      <c r="A20" t="s">
        <v>1109</v>
      </c>
      <c r="B20">
        <v>936.25</v>
      </c>
      <c r="C20" t="s">
        <v>385</v>
      </c>
      <c r="D20" t="s">
        <v>467</v>
      </c>
      <c r="E20" t="s">
        <v>637</v>
      </c>
      <c r="F20" t="str">
        <f>VLOOKUP(E20, '[1]POS Categories'!$A$1:$B$999, 2, FALSE)</f>
        <v>Misc</v>
      </c>
    </row>
    <row r="21" spans="1:6" x14ac:dyDescent="0.25">
      <c r="A21" t="s">
        <v>1109</v>
      </c>
      <c r="B21">
        <v>-15.47</v>
      </c>
      <c r="C21" t="s">
        <v>385</v>
      </c>
      <c r="D21" t="s">
        <v>388</v>
      </c>
      <c r="E21" t="s">
        <v>57</v>
      </c>
      <c r="F21" t="str">
        <f>VLOOKUP(E21, '[1]POS Categories'!$A$1:$B$999, 2, FALSE)</f>
        <v>Food</v>
      </c>
    </row>
    <row r="22" spans="1:6" x14ac:dyDescent="0.25">
      <c r="A22" t="s">
        <v>1109</v>
      </c>
      <c r="B22">
        <v>-6.43</v>
      </c>
      <c r="C22" t="s">
        <v>385</v>
      </c>
      <c r="D22" t="s">
        <v>388</v>
      </c>
      <c r="E22" t="s">
        <v>819</v>
      </c>
      <c r="F22" t="str">
        <f>VLOOKUP(E22, '[1]POS Categories'!$A$1:$B$999, 2, FALSE)</f>
        <v>Food</v>
      </c>
    </row>
    <row r="23" spans="1:6" x14ac:dyDescent="0.25">
      <c r="A23" t="s">
        <v>1110</v>
      </c>
      <c r="B23">
        <v>-13.4</v>
      </c>
      <c r="C23" t="s">
        <v>385</v>
      </c>
      <c r="D23" t="s">
        <v>388</v>
      </c>
      <c r="E23" t="s">
        <v>827</v>
      </c>
      <c r="F23" t="str">
        <f>VLOOKUP(E23, '[1]POS Categories'!$A$1:$B$999, 2, FALSE)</f>
        <v>Food</v>
      </c>
    </row>
    <row r="24" spans="1:6" x14ac:dyDescent="0.25">
      <c r="A24" t="s">
        <v>1110</v>
      </c>
      <c r="B24">
        <v>-26.26</v>
      </c>
      <c r="C24" t="s">
        <v>385</v>
      </c>
      <c r="D24" t="s">
        <v>388</v>
      </c>
      <c r="E24" t="s">
        <v>804</v>
      </c>
      <c r="F24" t="str">
        <f>VLOOKUP(E24, '[1]POS Categories'!$A$1:$B$999, 2, FALSE)</f>
        <v>Food</v>
      </c>
    </row>
    <row r="25" spans="1:6" x14ac:dyDescent="0.25">
      <c r="A25" t="s">
        <v>1110</v>
      </c>
      <c r="B25">
        <v>-8.85</v>
      </c>
      <c r="C25" t="s">
        <v>385</v>
      </c>
      <c r="D25" t="s">
        <v>388</v>
      </c>
      <c r="E25" t="s">
        <v>696</v>
      </c>
      <c r="F25" t="str">
        <f>VLOOKUP(E25, '[1]POS Categories'!$A$1:$B$999, 2, FALSE)</f>
        <v>Food</v>
      </c>
    </row>
    <row r="26" spans="1:6" x14ac:dyDescent="0.25">
      <c r="A26" t="s">
        <v>1110</v>
      </c>
      <c r="B26">
        <v>-18.5</v>
      </c>
      <c r="C26" t="s">
        <v>385</v>
      </c>
      <c r="D26" t="s">
        <v>388</v>
      </c>
      <c r="E26" t="s">
        <v>747</v>
      </c>
      <c r="F26" t="str">
        <f>VLOOKUP(E26, '[1]POS Categories'!$A$1:$B$999, 2, FALSE)</f>
        <v>Food</v>
      </c>
    </row>
    <row r="27" spans="1:6" x14ac:dyDescent="0.25">
      <c r="A27" t="s">
        <v>1111</v>
      </c>
      <c r="B27">
        <v>-12.3</v>
      </c>
      <c r="C27" t="s">
        <v>385</v>
      </c>
      <c r="D27" t="s">
        <v>388</v>
      </c>
      <c r="E27" t="s">
        <v>827</v>
      </c>
      <c r="F27" t="str">
        <f>VLOOKUP(E27, '[1]POS Categories'!$A$1:$B$999, 2, FALSE)</f>
        <v>Food</v>
      </c>
    </row>
    <row r="28" spans="1:6" x14ac:dyDescent="0.25">
      <c r="A28" t="s">
        <v>1112</v>
      </c>
      <c r="B28">
        <v>-12.85</v>
      </c>
      <c r="C28" t="s">
        <v>385</v>
      </c>
      <c r="D28" t="s">
        <v>388</v>
      </c>
      <c r="E28" t="s">
        <v>820</v>
      </c>
      <c r="F28" t="str">
        <f>VLOOKUP(E28, '[1]POS Categories'!$A$1:$B$999, 2, FALSE)</f>
        <v>Food</v>
      </c>
    </row>
    <row r="29" spans="1:6" x14ac:dyDescent="0.25">
      <c r="A29" t="s">
        <v>1113</v>
      </c>
      <c r="B29">
        <v>-12.1</v>
      </c>
      <c r="C29" t="s">
        <v>385</v>
      </c>
      <c r="D29" t="s">
        <v>388</v>
      </c>
      <c r="E29" t="s">
        <v>827</v>
      </c>
      <c r="F29" t="str">
        <f>VLOOKUP(E29, '[1]POS Categories'!$A$1:$B$999, 2, FALSE)</f>
        <v>Food</v>
      </c>
    </row>
    <row r="30" spans="1:6" x14ac:dyDescent="0.25">
      <c r="A30" t="s">
        <v>1114</v>
      </c>
      <c r="B30">
        <v>-14.07</v>
      </c>
      <c r="C30" t="s">
        <v>385</v>
      </c>
      <c r="D30" t="s">
        <v>388</v>
      </c>
      <c r="E30" t="s">
        <v>820</v>
      </c>
      <c r="F30" t="str">
        <f>VLOOKUP(E30, '[1]POS Categories'!$A$1:$B$999, 2, FALSE)</f>
        <v>Food</v>
      </c>
    </row>
    <row r="31" spans="1:6" x14ac:dyDescent="0.25">
      <c r="A31" t="s">
        <v>1115</v>
      </c>
      <c r="B31">
        <v>-14.07</v>
      </c>
      <c r="C31" t="s">
        <v>385</v>
      </c>
      <c r="D31" t="s">
        <v>388</v>
      </c>
      <c r="E31" t="s">
        <v>820</v>
      </c>
      <c r="F31" t="str">
        <f>VLOOKUP(E31, '[1]POS Categories'!$A$1:$B$999, 2, FALSE)</f>
        <v>Food</v>
      </c>
    </row>
    <row r="32" spans="1:6" x14ac:dyDescent="0.25">
      <c r="A32" t="s">
        <v>1115</v>
      </c>
      <c r="B32">
        <v>-30.44</v>
      </c>
      <c r="C32" t="s">
        <v>385</v>
      </c>
      <c r="D32" t="s">
        <v>388</v>
      </c>
      <c r="E32" t="s">
        <v>57</v>
      </c>
      <c r="F32" t="str">
        <f>VLOOKUP(E32, '[1]POS Categories'!$A$1:$B$999, 2, FALSE)</f>
        <v>Food</v>
      </c>
    </row>
    <row r="33" spans="1:6" x14ac:dyDescent="0.25">
      <c r="A33" t="s">
        <v>1116</v>
      </c>
      <c r="B33">
        <v>-11.85</v>
      </c>
      <c r="C33" t="s">
        <v>385</v>
      </c>
      <c r="D33" t="s">
        <v>388</v>
      </c>
      <c r="E33" t="s">
        <v>747</v>
      </c>
      <c r="F33" t="str">
        <f>VLOOKUP(E33, '[1]POS Categories'!$A$1:$B$999, 2, FALSE)</f>
        <v>Food</v>
      </c>
    </row>
    <row r="34" spans="1:6" x14ac:dyDescent="0.25">
      <c r="A34" t="s">
        <v>1117</v>
      </c>
      <c r="B34">
        <v>-17.07</v>
      </c>
      <c r="C34" t="s">
        <v>385</v>
      </c>
      <c r="D34" t="s">
        <v>388</v>
      </c>
      <c r="E34" t="s">
        <v>747</v>
      </c>
      <c r="F34" t="str">
        <f>VLOOKUP(E34, '[1]POS Categories'!$A$1:$B$999, 2, FALSE)</f>
        <v>Food</v>
      </c>
    </row>
    <row r="35" spans="1:6" x14ac:dyDescent="0.25">
      <c r="A35" t="s">
        <v>1117</v>
      </c>
      <c r="B35">
        <v>-41.29</v>
      </c>
      <c r="C35" t="s">
        <v>385</v>
      </c>
      <c r="D35" t="s">
        <v>388</v>
      </c>
      <c r="E35" t="s">
        <v>118</v>
      </c>
      <c r="F35" t="str">
        <f>VLOOKUP(E35, '[1]POS Categories'!$A$1:$B$999, 2, FALSE)</f>
        <v>Food</v>
      </c>
    </row>
    <row r="36" spans="1:6" x14ac:dyDescent="0.25">
      <c r="A36" t="s">
        <v>1118</v>
      </c>
      <c r="B36">
        <v>-20.13</v>
      </c>
      <c r="C36" t="s">
        <v>385</v>
      </c>
      <c r="D36" t="s">
        <v>388</v>
      </c>
      <c r="E36" t="s">
        <v>57</v>
      </c>
      <c r="F36" t="str">
        <f>VLOOKUP(E36, '[1]POS Categories'!$A$1:$B$999, 2, FALSE)</f>
        <v>Food</v>
      </c>
    </row>
    <row r="37" spans="1:6" x14ac:dyDescent="0.25">
      <c r="A37" t="s">
        <v>1119</v>
      </c>
      <c r="B37">
        <v>-6.16</v>
      </c>
      <c r="C37" t="s">
        <v>385</v>
      </c>
      <c r="D37" t="s">
        <v>388</v>
      </c>
      <c r="E37" t="s">
        <v>119</v>
      </c>
      <c r="F37" t="str">
        <f>VLOOKUP(E37, '[1]POS Categories'!$A$1:$B$999, 2, FALSE)</f>
        <v>Personal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1"/>
  <sheetViews>
    <sheetView workbookViewId="0">
      <selection activeCell="F2" sqref="F2"/>
    </sheetView>
  </sheetViews>
  <sheetFormatPr defaultRowHeight="15" x14ac:dyDescent="0.25"/>
  <cols>
    <col min="5" max="5" width="36.140625" bestFit="1" customWidth="1"/>
  </cols>
  <sheetData>
    <row r="1" spans="1:6" x14ac:dyDescent="0.25">
      <c r="A1" t="s">
        <v>1120</v>
      </c>
      <c r="B1">
        <v>-29.93</v>
      </c>
      <c r="C1" t="s">
        <v>385</v>
      </c>
      <c r="D1" t="s">
        <v>388</v>
      </c>
      <c r="E1" t="s">
        <v>120</v>
      </c>
      <c r="F1" t="str">
        <f>VLOOKUP(E1, '[1]POS Categories'!$A$1:$B$999, 2, FALSE)</f>
        <v>Food</v>
      </c>
    </row>
    <row r="2" spans="1:6" x14ac:dyDescent="0.25">
      <c r="A2" t="s">
        <v>1120</v>
      </c>
      <c r="B2">
        <v>-10.25</v>
      </c>
      <c r="C2" t="s">
        <v>385</v>
      </c>
      <c r="D2" t="s">
        <v>388</v>
      </c>
      <c r="E2" t="s">
        <v>89</v>
      </c>
      <c r="F2" t="str">
        <f>VLOOKUP(E2, '[1]POS Categories'!$A$1:$B$999, 2, FALSE)</f>
        <v>Food</v>
      </c>
    </row>
    <row r="3" spans="1:6" x14ac:dyDescent="0.25">
      <c r="A3" t="s">
        <v>1121</v>
      </c>
      <c r="B3">
        <v>-44.72</v>
      </c>
      <c r="C3" t="s">
        <v>385</v>
      </c>
      <c r="D3" t="s">
        <v>388</v>
      </c>
      <c r="E3" t="s">
        <v>24</v>
      </c>
      <c r="F3" t="str">
        <f>VLOOKUP(E3, '[1]POS Categories'!$A$1:$B$999, 2, FALSE)</f>
        <v>Food</v>
      </c>
    </row>
    <row r="4" spans="1:6" x14ac:dyDescent="0.25">
      <c r="A4" t="s">
        <v>1122</v>
      </c>
      <c r="B4">
        <v>-13.63</v>
      </c>
      <c r="C4" t="s">
        <v>385</v>
      </c>
      <c r="D4" t="s">
        <v>388</v>
      </c>
      <c r="E4" t="s">
        <v>747</v>
      </c>
      <c r="F4" t="str">
        <f>VLOOKUP(E4, '[1]POS Categories'!$A$1:$B$999, 2, FALSE)</f>
        <v>Food</v>
      </c>
    </row>
    <row r="5" spans="1:6" x14ac:dyDescent="0.25">
      <c r="A5" t="s">
        <v>1123</v>
      </c>
      <c r="B5">
        <v>-23.52</v>
      </c>
      <c r="C5" t="s">
        <v>385</v>
      </c>
      <c r="D5" t="s">
        <v>388</v>
      </c>
      <c r="E5" t="s">
        <v>57</v>
      </c>
      <c r="F5" t="str">
        <f>VLOOKUP(E5, '[1]POS Categories'!$A$1:$B$999, 2, FALSE)</f>
        <v>Food</v>
      </c>
    </row>
    <row r="6" spans="1:6" x14ac:dyDescent="0.25">
      <c r="A6" t="s">
        <v>1124</v>
      </c>
      <c r="B6">
        <v>-88.73</v>
      </c>
      <c r="C6" t="s">
        <v>385</v>
      </c>
      <c r="D6" t="s">
        <v>400</v>
      </c>
      <c r="E6" t="s">
        <v>401</v>
      </c>
      <c r="F6" t="str">
        <f>VLOOKUP(E6, '[1]POS Categories'!$A$1:$B$999, 2, FALSE)</f>
        <v>Misc</v>
      </c>
    </row>
    <row r="7" spans="1:6" x14ac:dyDescent="0.25">
      <c r="A7" t="s">
        <v>1124</v>
      </c>
      <c r="B7">
        <v>411.63</v>
      </c>
      <c r="C7" t="s">
        <v>385</v>
      </c>
      <c r="D7" t="s">
        <v>467</v>
      </c>
      <c r="E7" t="s">
        <v>637</v>
      </c>
      <c r="F7" t="str">
        <f>VLOOKUP(E7, '[1]POS Categories'!$A$1:$B$999, 2, FALSE)</f>
        <v>Misc</v>
      </c>
    </row>
    <row r="8" spans="1:6" x14ac:dyDescent="0.25">
      <c r="A8" t="s">
        <v>1124</v>
      </c>
      <c r="B8">
        <v>194.75</v>
      </c>
      <c r="C8" t="s">
        <v>385</v>
      </c>
      <c r="D8" t="s">
        <v>467</v>
      </c>
      <c r="E8" t="s">
        <v>637</v>
      </c>
      <c r="F8" t="str">
        <f>VLOOKUP(E8, '[1]POS Categories'!$A$1:$B$999, 2, FALSE)</f>
        <v>Misc</v>
      </c>
    </row>
    <row r="9" spans="1:6" x14ac:dyDescent="0.25">
      <c r="A9" t="s">
        <v>1125</v>
      </c>
      <c r="B9">
        <v>-7.22</v>
      </c>
      <c r="C9" t="s">
        <v>385</v>
      </c>
      <c r="D9" t="s">
        <v>388</v>
      </c>
      <c r="E9" t="s">
        <v>109</v>
      </c>
      <c r="F9" t="str">
        <f>VLOOKUP(E9, '[1]POS Categories'!$A$1:$B$999, 2, FALSE)</f>
        <v>Personal</v>
      </c>
    </row>
    <row r="10" spans="1:6" x14ac:dyDescent="0.25">
      <c r="A10" t="s">
        <v>1125</v>
      </c>
      <c r="B10">
        <v>-15.96</v>
      </c>
      <c r="C10" t="s">
        <v>385</v>
      </c>
      <c r="D10" t="s">
        <v>388</v>
      </c>
      <c r="E10" t="s">
        <v>26</v>
      </c>
      <c r="F10" t="str">
        <f>VLOOKUP(E10, '[1]POS Categories'!$A$1:$B$999, 2, FALSE)</f>
        <v>Food</v>
      </c>
    </row>
    <row r="11" spans="1:6" x14ac:dyDescent="0.25">
      <c r="A11" t="s">
        <v>1126</v>
      </c>
      <c r="B11">
        <v>-5.75</v>
      </c>
      <c r="C11" t="s">
        <v>385</v>
      </c>
      <c r="D11" t="s">
        <v>388</v>
      </c>
      <c r="E11" t="s">
        <v>696</v>
      </c>
      <c r="F11" t="str">
        <f>VLOOKUP(E11, '[1]POS Categories'!$A$1:$B$999, 2, FALSE)</f>
        <v>Food</v>
      </c>
    </row>
    <row r="12" spans="1:6" x14ac:dyDescent="0.25">
      <c r="A12" t="s">
        <v>1126</v>
      </c>
      <c r="B12">
        <v>-8.0299999999999994</v>
      </c>
      <c r="C12" t="s">
        <v>385</v>
      </c>
      <c r="D12" t="s">
        <v>388</v>
      </c>
      <c r="E12" t="s">
        <v>121</v>
      </c>
      <c r="F12" t="str">
        <f>VLOOKUP(E12, '[1]POS Categories'!$A$1:$B$999, 2, FALSE)</f>
        <v>Food</v>
      </c>
    </row>
    <row r="13" spans="1:6" x14ac:dyDescent="0.25">
      <c r="A13" t="s">
        <v>1127</v>
      </c>
      <c r="B13">
        <v>-21.75</v>
      </c>
      <c r="C13" t="s">
        <v>385</v>
      </c>
      <c r="D13" t="s">
        <v>388</v>
      </c>
      <c r="E13" t="s">
        <v>696</v>
      </c>
      <c r="F13" t="str">
        <f>VLOOKUP(E13, '[1]POS Categories'!$A$1:$B$999, 2, FALSE)</f>
        <v>Food</v>
      </c>
    </row>
    <row r="14" spans="1:6" x14ac:dyDescent="0.25">
      <c r="A14" t="s">
        <v>1128</v>
      </c>
      <c r="B14">
        <v>-22</v>
      </c>
      <c r="C14" t="s">
        <v>385</v>
      </c>
      <c r="D14" t="s">
        <v>388</v>
      </c>
      <c r="E14" t="s">
        <v>58</v>
      </c>
      <c r="F14" t="str">
        <f>VLOOKUP(E14, '[1]POS Categories'!$A$1:$B$999, 2, FALSE)</f>
        <v>Personal</v>
      </c>
    </row>
    <row r="15" spans="1:6" x14ac:dyDescent="0.25">
      <c r="A15" t="s">
        <v>1128</v>
      </c>
      <c r="B15">
        <v>-15.6</v>
      </c>
      <c r="C15" t="s">
        <v>385</v>
      </c>
      <c r="D15" t="s">
        <v>388</v>
      </c>
      <c r="E15" t="s">
        <v>28</v>
      </c>
      <c r="F15" t="str">
        <f>VLOOKUP(E15, '[1]POS Categories'!$A$1:$B$999, 2, FALSE)</f>
        <v>Food</v>
      </c>
    </row>
    <row r="16" spans="1:6" x14ac:dyDescent="0.25">
      <c r="A16" t="s">
        <v>1128</v>
      </c>
      <c r="B16">
        <v>-15.96</v>
      </c>
      <c r="C16" t="s">
        <v>385</v>
      </c>
      <c r="D16" t="s">
        <v>388</v>
      </c>
      <c r="E16" t="s">
        <v>26</v>
      </c>
      <c r="F16" t="str">
        <f>VLOOKUP(E16, '[1]POS Categories'!$A$1:$B$999, 2, FALSE)</f>
        <v>Food</v>
      </c>
    </row>
    <row r="17" spans="1:6" x14ac:dyDescent="0.25">
      <c r="A17" t="s">
        <v>1129</v>
      </c>
      <c r="B17">
        <v>-14.85</v>
      </c>
      <c r="C17" t="s">
        <v>385</v>
      </c>
      <c r="D17" t="s">
        <v>388</v>
      </c>
      <c r="E17" t="s">
        <v>804</v>
      </c>
      <c r="F17" t="str">
        <f>VLOOKUP(E17, '[1]POS Categories'!$A$1:$B$999, 2, FALSE)</f>
        <v>Food</v>
      </c>
    </row>
    <row r="18" spans="1:6" x14ac:dyDescent="0.25">
      <c r="A18" t="s">
        <v>1130</v>
      </c>
      <c r="B18">
        <v>-11.7</v>
      </c>
      <c r="C18" t="s">
        <v>385</v>
      </c>
      <c r="D18" t="s">
        <v>388</v>
      </c>
      <c r="E18" t="s">
        <v>121</v>
      </c>
      <c r="F18" t="str">
        <f>VLOOKUP(E18, '[1]POS Categories'!$A$1:$B$999, 2, FALSE)</f>
        <v>Food</v>
      </c>
    </row>
    <row r="19" spans="1:6" x14ac:dyDescent="0.25">
      <c r="A19" t="s">
        <v>1131</v>
      </c>
      <c r="B19">
        <v>-13.63</v>
      </c>
      <c r="C19" t="s">
        <v>385</v>
      </c>
      <c r="D19" t="s">
        <v>388</v>
      </c>
      <c r="E19" t="s">
        <v>747</v>
      </c>
      <c r="F19" t="str">
        <f>VLOOKUP(E19, '[1]POS Categories'!$A$1:$B$999, 2, FALSE)</f>
        <v>Food</v>
      </c>
    </row>
    <row r="20" spans="1:6" x14ac:dyDescent="0.25">
      <c r="A20" t="s">
        <v>1132</v>
      </c>
      <c r="B20">
        <v>-13.6</v>
      </c>
      <c r="C20" t="s">
        <v>385</v>
      </c>
      <c r="D20" t="s">
        <v>388</v>
      </c>
      <c r="E20" t="s">
        <v>122</v>
      </c>
      <c r="F20" t="str">
        <f>VLOOKUP(E20, '[1]POS Categories'!$A$1:$B$999, 2, FALSE)</f>
        <v>Food</v>
      </c>
    </row>
    <row r="21" spans="1:6" x14ac:dyDescent="0.25">
      <c r="A21" t="s">
        <v>1132</v>
      </c>
      <c r="B21">
        <v>-11.24</v>
      </c>
      <c r="C21" t="s">
        <v>385</v>
      </c>
      <c r="D21" t="s">
        <v>388</v>
      </c>
      <c r="E21" t="s">
        <v>89</v>
      </c>
      <c r="F21" t="str">
        <f>VLOOKUP(E21, '[1]POS Categories'!$A$1:$B$999, 2, FALSE)</f>
        <v>Food</v>
      </c>
    </row>
    <row r="22" spans="1:6" x14ac:dyDescent="0.25">
      <c r="A22" t="s">
        <v>1132</v>
      </c>
      <c r="B22">
        <v>-10.99</v>
      </c>
      <c r="C22" t="s">
        <v>385</v>
      </c>
      <c r="D22" t="s">
        <v>388</v>
      </c>
      <c r="E22" t="s">
        <v>22</v>
      </c>
      <c r="F22" t="str">
        <f>VLOOKUP(E22, '[1]POS Categories'!$A$1:$B$999, 2, FALSE)</f>
        <v>Entertainment</v>
      </c>
    </row>
    <row r="23" spans="1:6" x14ac:dyDescent="0.25">
      <c r="A23" t="s">
        <v>1132</v>
      </c>
      <c r="B23">
        <v>-9.42</v>
      </c>
      <c r="C23" t="s">
        <v>385</v>
      </c>
      <c r="D23" t="s">
        <v>388</v>
      </c>
      <c r="E23" t="s">
        <v>747</v>
      </c>
      <c r="F23" t="str">
        <f>VLOOKUP(E23, '[1]POS Categories'!$A$1:$B$999, 2, FALSE)</f>
        <v>Food</v>
      </c>
    </row>
    <row r="24" spans="1:6" x14ac:dyDescent="0.25">
      <c r="A24" t="s">
        <v>1133</v>
      </c>
      <c r="B24">
        <v>-5.39</v>
      </c>
      <c r="C24" t="s">
        <v>385</v>
      </c>
      <c r="D24" t="s">
        <v>388</v>
      </c>
      <c r="E24" t="s">
        <v>123</v>
      </c>
      <c r="F24" t="str">
        <f>VLOOKUP(E24, '[1]POS Categories'!$A$1:$B$999, 2, FALSE)</f>
        <v>Food</v>
      </c>
    </row>
    <row r="25" spans="1:6" x14ac:dyDescent="0.25">
      <c r="A25" t="s">
        <v>1133</v>
      </c>
      <c r="B25">
        <v>-11.7</v>
      </c>
      <c r="C25" t="s">
        <v>385</v>
      </c>
      <c r="D25" t="s">
        <v>388</v>
      </c>
      <c r="E25" t="s">
        <v>121</v>
      </c>
      <c r="F25" t="str">
        <f>VLOOKUP(E25, '[1]POS Categories'!$A$1:$B$999, 2, FALSE)</f>
        <v>Food</v>
      </c>
    </row>
    <row r="26" spans="1:6" x14ac:dyDescent="0.25">
      <c r="A26" t="s">
        <v>1134</v>
      </c>
      <c r="B26">
        <v>-9.69</v>
      </c>
      <c r="C26" t="s">
        <v>385</v>
      </c>
      <c r="D26" t="s">
        <v>388</v>
      </c>
      <c r="E26" t="s">
        <v>124</v>
      </c>
      <c r="F26" t="str">
        <f>VLOOKUP(E26, '[1]POS Categories'!$A$1:$B$999, 2, FALSE)</f>
        <v>Food</v>
      </c>
    </row>
    <row r="27" spans="1:6" x14ac:dyDescent="0.25">
      <c r="A27" t="s">
        <v>1135</v>
      </c>
      <c r="B27">
        <v>-50</v>
      </c>
      <c r="C27" t="s">
        <v>385</v>
      </c>
      <c r="D27" t="s">
        <v>388</v>
      </c>
      <c r="E27" t="s">
        <v>798</v>
      </c>
      <c r="F27" t="str">
        <f>VLOOKUP(E27, '[1]POS Categories'!$A$1:$B$999, 2, FALSE)</f>
        <v>Vehicle</v>
      </c>
    </row>
    <row r="28" spans="1:6" x14ac:dyDescent="0.25">
      <c r="A28" t="s">
        <v>1135</v>
      </c>
      <c r="B28">
        <v>-4</v>
      </c>
      <c r="C28" t="s">
        <v>385</v>
      </c>
      <c r="D28" t="s">
        <v>388</v>
      </c>
      <c r="E28" t="s">
        <v>67</v>
      </c>
      <c r="F28" t="str">
        <f>VLOOKUP(E28, '[1]POS Categories'!$A$1:$B$999, 2, FALSE)</f>
        <v>Misc</v>
      </c>
    </row>
    <row r="29" spans="1:6" x14ac:dyDescent="0.25">
      <c r="A29" t="s">
        <v>1135</v>
      </c>
      <c r="B29">
        <v>-14.07</v>
      </c>
      <c r="C29" t="s">
        <v>385</v>
      </c>
      <c r="D29" t="s">
        <v>388</v>
      </c>
      <c r="E29" t="s">
        <v>820</v>
      </c>
      <c r="F29" t="str">
        <f>VLOOKUP(E29, '[1]POS Categories'!$A$1:$B$999, 2, FALSE)</f>
        <v>Food</v>
      </c>
    </row>
    <row r="30" spans="1:6" x14ac:dyDescent="0.25">
      <c r="A30" t="s">
        <v>1136</v>
      </c>
      <c r="B30">
        <v>-11.7</v>
      </c>
      <c r="C30" t="s">
        <v>385</v>
      </c>
      <c r="D30" t="s">
        <v>388</v>
      </c>
      <c r="E30" t="s">
        <v>121</v>
      </c>
      <c r="F30" t="str">
        <f>VLOOKUP(E30, '[1]POS Categories'!$A$1:$B$999, 2, FALSE)</f>
        <v>Food</v>
      </c>
    </row>
    <row r="31" spans="1:6" x14ac:dyDescent="0.25">
      <c r="A31" t="s">
        <v>1136</v>
      </c>
      <c r="B31">
        <v>-76.989999999999995</v>
      </c>
      <c r="C31" t="s">
        <v>385</v>
      </c>
      <c r="D31" t="s">
        <v>400</v>
      </c>
      <c r="E31" t="s">
        <v>401</v>
      </c>
      <c r="F31" t="str">
        <f>VLOOKUP(E31, '[1]POS Categories'!$A$1:$B$999, 2, FALSE)</f>
        <v>Misc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0"/>
  <sheetViews>
    <sheetView topLeftCell="A13" workbookViewId="0">
      <selection activeCell="E30" sqref="E30"/>
    </sheetView>
  </sheetViews>
  <sheetFormatPr defaultRowHeight="15" x14ac:dyDescent="0.25"/>
  <cols>
    <col min="5" max="5" width="32.5703125" bestFit="1" customWidth="1"/>
  </cols>
  <sheetData>
    <row r="1" spans="1:6" x14ac:dyDescent="0.25">
      <c r="A1" t="s">
        <v>1137</v>
      </c>
      <c r="B1">
        <v>-7.3</v>
      </c>
      <c r="C1" t="s">
        <v>385</v>
      </c>
      <c r="D1" t="s">
        <v>388</v>
      </c>
      <c r="E1" t="s">
        <v>124</v>
      </c>
      <c r="F1" t="str">
        <f>VLOOKUP(E1, '[1]POS Categories'!$A$1:$B$999, 2, FALSE)</f>
        <v>Food</v>
      </c>
    </row>
    <row r="2" spans="1:6" x14ac:dyDescent="0.25">
      <c r="A2" t="s">
        <v>1138</v>
      </c>
      <c r="B2">
        <v>-11.42</v>
      </c>
      <c r="C2" t="s">
        <v>385</v>
      </c>
      <c r="D2" t="s">
        <v>388</v>
      </c>
      <c r="E2" t="s">
        <v>125</v>
      </c>
      <c r="F2" t="str">
        <f>VLOOKUP(E2, '[1]POS Categories'!$A$1:$B$999, 2, FALSE)</f>
        <v>Food</v>
      </c>
    </row>
    <row r="3" spans="1:6" x14ac:dyDescent="0.25">
      <c r="A3" t="s">
        <v>1139</v>
      </c>
      <c r="B3">
        <v>-7.3</v>
      </c>
      <c r="C3" t="s">
        <v>385</v>
      </c>
      <c r="D3" t="s">
        <v>388</v>
      </c>
      <c r="E3" t="s">
        <v>124</v>
      </c>
      <c r="F3" t="str">
        <f>VLOOKUP(E3, '[1]POS Categories'!$A$1:$B$999, 2, FALSE)</f>
        <v>Food</v>
      </c>
    </row>
    <row r="4" spans="1:6" x14ac:dyDescent="0.25">
      <c r="A4" t="s">
        <v>1140</v>
      </c>
      <c r="B4">
        <v>-12.2</v>
      </c>
      <c r="C4" t="s">
        <v>385</v>
      </c>
      <c r="D4" t="s">
        <v>388</v>
      </c>
      <c r="E4" t="s">
        <v>696</v>
      </c>
      <c r="F4" t="str">
        <f>VLOOKUP(E4, '[1]POS Categories'!$A$1:$B$999, 2, FALSE)</f>
        <v>Food</v>
      </c>
    </row>
    <row r="5" spans="1:6" x14ac:dyDescent="0.25">
      <c r="A5" t="s">
        <v>1140</v>
      </c>
      <c r="B5">
        <v>-3.5</v>
      </c>
      <c r="C5" t="s">
        <v>385</v>
      </c>
      <c r="D5" t="s">
        <v>388</v>
      </c>
      <c r="E5" t="s">
        <v>89</v>
      </c>
      <c r="F5" t="str">
        <f>VLOOKUP(E5, '[1]POS Categories'!$A$1:$B$999, 2, FALSE)</f>
        <v>Food</v>
      </c>
    </row>
    <row r="6" spans="1:6" x14ac:dyDescent="0.25">
      <c r="A6" t="s">
        <v>1140</v>
      </c>
      <c r="B6">
        <v>-3.09</v>
      </c>
      <c r="C6" t="s">
        <v>385</v>
      </c>
      <c r="D6" t="s">
        <v>388</v>
      </c>
      <c r="E6" t="s">
        <v>124</v>
      </c>
      <c r="F6" t="str">
        <f>VLOOKUP(E6, '[1]POS Categories'!$A$1:$B$999, 2, FALSE)</f>
        <v>Food</v>
      </c>
    </row>
    <row r="7" spans="1:6" x14ac:dyDescent="0.25">
      <c r="A7" t="s">
        <v>1141</v>
      </c>
      <c r="B7">
        <v>-10</v>
      </c>
      <c r="C7" t="s">
        <v>385</v>
      </c>
      <c r="D7" t="s">
        <v>388</v>
      </c>
      <c r="E7" t="s">
        <v>89</v>
      </c>
      <c r="F7" t="str">
        <f>VLOOKUP(E7, '[1]POS Categories'!$A$1:$B$999, 2, FALSE)</f>
        <v>Food</v>
      </c>
    </row>
    <row r="8" spans="1:6" x14ac:dyDescent="0.25">
      <c r="A8" t="s">
        <v>1141</v>
      </c>
      <c r="B8">
        <v>-9.42</v>
      </c>
      <c r="C8" t="s">
        <v>385</v>
      </c>
      <c r="D8" t="s">
        <v>388</v>
      </c>
      <c r="E8" t="s">
        <v>747</v>
      </c>
      <c r="F8" t="str">
        <f>VLOOKUP(E8, '[1]POS Categories'!$A$1:$B$999, 2, FALSE)</f>
        <v>Food</v>
      </c>
    </row>
    <row r="9" spans="1:6" x14ac:dyDescent="0.25">
      <c r="A9" t="s">
        <v>1142</v>
      </c>
      <c r="B9">
        <v>-26.98</v>
      </c>
      <c r="C9" t="s">
        <v>385</v>
      </c>
      <c r="D9" t="s">
        <v>388</v>
      </c>
      <c r="E9" t="s">
        <v>90</v>
      </c>
      <c r="F9" t="str">
        <f>VLOOKUP(E9, '[1]POS Categories'!$A$1:$B$999, 2, FALSE)</f>
        <v>Food</v>
      </c>
    </row>
    <row r="10" spans="1:6" x14ac:dyDescent="0.25">
      <c r="A10" t="s">
        <v>1143</v>
      </c>
      <c r="B10">
        <v>-26.26</v>
      </c>
      <c r="C10" t="s">
        <v>385</v>
      </c>
      <c r="D10" t="s">
        <v>388</v>
      </c>
      <c r="E10" t="s">
        <v>804</v>
      </c>
      <c r="F10" t="str">
        <f>VLOOKUP(E10, '[1]POS Categories'!$A$1:$B$999, 2, FALSE)</f>
        <v>Food</v>
      </c>
    </row>
    <row r="11" spans="1:6" x14ac:dyDescent="0.25">
      <c r="A11" t="s">
        <v>1144</v>
      </c>
      <c r="B11">
        <v>-13.63</v>
      </c>
      <c r="C11" t="s">
        <v>385</v>
      </c>
      <c r="D11" t="s">
        <v>388</v>
      </c>
      <c r="E11" t="s">
        <v>747</v>
      </c>
      <c r="F11" t="str">
        <f>VLOOKUP(E11, '[1]POS Categories'!$A$1:$B$999, 2, FALSE)</f>
        <v>Food</v>
      </c>
    </row>
    <row r="12" spans="1:6" x14ac:dyDescent="0.25">
      <c r="A12" t="s">
        <v>1145</v>
      </c>
      <c r="B12">
        <v>-50</v>
      </c>
      <c r="C12" t="s">
        <v>385</v>
      </c>
      <c r="D12" t="s">
        <v>388</v>
      </c>
      <c r="E12" t="s">
        <v>798</v>
      </c>
      <c r="F12" t="str">
        <f>VLOOKUP(E12, '[1]POS Categories'!$A$1:$B$999, 2, FALSE)</f>
        <v>Vehicle</v>
      </c>
    </row>
    <row r="13" spans="1:6" x14ac:dyDescent="0.25">
      <c r="A13" t="s">
        <v>1145</v>
      </c>
      <c r="B13">
        <v>-256.2</v>
      </c>
      <c r="C13" t="s">
        <v>385</v>
      </c>
      <c r="D13" t="s">
        <v>388</v>
      </c>
      <c r="E13" t="s">
        <v>87</v>
      </c>
      <c r="F13" t="str">
        <f>VLOOKUP(E13, '[1]POS Categories'!$A$1:$B$999, 2, FALSE)</f>
        <v>Personal</v>
      </c>
    </row>
    <row r="14" spans="1:6" x14ac:dyDescent="0.25">
      <c r="A14" t="s">
        <v>1145</v>
      </c>
      <c r="B14">
        <v>-11.24</v>
      </c>
      <c r="C14" t="s">
        <v>385</v>
      </c>
      <c r="D14" t="s">
        <v>388</v>
      </c>
      <c r="E14" t="s">
        <v>89</v>
      </c>
      <c r="F14" t="str">
        <f>VLOOKUP(E14, '[1]POS Categories'!$A$1:$B$999, 2, FALSE)</f>
        <v>Food</v>
      </c>
    </row>
    <row r="15" spans="1:6" x14ac:dyDescent="0.25">
      <c r="A15" t="s">
        <v>1146</v>
      </c>
      <c r="B15">
        <v>-4</v>
      </c>
      <c r="C15" t="s">
        <v>385</v>
      </c>
      <c r="D15" t="s">
        <v>388</v>
      </c>
      <c r="E15" t="s">
        <v>67</v>
      </c>
      <c r="F15" t="str">
        <f>VLOOKUP(E15, '[1]POS Categories'!$A$1:$B$999, 2, FALSE)</f>
        <v>Misc</v>
      </c>
    </row>
    <row r="16" spans="1:6" x14ac:dyDescent="0.25">
      <c r="A16" t="s">
        <v>1146</v>
      </c>
      <c r="B16">
        <v>-12.1</v>
      </c>
      <c r="C16" t="s">
        <v>385</v>
      </c>
      <c r="D16" t="s">
        <v>388</v>
      </c>
      <c r="E16" t="s">
        <v>827</v>
      </c>
      <c r="F16" t="str">
        <f>VLOOKUP(E16, '[1]POS Categories'!$A$1:$B$999, 2, FALSE)</f>
        <v>Food</v>
      </c>
    </row>
    <row r="17" spans="1:6" x14ac:dyDescent="0.25">
      <c r="A17" t="s">
        <v>1147</v>
      </c>
      <c r="B17">
        <v>27.42</v>
      </c>
      <c r="C17" t="s">
        <v>385</v>
      </c>
      <c r="D17" t="s">
        <v>430</v>
      </c>
      <c r="E17" t="s">
        <v>126</v>
      </c>
      <c r="F17" t="str">
        <f>VLOOKUP(E17, '[1]POS Categories'!$A$1:$B$999, 2, FALSE)</f>
        <v>Entertainment</v>
      </c>
    </row>
    <row r="18" spans="1:6" x14ac:dyDescent="0.25">
      <c r="A18" t="s">
        <v>1147</v>
      </c>
      <c r="B18">
        <v>184</v>
      </c>
      <c r="C18" t="s">
        <v>385</v>
      </c>
      <c r="D18" t="s">
        <v>467</v>
      </c>
      <c r="E18" t="s">
        <v>637</v>
      </c>
      <c r="F18" t="str">
        <f>VLOOKUP(E18, '[1]POS Categories'!$A$1:$B$999, 2, FALSE)</f>
        <v>Misc</v>
      </c>
    </row>
    <row r="19" spans="1:6" x14ac:dyDescent="0.25">
      <c r="A19" t="s">
        <v>1147</v>
      </c>
      <c r="B19">
        <v>-13.31</v>
      </c>
      <c r="C19" t="s">
        <v>385</v>
      </c>
      <c r="D19" t="s">
        <v>388</v>
      </c>
      <c r="E19" t="s">
        <v>13</v>
      </c>
      <c r="F19" t="str">
        <f>VLOOKUP(E19, '[1]POS Categories'!$A$1:$B$999, 2, FALSE)</f>
        <v>Food</v>
      </c>
    </row>
    <row r="20" spans="1:6" x14ac:dyDescent="0.25">
      <c r="A20" t="s">
        <v>1147</v>
      </c>
      <c r="B20">
        <v>-22.44</v>
      </c>
      <c r="C20" t="s">
        <v>385</v>
      </c>
      <c r="D20" t="s">
        <v>388</v>
      </c>
      <c r="E20" t="s">
        <v>127</v>
      </c>
      <c r="F20" t="str">
        <f>VLOOKUP(E20, '[1]POS Categories'!$A$1:$B$999, 2, FALSE)</f>
        <v>Entertainment</v>
      </c>
    </row>
    <row r="21" spans="1:6" x14ac:dyDescent="0.25">
      <c r="A21" t="s">
        <v>1147</v>
      </c>
      <c r="B21">
        <v>19.54</v>
      </c>
      <c r="C21" t="s">
        <v>385</v>
      </c>
      <c r="D21" t="s">
        <v>430</v>
      </c>
      <c r="E21" t="s">
        <v>1148</v>
      </c>
      <c r="F21" t="s">
        <v>1199</v>
      </c>
    </row>
    <row r="22" spans="1:6" x14ac:dyDescent="0.25">
      <c r="A22" t="s">
        <v>1149</v>
      </c>
      <c r="B22">
        <v>-19.54</v>
      </c>
      <c r="C22" t="s">
        <v>385</v>
      </c>
      <c r="D22" t="s">
        <v>388</v>
      </c>
      <c r="E22" t="s">
        <v>128</v>
      </c>
      <c r="F22" t="str">
        <f>VLOOKUP(E22, '[1]POS Categories'!$A$1:$B$999, 2, FALSE)</f>
        <v>Entertainment</v>
      </c>
    </row>
    <row r="23" spans="1:6" x14ac:dyDescent="0.25">
      <c r="A23" t="s">
        <v>1150</v>
      </c>
      <c r="B23">
        <v>-27.42</v>
      </c>
      <c r="C23" t="s">
        <v>385</v>
      </c>
      <c r="D23" t="s">
        <v>388</v>
      </c>
      <c r="E23" t="s">
        <v>126</v>
      </c>
      <c r="F23" t="str">
        <f>VLOOKUP(E23, '[1]POS Categories'!$A$1:$B$999, 2, FALSE)</f>
        <v>Entertainment</v>
      </c>
    </row>
    <row r="24" spans="1:6" x14ac:dyDescent="0.25">
      <c r="A24" t="s">
        <v>1150</v>
      </c>
      <c r="B24">
        <v>-16.18</v>
      </c>
      <c r="C24" t="s">
        <v>385</v>
      </c>
      <c r="D24" t="s">
        <v>388</v>
      </c>
      <c r="E24" t="s">
        <v>129</v>
      </c>
      <c r="F24" t="str">
        <f>VLOOKUP(E24, '[1]POS Categories'!$A$1:$B$999, 2, FALSE)</f>
        <v>Food</v>
      </c>
    </row>
    <row r="25" spans="1:6" x14ac:dyDescent="0.25">
      <c r="A25" t="s">
        <v>1150</v>
      </c>
      <c r="B25">
        <v>-33.21</v>
      </c>
      <c r="C25" t="s">
        <v>385</v>
      </c>
      <c r="D25" t="s">
        <v>388</v>
      </c>
      <c r="E25" t="s">
        <v>130</v>
      </c>
      <c r="F25" t="str">
        <f>VLOOKUP(E25, '[1]POS Categories'!$A$1:$B$999, 2, FALSE)</f>
        <v>Vehicle</v>
      </c>
    </row>
    <row r="26" spans="1:6" x14ac:dyDescent="0.25">
      <c r="A26" t="s">
        <v>1150</v>
      </c>
      <c r="B26">
        <v>-32.67</v>
      </c>
      <c r="C26" t="s">
        <v>385</v>
      </c>
      <c r="D26" t="s">
        <v>388</v>
      </c>
      <c r="E26" t="s">
        <v>131</v>
      </c>
      <c r="F26" t="str">
        <f>VLOOKUP(E26, '[1]POS Categories'!$A$1:$B$999, 2, FALSE)</f>
        <v>Vehicle</v>
      </c>
    </row>
    <row r="27" spans="1:6" x14ac:dyDescent="0.25">
      <c r="A27" t="s">
        <v>1151</v>
      </c>
      <c r="B27">
        <v>-11.7</v>
      </c>
      <c r="C27" t="s">
        <v>385</v>
      </c>
      <c r="D27" t="s">
        <v>388</v>
      </c>
      <c r="E27" t="s">
        <v>121</v>
      </c>
      <c r="F27" t="str">
        <f>VLOOKUP(E27, '[1]POS Categories'!$A$1:$B$999, 2, FALSE)</f>
        <v>Food</v>
      </c>
    </row>
    <row r="28" spans="1:6" x14ac:dyDescent="0.25">
      <c r="A28" t="s">
        <v>1151</v>
      </c>
      <c r="B28">
        <v>-63.66</v>
      </c>
      <c r="C28" t="s">
        <v>385</v>
      </c>
      <c r="D28" t="s">
        <v>388</v>
      </c>
      <c r="E28" t="s">
        <v>694</v>
      </c>
      <c r="F28" t="str">
        <f>VLOOKUP(E28, '[1]POS Categories'!$A$1:$B$999, 2, FALSE)</f>
        <v>Vehicle</v>
      </c>
    </row>
    <row r="29" spans="1:6" x14ac:dyDescent="0.25">
      <c r="A29" t="s">
        <v>1151</v>
      </c>
      <c r="B29">
        <v>-51.06</v>
      </c>
      <c r="C29" t="s">
        <v>385</v>
      </c>
      <c r="D29" t="s">
        <v>388</v>
      </c>
      <c r="E29" t="s">
        <v>798</v>
      </c>
      <c r="F29" t="str">
        <f>VLOOKUP(E29, '[1]POS Categories'!$A$1:$B$999, 2, FALSE)</f>
        <v>Vehicle</v>
      </c>
    </row>
    <row r="30" spans="1:6" x14ac:dyDescent="0.25">
      <c r="A30" t="s">
        <v>1151</v>
      </c>
      <c r="B30">
        <v>-275.33999999999997</v>
      </c>
      <c r="C30" t="s">
        <v>385</v>
      </c>
      <c r="D30" t="s">
        <v>466</v>
      </c>
      <c r="F30" t="s">
        <v>45</v>
      </c>
    </row>
    <row r="31" spans="1:6" x14ac:dyDescent="0.25">
      <c r="A31" t="s">
        <v>1152</v>
      </c>
      <c r="B31">
        <v>-20.260000000000002</v>
      </c>
      <c r="C31" t="s">
        <v>385</v>
      </c>
      <c r="D31" t="s">
        <v>388</v>
      </c>
      <c r="E31" t="s">
        <v>122</v>
      </c>
      <c r="F31" t="str">
        <f>VLOOKUP(E31, '[1]POS Categories'!$A$1:$B$999, 2, FALSE)</f>
        <v>Food</v>
      </c>
    </row>
    <row r="32" spans="1:6" x14ac:dyDescent="0.25">
      <c r="A32" t="s">
        <v>1152</v>
      </c>
      <c r="B32">
        <v>-5.97</v>
      </c>
      <c r="C32" t="s">
        <v>385</v>
      </c>
      <c r="D32" t="s">
        <v>388</v>
      </c>
      <c r="E32" t="s">
        <v>132</v>
      </c>
      <c r="F32" t="str">
        <f>VLOOKUP(E32, '[1]POS Categories'!$A$1:$B$999, 2, FALSE)</f>
        <v>Food</v>
      </c>
    </row>
    <row r="33" spans="1:6" x14ac:dyDescent="0.25">
      <c r="A33" t="s">
        <v>1152</v>
      </c>
      <c r="B33">
        <v>-50</v>
      </c>
      <c r="C33" t="s">
        <v>385</v>
      </c>
      <c r="D33" t="s">
        <v>388</v>
      </c>
      <c r="E33" t="s">
        <v>133</v>
      </c>
      <c r="F33" t="str">
        <f>VLOOKUP(E33, '[1]POS Categories'!$A$1:$B$999, 2, FALSE)</f>
        <v>Personal</v>
      </c>
    </row>
    <row r="34" spans="1:6" x14ac:dyDescent="0.25">
      <c r="A34" t="s">
        <v>1153</v>
      </c>
      <c r="B34">
        <v>-10.28</v>
      </c>
      <c r="C34" t="s">
        <v>385</v>
      </c>
      <c r="D34" t="s">
        <v>388</v>
      </c>
      <c r="E34" t="s">
        <v>125</v>
      </c>
      <c r="F34" t="str">
        <f>VLOOKUP(E34, '[1]POS Categories'!$A$1:$B$999, 2, FALSE)</f>
        <v>Food</v>
      </c>
    </row>
    <row r="35" spans="1:6" x14ac:dyDescent="0.25">
      <c r="A35" t="s">
        <v>1153</v>
      </c>
      <c r="B35">
        <v>-1.4</v>
      </c>
      <c r="C35" t="s">
        <v>385</v>
      </c>
      <c r="D35" t="s">
        <v>400</v>
      </c>
      <c r="E35" t="s">
        <v>401</v>
      </c>
      <c r="F35" t="str">
        <f>VLOOKUP(E35, '[1]POS Categories'!$A$1:$B$999, 2, FALSE)</f>
        <v>Misc</v>
      </c>
    </row>
    <row r="36" spans="1:6" x14ac:dyDescent="0.25">
      <c r="A36" t="s">
        <v>1154</v>
      </c>
      <c r="B36">
        <v>-5.97</v>
      </c>
      <c r="C36" t="s">
        <v>385</v>
      </c>
      <c r="D36" t="s">
        <v>388</v>
      </c>
      <c r="E36" t="s">
        <v>132</v>
      </c>
      <c r="F36" t="str">
        <f>VLOOKUP(E36, '[1]POS Categories'!$A$1:$B$999, 2, FALSE)</f>
        <v>Food</v>
      </c>
    </row>
    <row r="37" spans="1:6" x14ac:dyDescent="0.25">
      <c r="A37" t="s">
        <v>1155</v>
      </c>
      <c r="B37">
        <v>-227.9</v>
      </c>
      <c r="C37" t="s">
        <v>385</v>
      </c>
      <c r="D37" t="s">
        <v>388</v>
      </c>
      <c r="E37" t="s">
        <v>134</v>
      </c>
      <c r="F37" t="str">
        <f>VLOOKUP(E37, '[1]POS Categories'!$A$1:$B$999, 2, FALSE)</f>
        <v>Personal</v>
      </c>
    </row>
    <row r="38" spans="1:6" x14ac:dyDescent="0.25">
      <c r="A38" t="s">
        <v>1155</v>
      </c>
      <c r="B38">
        <v>-26.05</v>
      </c>
      <c r="C38" t="s">
        <v>385</v>
      </c>
      <c r="D38" t="s">
        <v>388</v>
      </c>
      <c r="E38" t="s">
        <v>135</v>
      </c>
      <c r="F38" t="str">
        <f>VLOOKUP(E38, '[1]POS Categories'!$A$1:$B$999, 2, FALSE)</f>
        <v>Food</v>
      </c>
    </row>
    <row r="39" spans="1:6" x14ac:dyDescent="0.25">
      <c r="A39" t="s">
        <v>1156</v>
      </c>
      <c r="B39">
        <v>-3.99</v>
      </c>
      <c r="C39" t="s">
        <v>385</v>
      </c>
      <c r="D39" t="s">
        <v>388</v>
      </c>
      <c r="E39" t="s">
        <v>132</v>
      </c>
      <c r="F39" t="str">
        <f>VLOOKUP(E39, '[1]POS Categories'!$A$1:$B$999, 2, FALSE)</f>
        <v>Food</v>
      </c>
    </row>
    <row r="40" spans="1:6" x14ac:dyDescent="0.25">
      <c r="A40" t="s">
        <v>1157</v>
      </c>
      <c r="B40">
        <v>-13.63</v>
      </c>
      <c r="C40" t="s">
        <v>385</v>
      </c>
      <c r="D40" t="s">
        <v>388</v>
      </c>
      <c r="E40" t="s">
        <v>747</v>
      </c>
      <c r="F40" t="str">
        <f>VLOOKUP(E40, '[1]POS Categories'!$A$1:$B$999, 2, FALSE)</f>
        <v>Food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7"/>
  <sheetViews>
    <sheetView workbookViewId="0">
      <selection activeCell="F20" sqref="F20"/>
    </sheetView>
  </sheetViews>
  <sheetFormatPr defaultRowHeight="15" x14ac:dyDescent="0.25"/>
  <cols>
    <col min="5" max="5" width="36.140625" bestFit="1" customWidth="1"/>
  </cols>
  <sheetData>
    <row r="1" spans="1:6" x14ac:dyDescent="0.25">
      <c r="A1" t="s">
        <v>1162</v>
      </c>
      <c r="B1">
        <v>-14.5</v>
      </c>
      <c r="C1" t="s">
        <v>385</v>
      </c>
      <c r="D1" t="s">
        <v>388</v>
      </c>
      <c r="E1" t="s">
        <v>121</v>
      </c>
      <c r="F1" t="str">
        <f>VLOOKUP(E1, '[1]POS Categories'!$A$1:$B$999, 2, FALSE)</f>
        <v>Food</v>
      </c>
    </row>
    <row r="2" spans="1:6" x14ac:dyDescent="0.25">
      <c r="A2" t="s">
        <v>1163</v>
      </c>
      <c r="B2">
        <v>-25.15</v>
      </c>
      <c r="C2" t="s">
        <v>385</v>
      </c>
      <c r="D2" t="s">
        <v>388</v>
      </c>
      <c r="E2" t="s">
        <v>747</v>
      </c>
      <c r="F2" t="str">
        <f>VLOOKUP(E2, '[1]POS Categories'!$A$1:$B$999, 2, FALSE)</f>
        <v>Food</v>
      </c>
    </row>
    <row r="3" spans="1:6" x14ac:dyDescent="0.25">
      <c r="A3" t="s">
        <v>1163</v>
      </c>
      <c r="B3">
        <v>-47.93</v>
      </c>
      <c r="C3" t="s">
        <v>385</v>
      </c>
      <c r="D3" t="s">
        <v>388</v>
      </c>
      <c r="E3" t="s">
        <v>798</v>
      </c>
      <c r="F3" t="str">
        <f>VLOOKUP(E3, '[1]POS Categories'!$A$1:$B$999, 2, FALSE)</f>
        <v>Vehicle</v>
      </c>
    </row>
    <row r="4" spans="1:6" x14ac:dyDescent="0.25">
      <c r="A4" t="s">
        <v>1164</v>
      </c>
      <c r="B4">
        <v>-35.700000000000003</v>
      </c>
      <c r="C4" t="s">
        <v>385</v>
      </c>
      <c r="D4" t="s">
        <v>388</v>
      </c>
      <c r="E4" t="s">
        <v>136</v>
      </c>
      <c r="F4" t="str">
        <f>VLOOKUP(E4, '[1]POS Categories'!$A$1:$B$999, 2, FALSE)</f>
        <v>Job</v>
      </c>
    </row>
    <row r="5" spans="1:6" x14ac:dyDescent="0.25">
      <c r="A5" t="s">
        <v>1165</v>
      </c>
      <c r="B5">
        <v>-10.6</v>
      </c>
      <c r="C5" t="s">
        <v>385</v>
      </c>
      <c r="D5" t="s">
        <v>388</v>
      </c>
      <c r="E5" t="s">
        <v>696</v>
      </c>
      <c r="F5" t="str">
        <f>VLOOKUP(E5, '[1]POS Categories'!$A$1:$B$999, 2, FALSE)</f>
        <v>Food</v>
      </c>
    </row>
    <row r="6" spans="1:6" x14ac:dyDescent="0.25">
      <c r="A6" t="s">
        <v>1166</v>
      </c>
      <c r="B6">
        <v>-27.99</v>
      </c>
      <c r="C6" t="s">
        <v>385</v>
      </c>
      <c r="D6" t="s">
        <v>388</v>
      </c>
      <c r="E6" t="s">
        <v>49</v>
      </c>
      <c r="F6" t="str">
        <f>VLOOKUP(E6, '[1]POS Categories'!$A$1:$B$999, 2, FALSE)</f>
        <v>Entertainment</v>
      </c>
    </row>
    <row r="7" spans="1:6" x14ac:dyDescent="0.25">
      <c r="A7" t="s">
        <v>1166</v>
      </c>
      <c r="B7">
        <v>-27.99</v>
      </c>
      <c r="C7" t="s">
        <v>385</v>
      </c>
      <c r="D7" t="s">
        <v>388</v>
      </c>
      <c r="E7" t="s">
        <v>49</v>
      </c>
      <c r="F7" t="str">
        <f>VLOOKUP(E7, '[1]POS Categories'!$A$1:$B$999, 2, FALSE)</f>
        <v>Entertainment</v>
      </c>
    </row>
    <row r="8" spans="1:6" x14ac:dyDescent="0.25">
      <c r="A8" t="s">
        <v>1166</v>
      </c>
      <c r="B8">
        <v>-25.31</v>
      </c>
      <c r="C8" t="s">
        <v>385</v>
      </c>
      <c r="D8" t="s">
        <v>388</v>
      </c>
      <c r="E8" t="s">
        <v>137</v>
      </c>
      <c r="F8" t="str">
        <f>VLOOKUP(E8, '[1]POS Categories'!$A$1:$B$999, 2, FALSE)</f>
        <v>Food</v>
      </c>
    </row>
    <row r="9" spans="1:6" x14ac:dyDescent="0.25">
      <c r="A9" t="s">
        <v>1167</v>
      </c>
      <c r="B9">
        <v>-12.2</v>
      </c>
      <c r="C9" t="s">
        <v>385</v>
      </c>
      <c r="D9" t="s">
        <v>388</v>
      </c>
      <c r="E9" t="s">
        <v>94</v>
      </c>
      <c r="F9" t="str">
        <f>VLOOKUP(E9, '[1]POS Categories'!$A$1:$B$999, 2, FALSE)</f>
        <v>Food</v>
      </c>
    </row>
    <row r="10" spans="1:6" x14ac:dyDescent="0.25">
      <c r="A10" t="s">
        <v>1167</v>
      </c>
      <c r="B10">
        <v>194.75</v>
      </c>
      <c r="C10" t="s">
        <v>385</v>
      </c>
      <c r="D10" t="s">
        <v>467</v>
      </c>
      <c r="E10" t="s">
        <v>637</v>
      </c>
      <c r="F10" t="str">
        <f>VLOOKUP(E10, '[1]POS Categories'!$A$1:$B$999, 2, FALSE)</f>
        <v>Misc</v>
      </c>
    </row>
    <row r="11" spans="1:6" x14ac:dyDescent="0.25">
      <c r="A11" t="s">
        <v>1167</v>
      </c>
      <c r="B11">
        <v>-11.7</v>
      </c>
      <c r="C11" t="s">
        <v>385</v>
      </c>
      <c r="D11" t="s">
        <v>388</v>
      </c>
      <c r="E11" t="s">
        <v>121</v>
      </c>
      <c r="F11" t="str">
        <f>VLOOKUP(E11, '[1]POS Categories'!$A$1:$B$999, 2, FALSE)</f>
        <v>Food</v>
      </c>
    </row>
    <row r="12" spans="1:6" x14ac:dyDescent="0.25">
      <c r="A12" t="s">
        <v>1167</v>
      </c>
      <c r="B12">
        <v>-3.64</v>
      </c>
      <c r="C12" t="s">
        <v>385</v>
      </c>
      <c r="D12" t="s">
        <v>388</v>
      </c>
      <c r="E12" t="s">
        <v>132</v>
      </c>
      <c r="F12" t="str">
        <f>VLOOKUP(E12, '[1]POS Categories'!$A$1:$B$999, 2, FALSE)</f>
        <v>Food</v>
      </c>
    </row>
    <row r="13" spans="1:6" x14ac:dyDescent="0.25">
      <c r="A13" t="s">
        <v>1168</v>
      </c>
      <c r="B13">
        <v>-7.98</v>
      </c>
      <c r="C13" t="s">
        <v>385</v>
      </c>
      <c r="D13" t="s">
        <v>388</v>
      </c>
      <c r="E13" t="s">
        <v>121</v>
      </c>
      <c r="F13" t="str">
        <f>VLOOKUP(E13, '[1]POS Categories'!$A$1:$B$999, 2, FALSE)</f>
        <v>Food</v>
      </c>
    </row>
    <row r="14" spans="1:6" x14ac:dyDescent="0.25">
      <c r="A14" t="s">
        <v>1168</v>
      </c>
      <c r="B14">
        <v>-11.1</v>
      </c>
      <c r="C14" t="s">
        <v>385</v>
      </c>
      <c r="D14" t="s">
        <v>388</v>
      </c>
      <c r="E14" t="s">
        <v>800</v>
      </c>
      <c r="F14" t="str">
        <f>VLOOKUP(E14, '[1]POS Categories'!$A$1:$B$999, 2, FALSE)</f>
        <v>Food</v>
      </c>
    </row>
    <row r="15" spans="1:6" x14ac:dyDescent="0.25">
      <c r="A15" t="s">
        <v>1169</v>
      </c>
      <c r="B15">
        <v>-10.69</v>
      </c>
      <c r="C15" t="s">
        <v>385</v>
      </c>
      <c r="D15" t="s">
        <v>388</v>
      </c>
      <c r="E15" t="s">
        <v>132</v>
      </c>
      <c r="F15" t="str">
        <f>VLOOKUP(E15, '[1]POS Categories'!$A$1:$B$999, 2, FALSE)</f>
        <v>Food</v>
      </c>
    </row>
    <row r="16" spans="1:6" x14ac:dyDescent="0.25">
      <c r="A16" t="s">
        <v>1170</v>
      </c>
      <c r="B16">
        <v>-11.03</v>
      </c>
      <c r="C16" t="s">
        <v>385</v>
      </c>
      <c r="D16" t="s">
        <v>388</v>
      </c>
      <c r="E16" t="s">
        <v>89</v>
      </c>
      <c r="F16" t="str">
        <f>VLOOKUP(E16, '[1]POS Categories'!$A$1:$B$999, 2, FALSE)</f>
        <v>Food</v>
      </c>
    </row>
    <row r="17" spans="1:6" x14ac:dyDescent="0.25">
      <c r="A17" t="s">
        <v>1171</v>
      </c>
      <c r="B17">
        <v>-8.19</v>
      </c>
      <c r="C17" t="s">
        <v>385</v>
      </c>
      <c r="D17" t="s">
        <v>388</v>
      </c>
      <c r="E17" t="s">
        <v>132</v>
      </c>
      <c r="F17" t="str">
        <f>VLOOKUP(E17, '[1]POS Categories'!$A$1:$B$999, 2, FALSE)</f>
        <v>Food</v>
      </c>
    </row>
    <row r="18" spans="1:6" x14ac:dyDescent="0.25">
      <c r="A18" t="s">
        <v>1172</v>
      </c>
      <c r="B18">
        <v>-7.1</v>
      </c>
      <c r="C18" t="s">
        <v>385</v>
      </c>
      <c r="D18" t="s">
        <v>388</v>
      </c>
      <c r="E18" t="s">
        <v>696</v>
      </c>
      <c r="F18" t="str">
        <f>VLOOKUP(E18, '[1]POS Categories'!$A$1:$B$999, 2, FALSE)</f>
        <v>Food</v>
      </c>
    </row>
    <row r="19" spans="1:6" x14ac:dyDescent="0.25">
      <c r="A19" t="s">
        <v>1173</v>
      </c>
      <c r="B19">
        <v>-11.7</v>
      </c>
      <c r="C19" t="s">
        <v>385</v>
      </c>
      <c r="D19" t="s">
        <v>388</v>
      </c>
      <c r="E19" t="s">
        <v>121</v>
      </c>
      <c r="F19" t="str">
        <f>VLOOKUP(E19, '[1]POS Categories'!$A$1:$B$999, 2, FALSE)</f>
        <v>Food</v>
      </c>
    </row>
    <row r="20" spans="1:6" x14ac:dyDescent="0.25">
      <c r="A20" t="s">
        <v>1174</v>
      </c>
      <c r="B20">
        <v>-4140.6000000000004</v>
      </c>
      <c r="C20">
        <v>13</v>
      </c>
      <c r="D20" t="s">
        <v>788</v>
      </c>
      <c r="F20" t="s">
        <v>116</v>
      </c>
    </row>
    <row r="21" spans="1:6" x14ac:dyDescent="0.25">
      <c r="A21" t="s">
        <v>1174</v>
      </c>
      <c r="B21">
        <v>-14.5</v>
      </c>
      <c r="C21" t="s">
        <v>385</v>
      </c>
      <c r="D21" t="s">
        <v>388</v>
      </c>
      <c r="E21" t="s">
        <v>121</v>
      </c>
      <c r="F21" t="str">
        <f>VLOOKUP(E21, '[1]POS Categories'!$A$1:$B$999, 2, FALSE)</f>
        <v>Food</v>
      </c>
    </row>
    <row r="22" spans="1:6" x14ac:dyDescent="0.25">
      <c r="A22" t="s">
        <v>1174</v>
      </c>
      <c r="B22">
        <v>-29.42</v>
      </c>
      <c r="C22" t="s">
        <v>385</v>
      </c>
      <c r="D22" t="s">
        <v>388</v>
      </c>
      <c r="E22" t="s">
        <v>22</v>
      </c>
      <c r="F22" t="str">
        <f>VLOOKUP(E22, '[1]POS Categories'!$A$1:$B$999, 2, FALSE)</f>
        <v>Entertainment</v>
      </c>
    </row>
    <row r="23" spans="1:6" x14ac:dyDescent="0.25">
      <c r="A23" t="s">
        <v>1175</v>
      </c>
      <c r="B23">
        <v>-13.67</v>
      </c>
      <c r="C23" t="s">
        <v>385</v>
      </c>
      <c r="D23" t="s">
        <v>388</v>
      </c>
      <c r="E23" t="s">
        <v>49</v>
      </c>
      <c r="F23" t="str">
        <f>VLOOKUP(E23, '[1]POS Categories'!$A$1:$B$999, 2, FALSE)</f>
        <v>Entertainment</v>
      </c>
    </row>
    <row r="24" spans="1:6" x14ac:dyDescent="0.25">
      <c r="A24" t="s">
        <v>1175</v>
      </c>
      <c r="B24">
        <v>-13.63</v>
      </c>
      <c r="C24" t="s">
        <v>385</v>
      </c>
      <c r="D24" t="s">
        <v>388</v>
      </c>
      <c r="E24" t="s">
        <v>747</v>
      </c>
      <c r="F24" t="str">
        <f>VLOOKUP(E24, '[1]POS Categories'!$A$1:$B$999, 2, FALSE)</f>
        <v>Food</v>
      </c>
    </row>
    <row r="25" spans="1:6" x14ac:dyDescent="0.25">
      <c r="A25" t="s">
        <v>1175</v>
      </c>
      <c r="B25">
        <v>-790.92</v>
      </c>
      <c r="C25" t="s">
        <v>385</v>
      </c>
      <c r="D25" t="s">
        <v>388</v>
      </c>
      <c r="E25" t="s">
        <v>66</v>
      </c>
      <c r="F25" t="str">
        <f>VLOOKUP(E25, '[1]POS Categories'!$A$1:$B$999, 2, FALSE)</f>
        <v>Vehicle</v>
      </c>
    </row>
    <row r="26" spans="1:6" x14ac:dyDescent="0.25">
      <c r="A26" t="s">
        <v>1176</v>
      </c>
      <c r="B26">
        <v>-24.4</v>
      </c>
      <c r="C26" t="s">
        <v>385</v>
      </c>
      <c r="D26" t="s">
        <v>388</v>
      </c>
      <c r="E26" t="s">
        <v>696</v>
      </c>
      <c r="F26" t="str">
        <f>VLOOKUP(E26, '[1]POS Categories'!$A$1:$B$999, 2, FALSE)</f>
        <v>Food</v>
      </c>
    </row>
    <row r="27" spans="1:6" x14ac:dyDescent="0.25">
      <c r="A27" t="s">
        <v>1177</v>
      </c>
      <c r="B27">
        <v>-7.54</v>
      </c>
      <c r="C27" t="s">
        <v>385</v>
      </c>
      <c r="D27" t="s">
        <v>388</v>
      </c>
      <c r="E27" t="s">
        <v>132</v>
      </c>
      <c r="F27" t="str">
        <f>VLOOKUP(E27, '[1]POS Categories'!$A$1:$B$999, 2, FALSE)</f>
        <v>Food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"/>
  <sheetViews>
    <sheetView workbookViewId="0">
      <selection activeCell="I18" sqref="I18"/>
    </sheetView>
  </sheetViews>
  <sheetFormatPr defaultRowHeight="15" x14ac:dyDescent="0.25"/>
  <cols>
    <col min="5" max="5" width="36.140625" bestFit="1" customWidth="1"/>
  </cols>
  <sheetData>
    <row r="1" spans="1:6" x14ac:dyDescent="0.25">
      <c r="A1" t="s">
        <v>1178</v>
      </c>
      <c r="B1">
        <v>-14.86</v>
      </c>
      <c r="C1" t="s">
        <v>385</v>
      </c>
      <c r="D1" t="s">
        <v>388</v>
      </c>
      <c r="E1" t="s">
        <v>804</v>
      </c>
      <c r="F1" t="str">
        <f>VLOOKUP(E1, '[1]POS Categories'!$A$1:$B$999, 2, FALSE)</f>
        <v>Food</v>
      </c>
    </row>
    <row r="2" spans="1:6" x14ac:dyDescent="0.25">
      <c r="A2" t="s">
        <v>1178</v>
      </c>
      <c r="B2">
        <v>-45.72</v>
      </c>
      <c r="C2" t="s">
        <v>385</v>
      </c>
      <c r="D2" t="s">
        <v>388</v>
      </c>
      <c r="E2" t="s">
        <v>798</v>
      </c>
      <c r="F2" t="str">
        <f>VLOOKUP(E2, '[1]POS Categories'!$A$1:$B$999, 2, FALSE)</f>
        <v>Vehicle</v>
      </c>
    </row>
    <row r="3" spans="1:6" x14ac:dyDescent="0.25">
      <c r="A3" t="s">
        <v>1179</v>
      </c>
      <c r="B3">
        <v>-14.5</v>
      </c>
      <c r="C3" t="s">
        <v>385</v>
      </c>
      <c r="D3" t="s">
        <v>388</v>
      </c>
      <c r="E3" t="s">
        <v>121</v>
      </c>
      <c r="F3" t="str">
        <f>VLOOKUP(E3, '[1]POS Categories'!$A$1:$B$999, 2, FALSE)</f>
        <v>Food</v>
      </c>
    </row>
    <row r="4" spans="1:6" x14ac:dyDescent="0.25">
      <c r="A4" t="s">
        <v>1180</v>
      </c>
      <c r="B4">
        <v>-55.5</v>
      </c>
      <c r="C4" t="s">
        <v>385</v>
      </c>
      <c r="D4" t="s">
        <v>388</v>
      </c>
      <c r="E4" t="s">
        <v>138</v>
      </c>
      <c r="F4" t="str">
        <f>VLOOKUP(E4, '[1]POS Categories'!$A$1:$B$999, 2, FALSE)</f>
        <v>Personal</v>
      </c>
    </row>
    <row r="5" spans="1:6" x14ac:dyDescent="0.25">
      <c r="A5" t="s">
        <v>1180</v>
      </c>
      <c r="B5">
        <v>-13.27</v>
      </c>
      <c r="C5" t="s">
        <v>385</v>
      </c>
      <c r="D5" t="s">
        <v>388</v>
      </c>
      <c r="E5" t="s">
        <v>22</v>
      </c>
      <c r="F5" t="str">
        <f>VLOOKUP(E5, '[1]POS Categories'!$A$1:$B$999, 2, FALSE)</f>
        <v>Entertainment</v>
      </c>
    </row>
    <row r="6" spans="1:6" x14ac:dyDescent="0.25">
      <c r="A6" t="s">
        <v>1181</v>
      </c>
      <c r="B6">
        <v>-5.75</v>
      </c>
      <c r="C6" t="s">
        <v>385</v>
      </c>
      <c r="D6" t="s">
        <v>388</v>
      </c>
      <c r="E6" t="s">
        <v>696</v>
      </c>
      <c r="F6" t="str">
        <f>VLOOKUP(E6, '[1]POS Categories'!$A$1:$B$999, 2, FALSE)</f>
        <v>Food</v>
      </c>
    </row>
    <row r="7" spans="1:6" x14ac:dyDescent="0.25">
      <c r="A7" t="s">
        <v>1182</v>
      </c>
      <c r="B7">
        <v>-13.81</v>
      </c>
      <c r="C7" t="s">
        <v>385</v>
      </c>
      <c r="D7" t="s">
        <v>388</v>
      </c>
      <c r="E7" t="s">
        <v>121</v>
      </c>
      <c r="F7" t="str">
        <f>VLOOKUP(E7, '[1]POS Categories'!$A$1:$B$999, 2, FALSE)</f>
        <v>Food</v>
      </c>
    </row>
    <row r="8" spans="1:6" x14ac:dyDescent="0.25">
      <c r="A8" t="s">
        <v>1182</v>
      </c>
      <c r="B8">
        <v>-5.97</v>
      </c>
      <c r="C8" t="s">
        <v>385</v>
      </c>
      <c r="D8" t="s">
        <v>388</v>
      </c>
      <c r="E8" t="s">
        <v>132</v>
      </c>
      <c r="F8" t="str">
        <f>VLOOKUP(E8, '[1]POS Categories'!$A$1:$B$999, 2, FALSE)</f>
        <v>Food</v>
      </c>
    </row>
    <row r="9" spans="1:6" x14ac:dyDescent="0.25">
      <c r="A9" t="s">
        <v>1183</v>
      </c>
      <c r="B9">
        <v>-11.19</v>
      </c>
      <c r="C9" t="s">
        <v>385</v>
      </c>
      <c r="D9" t="s">
        <v>388</v>
      </c>
      <c r="E9" t="s">
        <v>89</v>
      </c>
      <c r="F9" t="str">
        <f>VLOOKUP(E9, '[1]POS Categories'!$A$1:$B$999, 2, FALSE)</f>
        <v>Food</v>
      </c>
    </row>
    <row r="10" spans="1:6" x14ac:dyDescent="0.25">
      <c r="A10" t="s">
        <v>1184</v>
      </c>
      <c r="B10">
        <v>-12.74</v>
      </c>
      <c r="C10" t="s">
        <v>385</v>
      </c>
      <c r="D10" t="s">
        <v>388</v>
      </c>
      <c r="E10" t="s">
        <v>747</v>
      </c>
      <c r="F10" t="str">
        <f>VLOOKUP(E10, '[1]POS Categories'!$A$1:$B$999, 2, FALSE)</f>
        <v>Food</v>
      </c>
    </row>
    <row r="11" spans="1:6" x14ac:dyDescent="0.25">
      <c r="A11" t="s">
        <v>1185</v>
      </c>
      <c r="B11">
        <v>-4.87</v>
      </c>
      <c r="C11" t="s">
        <v>385</v>
      </c>
      <c r="D11" t="s">
        <v>388</v>
      </c>
      <c r="E11" t="s">
        <v>132</v>
      </c>
      <c r="F11" t="str">
        <f>VLOOKUP(E11, '[1]POS Categories'!$A$1:$B$999, 2, FALSE)</f>
        <v>Food</v>
      </c>
    </row>
    <row r="12" spans="1:6" x14ac:dyDescent="0.25">
      <c r="A12" t="s">
        <v>1186</v>
      </c>
      <c r="B12">
        <v>-9.11</v>
      </c>
      <c r="C12" t="s">
        <v>385</v>
      </c>
      <c r="D12" t="s">
        <v>388</v>
      </c>
      <c r="E12" t="s">
        <v>89</v>
      </c>
      <c r="F12" t="str">
        <f>VLOOKUP(E12, '[1]POS Categories'!$A$1:$B$999, 2, FALSE)</f>
        <v>Food</v>
      </c>
    </row>
    <row r="13" spans="1:6" x14ac:dyDescent="0.25">
      <c r="A13" t="s">
        <v>1187</v>
      </c>
      <c r="B13">
        <v>-11.7</v>
      </c>
      <c r="C13" t="s">
        <v>385</v>
      </c>
      <c r="D13" t="s">
        <v>388</v>
      </c>
      <c r="E13" t="s">
        <v>121</v>
      </c>
      <c r="F13" t="str">
        <f>VLOOKUP(E13, '[1]POS Categories'!$A$1:$B$999, 2, FALSE)</f>
        <v>Food</v>
      </c>
    </row>
    <row r="14" spans="1:6" x14ac:dyDescent="0.25">
      <c r="A14" t="s">
        <v>1188</v>
      </c>
      <c r="B14">
        <v>-12.74</v>
      </c>
      <c r="C14" t="s">
        <v>385</v>
      </c>
      <c r="D14" t="s">
        <v>388</v>
      </c>
      <c r="E14" t="s">
        <v>747</v>
      </c>
      <c r="F14" t="str">
        <f>VLOOKUP(E14, '[1]POS Categories'!$A$1:$B$999, 2, FALSE)</f>
        <v>Food</v>
      </c>
    </row>
    <row r="15" spans="1:6" x14ac:dyDescent="0.25">
      <c r="A15" t="s">
        <v>1188</v>
      </c>
      <c r="B15">
        <v>-42.88</v>
      </c>
      <c r="C15" t="s">
        <v>385</v>
      </c>
      <c r="D15" t="s">
        <v>388</v>
      </c>
      <c r="E15" t="s">
        <v>82</v>
      </c>
      <c r="F15" t="str">
        <f>VLOOKUP(E15, '[1]POS Categories'!$A$1:$B$999, 2, FALSE)</f>
        <v>Vehicle</v>
      </c>
    </row>
    <row r="16" spans="1:6" x14ac:dyDescent="0.25">
      <c r="A16" t="s">
        <v>1189</v>
      </c>
      <c r="B16">
        <v>-6.74</v>
      </c>
      <c r="C16" t="s">
        <v>385</v>
      </c>
      <c r="D16" t="s">
        <v>388</v>
      </c>
      <c r="E16" t="s">
        <v>132</v>
      </c>
      <c r="F16" t="str">
        <f>VLOOKUP(E16, '[1]POS Categories'!$A$1:$B$999, 2, FALSE)</f>
        <v>Food</v>
      </c>
    </row>
    <row r="17" spans="1:6" x14ac:dyDescent="0.25">
      <c r="A17" t="s">
        <v>1190</v>
      </c>
      <c r="B17">
        <v>-46.99</v>
      </c>
      <c r="C17" t="s">
        <v>385</v>
      </c>
      <c r="D17" t="s">
        <v>400</v>
      </c>
      <c r="E17" t="s">
        <v>401</v>
      </c>
      <c r="F17" t="str">
        <f>VLOOKUP(E17, '[1]POS Categories'!$A$1:$B$999, 2, FALSE)</f>
        <v>Misc</v>
      </c>
    </row>
    <row r="18" spans="1:6" x14ac:dyDescent="0.25">
      <c r="A18" t="s">
        <v>1191</v>
      </c>
      <c r="B18">
        <v>-3.1</v>
      </c>
      <c r="C18" t="s">
        <v>385</v>
      </c>
      <c r="D18" t="s">
        <v>388</v>
      </c>
      <c r="E18" t="s">
        <v>139</v>
      </c>
      <c r="F18" t="str">
        <f>VLOOKUP(E18, '[1]POS Categories'!$A$1:$B$999, 2, FALSE)</f>
        <v>Entertainment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Charts</vt:lpstr>
      </vt:variant>
      <vt:variant>
        <vt:i4>2</vt:i4>
      </vt:variant>
    </vt:vector>
  </HeadingPairs>
  <TitlesOfParts>
    <vt:vector size="70" baseType="lpstr">
      <vt:lpstr>Instruction</vt:lpstr>
      <vt:lpstr>Overview</vt:lpstr>
      <vt:lpstr>Overview Percentage</vt:lpstr>
      <vt:lpstr>Spending Over Time</vt:lpstr>
      <vt:lpstr>POS Categories</vt:lpstr>
      <vt:lpstr>March 2024</vt:lpstr>
      <vt:lpstr>February 2024</vt:lpstr>
      <vt:lpstr>January 2024</vt:lpstr>
      <vt:lpstr>December 2023</vt:lpstr>
      <vt:lpstr>November 2023</vt:lpstr>
      <vt:lpstr>October 2023</vt:lpstr>
      <vt:lpstr>September 2023</vt:lpstr>
      <vt:lpstr>August 2023</vt:lpstr>
      <vt:lpstr>July 2023</vt:lpstr>
      <vt:lpstr>June 2023</vt:lpstr>
      <vt:lpstr>May 2023</vt:lpstr>
      <vt:lpstr>April 2023</vt:lpstr>
      <vt:lpstr>March 2023</vt:lpstr>
      <vt:lpstr>February 2023</vt:lpstr>
      <vt:lpstr>January 2023</vt:lpstr>
      <vt:lpstr>December 2022</vt:lpstr>
      <vt:lpstr>November 2022</vt:lpstr>
      <vt:lpstr>October 2022</vt:lpstr>
      <vt:lpstr>September 2022</vt:lpstr>
      <vt:lpstr>August 2022</vt:lpstr>
      <vt:lpstr>July 2022</vt:lpstr>
      <vt:lpstr>June 2022</vt:lpstr>
      <vt:lpstr>May 2022</vt:lpstr>
      <vt:lpstr>April 2022</vt:lpstr>
      <vt:lpstr>March 2022</vt:lpstr>
      <vt:lpstr>February 2022</vt:lpstr>
      <vt:lpstr>January 2022</vt:lpstr>
      <vt:lpstr>December 2021</vt:lpstr>
      <vt:lpstr>November 2021</vt:lpstr>
      <vt:lpstr>October 2021</vt:lpstr>
      <vt:lpstr>September 2021</vt:lpstr>
      <vt:lpstr>August 2021</vt:lpstr>
      <vt:lpstr>July 2021</vt:lpstr>
      <vt:lpstr>June 2021</vt:lpstr>
      <vt:lpstr>May 2021</vt:lpstr>
      <vt:lpstr>April 2021</vt:lpstr>
      <vt:lpstr>March 2021</vt:lpstr>
      <vt:lpstr>February 2021</vt:lpstr>
      <vt:lpstr>January 2021</vt:lpstr>
      <vt:lpstr>December 2020</vt:lpstr>
      <vt:lpstr>November 2020</vt:lpstr>
      <vt:lpstr>October 2020</vt:lpstr>
      <vt:lpstr>September 2020</vt:lpstr>
      <vt:lpstr>August 2020</vt:lpstr>
      <vt:lpstr>July 2020</vt:lpstr>
      <vt:lpstr>June 2020</vt:lpstr>
      <vt:lpstr>May 2020</vt:lpstr>
      <vt:lpstr>April 2020</vt:lpstr>
      <vt:lpstr>March 2020</vt:lpstr>
      <vt:lpstr>February 2020</vt:lpstr>
      <vt:lpstr>January 2020</vt:lpstr>
      <vt:lpstr>December 2019</vt:lpstr>
      <vt:lpstr>November 2019</vt:lpstr>
      <vt:lpstr>October 2019</vt:lpstr>
      <vt:lpstr>September 2019</vt:lpstr>
      <vt:lpstr>August 2019</vt:lpstr>
      <vt:lpstr>July 2019</vt:lpstr>
      <vt:lpstr>June 2019</vt:lpstr>
      <vt:lpstr>May 2019</vt:lpstr>
      <vt:lpstr>April 2019</vt:lpstr>
      <vt:lpstr>March 2019</vt:lpstr>
      <vt:lpstr>February 2019</vt:lpstr>
      <vt:lpstr>January 2019</vt:lpstr>
      <vt:lpstr>Stacked Graph</vt:lpstr>
      <vt:lpstr>Budget History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2020-08-18T21:27:56Z</dcterms:created>
  <dcterms:modified xsi:type="dcterms:W3CDTF">2024-05-18T06:05:52Z</dcterms:modified>
</cp:coreProperties>
</file>